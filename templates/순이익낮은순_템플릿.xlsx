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AMD\templates\"/>
    </mc:Choice>
  </mc:AlternateContent>
  <xr:revisionPtr revIDLastSave="0" documentId="13_ncr:1_{D97C37DF-358D-42B7-B7FC-AE4E48CF6F81}" xr6:coauthVersionLast="47" xr6:coauthVersionMax="47" xr10:uidLastSave="{00000000-0000-0000-0000-000000000000}"/>
  <bookViews>
    <workbookView xWindow="-108" yWindow="-108" windowWidth="23256" windowHeight="12528" xr2:uid="{BEC4350C-64B4-4286-8128-FBF8F19C015D}"/>
  </bookViews>
  <sheets>
    <sheet name="순이익낮은순" sheetId="1" r:id="rId1"/>
  </sheets>
  <definedNames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D70" i="1"/>
  <c r="E70" i="1"/>
  <c r="F70" i="1"/>
  <c r="G70" i="1"/>
  <c r="H70" i="1"/>
  <c r="I70" i="1"/>
  <c r="J70" i="1"/>
  <c r="K70" i="1"/>
  <c r="L70" i="1"/>
  <c r="M70" i="1"/>
  <c r="N70" i="1"/>
  <c r="C70" i="1"/>
  <c r="C69" i="1"/>
  <c r="O4" i="1"/>
  <c r="O69" i="1" s="1"/>
  <c r="O5" i="1"/>
  <c r="O6" i="1"/>
  <c r="O70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</calcChain>
</file>

<file path=xl/sharedStrings.xml><?xml version="1.0" encoding="utf-8"?>
<sst xmlns="http://schemas.openxmlformats.org/spreadsheetml/2006/main" count="148" uniqueCount="148">
  <si>
    <t>매장코드</t>
    <phoneticPr fontId="2" type="noConversion"/>
  </si>
  <si>
    <t>매장명</t>
    <phoneticPr fontId="2" type="noConversion"/>
  </si>
  <si>
    <t>합계</t>
    <phoneticPr fontId="2" type="noConversion"/>
  </si>
  <si>
    <t>2026-06</t>
  </si>
  <si>
    <t>00143</t>
  </si>
  <si>
    <t>롯데잠실캐슬프라자점</t>
  </si>
  <si>
    <t>00120</t>
  </si>
  <si>
    <t>롯데미아점</t>
  </si>
  <si>
    <t>00218</t>
  </si>
  <si>
    <t>현대동구점</t>
  </si>
  <si>
    <t>00212</t>
  </si>
  <si>
    <t>현대킨텍스점</t>
  </si>
  <si>
    <t>00137</t>
  </si>
  <si>
    <t>롯데대구점</t>
  </si>
  <si>
    <t>00135</t>
  </si>
  <si>
    <t>롯데수원점</t>
  </si>
  <si>
    <t>00102</t>
  </si>
  <si>
    <t>롯데관악점</t>
  </si>
  <si>
    <t>00139</t>
  </si>
  <si>
    <t>롯데전주점</t>
  </si>
  <si>
    <t>00113</t>
  </si>
  <si>
    <t>롯데동래점</t>
  </si>
  <si>
    <t>00201</t>
  </si>
  <si>
    <t>현대천호점</t>
  </si>
  <si>
    <t>00309</t>
  </si>
  <si>
    <t>신세계천안아산점</t>
  </si>
  <si>
    <t>00210</t>
  </si>
  <si>
    <t>현대중동점</t>
  </si>
  <si>
    <t>00505</t>
  </si>
  <si>
    <t>갤러리아진주점</t>
  </si>
  <si>
    <t>00303</t>
  </si>
  <si>
    <t>신세계마산점</t>
  </si>
  <si>
    <t>00112</t>
  </si>
  <si>
    <t>롯데울산점</t>
  </si>
  <si>
    <t>00213</t>
  </si>
  <si>
    <t>현대대구점</t>
  </si>
  <si>
    <t>00119</t>
  </si>
  <si>
    <t>롯데상인점</t>
  </si>
  <si>
    <t>00130</t>
  </si>
  <si>
    <t>롯데안산점</t>
  </si>
  <si>
    <t>00503</t>
  </si>
  <si>
    <t>갤러리아천안점</t>
  </si>
  <si>
    <t>00131</t>
  </si>
  <si>
    <t>롯데노원점</t>
  </si>
  <si>
    <t>00601</t>
  </si>
  <si>
    <t>AK프라자분당점</t>
  </si>
  <si>
    <t>00208</t>
  </si>
  <si>
    <t>현대미아점</t>
  </si>
  <si>
    <t>01305</t>
  </si>
  <si>
    <t>신세계본점</t>
  </si>
  <si>
    <t>00106</t>
  </si>
  <si>
    <t>롯데광주점</t>
  </si>
  <si>
    <t>00125</t>
  </si>
  <si>
    <t>롯데구리점</t>
  </si>
  <si>
    <t>00506</t>
  </si>
  <si>
    <t>갤러리아타임월드점</t>
  </si>
  <si>
    <t>00306</t>
  </si>
  <si>
    <t>신세계경기점</t>
  </si>
  <si>
    <t>05552</t>
  </si>
  <si>
    <t>신세계아울렛파주점</t>
  </si>
  <si>
    <t>00126</t>
  </si>
  <si>
    <t>롯데영등포점</t>
  </si>
  <si>
    <t>00203</t>
  </si>
  <si>
    <t>현대울산점</t>
  </si>
  <si>
    <t>05007</t>
  </si>
  <si>
    <t>롯데아울렛군산점</t>
  </si>
  <si>
    <t>00110</t>
  </si>
  <si>
    <t>롯데강남점</t>
  </si>
  <si>
    <t>00301</t>
  </si>
  <si>
    <t>신세계광주점</t>
  </si>
  <si>
    <t>00603</t>
  </si>
  <si>
    <t>AK프라자수원점</t>
  </si>
  <si>
    <t>00307</t>
  </si>
  <si>
    <t>신세계센텀점</t>
  </si>
  <si>
    <t>00310</t>
  </si>
  <si>
    <t>신세계의정부점</t>
  </si>
  <si>
    <t>00111</t>
  </si>
  <si>
    <t>롯데포항점</t>
  </si>
  <si>
    <t>00313</t>
  </si>
  <si>
    <t>신세계스타필드하남점</t>
  </si>
  <si>
    <t>00222</t>
  </si>
  <si>
    <t>현대신촌점</t>
  </si>
  <si>
    <t>00114</t>
  </si>
  <si>
    <t>롯데창원점</t>
  </si>
  <si>
    <t>00129</t>
  </si>
  <si>
    <t>롯데평촌점</t>
  </si>
  <si>
    <t>00219</t>
  </si>
  <si>
    <t>현대판교점</t>
  </si>
  <si>
    <t>00141</t>
  </si>
  <si>
    <t>롯데인천터미널점</t>
  </si>
  <si>
    <t>00504</t>
  </si>
  <si>
    <t>갤러리아광교점</t>
  </si>
  <si>
    <t>00308</t>
  </si>
  <si>
    <t>신세계타임스퀘어점</t>
  </si>
  <si>
    <t>00314</t>
  </si>
  <si>
    <t>신세계대구점</t>
  </si>
  <si>
    <t>00142</t>
  </si>
  <si>
    <t>롯데동탄점</t>
  </si>
  <si>
    <t>00311</t>
  </si>
  <si>
    <t>신세계김해점</t>
  </si>
  <si>
    <t>00132</t>
  </si>
  <si>
    <t>롯데광복점</t>
  </si>
  <si>
    <t>00214</t>
  </si>
  <si>
    <t>현대충청점</t>
  </si>
  <si>
    <t>05005</t>
  </si>
  <si>
    <t>롯데아울렛고양점</t>
  </si>
  <si>
    <t>00128</t>
  </si>
  <si>
    <t>롯데부산본점</t>
  </si>
  <si>
    <t>00101</t>
  </si>
  <si>
    <t>롯데잠실점</t>
  </si>
  <si>
    <t>00315</t>
  </si>
  <si>
    <t>신세계대전점</t>
  </si>
  <si>
    <t>05006</t>
  </si>
  <si>
    <t>롯데아울렛광교점</t>
  </si>
  <si>
    <t>05601</t>
  </si>
  <si>
    <t>현대아울렛대전점</t>
  </si>
  <si>
    <t>05004</t>
  </si>
  <si>
    <t>롯데아울렛광명점</t>
  </si>
  <si>
    <t>00304</t>
  </si>
  <si>
    <t>신세계강남점</t>
  </si>
  <si>
    <t>05201</t>
  </si>
  <si>
    <t>LF스퀘어양주점</t>
  </si>
  <si>
    <t>05003</t>
  </si>
  <si>
    <t>롯데아울렛이천점</t>
  </si>
  <si>
    <t>05009</t>
  </si>
  <si>
    <t>롯데아울렛동부산점</t>
  </si>
  <si>
    <t>05002</t>
  </si>
  <si>
    <t>롯데아울렛김해점</t>
  </si>
  <si>
    <t>05602</t>
  </si>
  <si>
    <t>현대아울렛남양주점</t>
  </si>
  <si>
    <t>05014</t>
  </si>
  <si>
    <t>롯데아울렛서울역점</t>
  </si>
  <si>
    <t>00207</t>
  </si>
  <si>
    <t>현대압구정본점</t>
  </si>
  <si>
    <t>이익액 합계</t>
    <phoneticPr fontId="2" type="noConversion"/>
  </si>
  <si>
    <t>이익액 평균</t>
    <phoneticPr fontId="2" type="noConversion"/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</si>
  <si>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</si>
  <si>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</si>
  <si>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</si>
  <si>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</si>
  <si>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</si>
  <si>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</si>
  <si>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</si>
  <si>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</si>
  <si>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</si>
  <si>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</si>
  <si>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</si>
  <si>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▼순이익 낮은순 월별 집계, 최근12개월 - 순이익율(순이익/매출) 오름차순으로 SORT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</si>
</sst>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#,##0_ ;[Red]\-#,##0\ "/>
  </numFmts>
  <fonts count="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휴먼모음T"/>
      <family val="1"/>
      <charset val="129"/>
    </font>
    <font>
      <sz val="9"/>
      <name val="돋움체"/>
      <family val="3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0" fontId="4" fillId="0" borderId="0"/>
    <xf numFmtId="0" fontId="4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2" borderId="1" xfId="3" quotePrefix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right" vertical="center"/>
    </xf>
    <xf numFmtId="177" fontId="3" fillId="5" borderId="1" xfId="0" applyNumberFormat="1" applyFont="1" applyFill="1" applyBorder="1" applyAlignment="1">
      <alignment horizontal="right" vertical="center"/>
    </xf>
    <xf numFmtId="0" fontId="3" fillId="0" borderId="1" xfId="3" quotePrefix="1" applyFont="1" applyBorder="1" applyAlignment="1">
      <alignment horizontal="center" vertical="center"/>
    </xf>
    <xf numFmtId="177" fontId="3" fillId="0" borderId="1" xfId="5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</cellXfs>
  <cellStyles count="7">
    <cellStyle name="쉼표 [0] 11" xfId="6" xr:uid="{2FD7D032-601D-4E26-8275-E583B961DC0B}"/>
    <cellStyle name="쉼표 [0] 2" xfId="5" xr:uid="{58F8FA05-C7A4-4CFD-94CE-11337C03926F}"/>
    <cellStyle name="표준" xfId="0" builtinId="0"/>
    <cellStyle name="표준 2 10" xfId="1" xr:uid="{0E76B4B6-FBEE-4F44-AB20-55F0D8866B01}"/>
    <cellStyle name="표준 2 2" xfId="3" xr:uid="{3596641E-081D-42FC-A0B8-61573A1E34BE}"/>
    <cellStyle name="표준 42 39" xfId="2" xr:uid="{9BE536F7-B087-4830-A4A2-835E7F2BA911}"/>
    <cellStyle name="표준 5" xfId="4" xr:uid="{4C92CC82-806E-4BF7-AE3E-0CDCAD7ED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EC9C-0CF5-494D-A944-550DB2013C32}">
  <sheetPr codeName="Sheet17"/>
  <dimension ref="A1:O49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2" sqref="I12"/>
    </sheetView>
  </sheetViews>
  <sheetFormatPr defaultRowHeight="14.4"/>
  <cols>
    <col min="1" max="1" width="6" bestFit="1" customWidth="1"/>
    <col min="2" max="2" width="13.5" bestFit="1" customWidth="1"/>
    <col min="3" max="14" width="12.796875" bestFit="1" customWidth="1"/>
    <col min="15" max="15" width="14.59765625" bestFit="1" customWidth="1"/>
  </cols>
  <sheetData>
    <row r="1" spans="1:15">
      <c r="A1" s="9" t="s">
        <v>147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0</v>
      </c>
      <c r="B3" s="2" t="s">
        <v>1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140</v>
      </c>
      <c r="H3" s="3" t="s">
        <v>141</v>
      </c>
      <c r="I3" s="3" t="s">
        <v>142</v>
      </c>
      <c r="J3" s="3" t="s">
        <v>143</v>
      </c>
      <c r="K3" s="3" t="s">
        <v>144</v>
      </c>
      <c r="L3" s="3" t="s">
        <v>145</v>
      </c>
      <c r="M3" s="3" t="s">
        <v>146</v>
      </c>
      <c r="N3" s="3" t="s">
        <v>3</v>
      </c>
      <c r="O3" s="3" t="s">
        <v>2</v>
      </c>
    </row>
    <row r="4" spans="1:15">
      <c r="A4" s="4" t="s">
        <v>4</v>
      </c>
      <c r="B4" s="7" t="s">
        <v>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7569434</v>
      </c>
      <c r="M4" s="8">
        <v>-1177276</v>
      </c>
      <c r="N4" s="8">
        <v>0</v>
      </c>
      <c r="O4" s="8">
        <f t="shared" ref="O4:O35" si="0">SUM(C4:N4)</f>
        <v>6392158</v>
      </c>
    </row>
    <row r="5" spans="1:15">
      <c r="A5" s="4" t="s">
        <v>6</v>
      </c>
      <c r="B5" s="7" t="s">
        <v>7</v>
      </c>
      <c r="C5" s="8">
        <v>-388740</v>
      </c>
      <c r="D5" s="8">
        <v>-1154446</v>
      </c>
      <c r="E5" s="8">
        <v>-1948234</v>
      </c>
      <c r="F5" s="8">
        <v>2724960</v>
      </c>
      <c r="G5" s="8">
        <v>1003893</v>
      </c>
      <c r="H5" s="8">
        <v>-512580</v>
      </c>
      <c r="I5" s="8">
        <v>72356</v>
      </c>
      <c r="J5" s="8">
        <v>-892767</v>
      </c>
      <c r="K5" s="8">
        <v>804655</v>
      </c>
      <c r="L5" s="8">
        <v>570932</v>
      </c>
      <c r="M5" s="8">
        <v>1232275</v>
      </c>
      <c r="N5" s="8">
        <v>299058</v>
      </c>
      <c r="O5" s="8">
        <f t="shared" si="0"/>
        <v>1811362</v>
      </c>
    </row>
    <row r="6" spans="1:15">
      <c r="A6" s="4" t="s">
        <v>8</v>
      </c>
      <c r="B6" s="7" t="s">
        <v>9</v>
      </c>
      <c r="C6" s="8">
        <v>1530001</v>
      </c>
      <c r="D6" s="8">
        <v>-1293651</v>
      </c>
      <c r="E6" s="8">
        <v>1125825</v>
      </c>
      <c r="F6" s="8">
        <v>3202409</v>
      </c>
      <c r="G6" s="8">
        <v>-236901</v>
      </c>
      <c r="H6" s="8">
        <v>543655</v>
      </c>
      <c r="I6" s="8">
        <v>2117302</v>
      </c>
      <c r="J6" s="8">
        <v>-1031804</v>
      </c>
      <c r="K6" s="8">
        <v>-1164064</v>
      </c>
      <c r="L6" s="8">
        <v>1241066</v>
      </c>
      <c r="M6" s="8">
        <v>288841</v>
      </c>
      <c r="N6" s="8">
        <v>1118423</v>
      </c>
      <c r="O6" s="8">
        <f t="shared" si="0"/>
        <v>7441102</v>
      </c>
    </row>
    <row r="7" spans="1:15">
      <c r="A7" s="4" t="s">
        <v>10</v>
      </c>
      <c r="B7" s="7" t="s">
        <v>11</v>
      </c>
      <c r="C7" s="8">
        <v>0</v>
      </c>
      <c r="D7" s="8">
        <v>1244192</v>
      </c>
      <c r="E7" s="8">
        <v>2740819</v>
      </c>
      <c r="F7" s="8">
        <v>8251528</v>
      </c>
      <c r="G7" s="8">
        <v>2962252</v>
      </c>
      <c r="H7" s="8">
        <v>4940120</v>
      </c>
      <c r="I7" s="8">
        <v>2589597</v>
      </c>
      <c r="J7" s="8">
        <v>2386497</v>
      </c>
      <c r="K7" s="8">
        <v>325197</v>
      </c>
      <c r="L7" s="8">
        <v>3860262</v>
      </c>
      <c r="M7" s="8">
        <v>6967396</v>
      </c>
      <c r="N7" s="8">
        <v>1594466</v>
      </c>
      <c r="O7" s="8">
        <f t="shared" si="0"/>
        <v>37862326</v>
      </c>
    </row>
    <row r="8" spans="1:15">
      <c r="A8" s="4" t="s">
        <v>12</v>
      </c>
      <c r="B8" s="7" t="s">
        <v>13</v>
      </c>
      <c r="C8" s="8">
        <v>854925</v>
      </c>
      <c r="D8" s="8">
        <v>-3140500</v>
      </c>
      <c r="E8" s="8">
        <v>387069</v>
      </c>
      <c r="F8" s="8">
        <v>8632168</v>
      </c>
      <c r="G8" s="8">
        <v>4919847</v>
      </c>
      <c r="H8" s="8">
        <v>1386912</v>
      </c>
      <c r="I8" s="8">
        <v>1630462</v>
      </c>
      <c r="J8" s="8">
        <v>390851</v>
      </c>
      <c r="K8" s="8">
        <v>1307614</v>
      </c>
      <c r="L8" s="8">
        <v>2335800</v>
      </c>
      <c r="M8" s="8">
        <v>2367138</v>
      </c>
      <c r="N8" s="8">
        <v>1531724</v>
      </c>
      <c r="O8" s="8">
        <f t="shared" si="0"/>
        <v>22604010</v>
      </c>
    </row>
    <row r="9" spans="1:15">
      <c r="A9" s="4" t="s">
        <v>14</v>
      </c>
      <c r="B9" s="7" t="s">
        <v>15</v>
      </c>
      <c r="C9" s="8">
        <v>3556605</v>
      </c>
      <c r="D9" s="8">
        <v>-261315</v>
      </c>
      <c r="E9" s="8">
        <v>2705436</v>
      </c>
      <c r="F9" s="8">
        <v>6208165</v>
      </c>
      <c r="G9" s="8">
        <v>5267145</v>
      </c>
      <c r="H9" s="8">
        <v>1157984</v>
      </c>
      <c r="I9" s="8">
        <v>-699364</v>
      </c>
      <c r="J9" s="8">
        <v>-459197</v>
      </c>
      <c r="K9" s="8">
        <v>1275535</v>
      </c>
      <c r="L9" s="8">
        <v>2783884</v>
      </c>
      <c r="M9" s="8">
        <v>5336111</v>
      </c>
      <c r="N9" s="8">
        <v>1753850</v>
      </c>
      <c r="O9" s="8">
        <f t="shared" si="0"/>
        <v>28624839</v>
      </c>
    </row>
    <row r="10" spans="1:15">
      <c r="A10" s="4" t="s">
        <v>16</v>
      </c>
      <c r="B10" s="7" t="s">
        <v>17</v>
      </c>
      <c r="C10" s="8">
        <v>1412436</v>
      </c>
      <c r="D10" s="8">
        <v>-965409</v>
      </c>
      <c r="E10" s="8">
        <v>-272190</v>
      </c>
      <c r="F10" s="8">
        <v>4203240</v>
      </c>
      <c r="G10" s="8">
        <v>2670293</v>
      </c>
      <c r="H10" s="8">
        <v>559937</v>
      </c>
      <c r="I10" s="8">
        <v>19153</v>
      </c>
      <c r="J10" s="8">
        <v>-812484</v>
      </c>
      <c r="K10" s="8">
        <v>420457</v>
      </c>
      <c r="L10" s="8">
        <v>904500</v>
      </c>
      <c r="M10" s="8">
        <v>3053327</v>
      </c>
      <c r="N10" s="8">
        <v>1726551</v>
      </c>
      <c r="O10" s="8">
        <f t="shared" si="0"/>
        <v>12919811</v>
      </c>
    </row>
    <row r="11" spans="1:15">
      <c r="A11" s="4" t="s">
        <v>18</v>
      </c>
      <c r="B11" s="7" t="s">
        <v>19</v>
      </c>
      <c r="C11" s="8">
        <v>6067243</v>
      </c>
      <c r="D11" s="8">
        <v>1266259</v>
      </c>
      <c r="E11" s="8">
        <v>5266944</v>
      </c>
      <c r="F11" s="8">
        <v>6931281</v>
      </c>
      <c r="G11" s="8">
        <v>3017894</v>
      </c>
      <c r="H11" s="8">
        <v>3862485</v>
      </c>
      <c r="I11" s="8">
        <v>3815955</v>
      </c>
      <c r="J11" s="8">
        <v>2413139</v>
      </c>
      <c r="K11" s="8">
        <v>2768718</v>
      </c>
      <c r="L11" s="8">
        <v>1960240</v>
      </c>
      <c r="M11" s="8">
        <v>7958204</v>
      </c>
      <c r="N11" s="8">
        <v>1777270</v>
      </c>
      <c r="O11" s="8">
        <f t="shared" si="0"/>
        <v>47105632</v>
      </c>
    </row>
    <row r="12" spans="1:15">
      <c r="A12" s="4" t="s">
        <v>20</v>
      </c>
      <c r="B12" s="7" t="s">
        <v>21</v>
      </c>
      <c r="C12" s="8">
        <v>708184</v>
      </c>
      <c r="D12" s="8">
        <v>-1196597</v>
      </c>
      <c r="E12" s="8">
        <v>-806003</v>
      </c>
      <c r="F12" s="8">
        <v>7966401</v>
      </c>
      <c r="G12" s="8">
        <v>-2878012</v>
      </c>
      <c r="H12" s="8">
        <v>683474</v>
      </c>
      <c r="I12" s="8">
        <v>2676614</v>
      </c>
      <c r="J12" s="8">
        <v>1691717</v>
      </c>
      <c r="K12" s="8">
        <v>1875232</v>
      </c>
      <c r="L12" s="8">
        <v>1374454</v>
      </c>
      <c r="M12" s="8">
        <v>2662439</v>
      </c>
      <c r="N12" s="8">
        <v>2148834</v>
      </c>
      <c r="O12" s="8">
        <f t="shared" si="0"/>
        <v>16906737</v>
      </c>
    </row>
    <row r="13" spans="1:15">
      <c r="A13" s="4" t="s">
        <v>22</v>
      </c>
      <c r="B13" s="7" t="s">
        <v>23</v>
      </c>
      <c r="C13" s="8">
        <v>11529279</v>
      </c>
      <c r="D13" s="8">
        <v>11209039</v>
      </c>
      <c r="E13" s="8">
        <v>9413311</v>
      </c>
      <c r="F13" s="8">
        <v>17667171</v>
      </c>
      <c r="G13" s="8">
        <v>12112501</v>
      </c>
      <c r="H13" s="8">
        <v>7968824</v>
      </c>
      <c r="I13" s="8">
        <v>11772281</v>
      </c>
      <c r="J13" s="8">
        <v>7578225</v>
      </c>
      <c r="K13" s="8">
        <v>15031876</v>
      </c>
      <c r="L13" s="8">
        <v>11680893</v>
      </c>
      <c r="M13" s="8">
        <v>15187116</v>
      </c>
      <c r="N13" s="8">
        <v>6599027</v>
      </c>
      <c r="O13" s="8">
        <f t="shared" si="0"/>
        <v>137749543</v>
      </c>
    </row>
    <row r="14" spans="1:15">
      <c r="A14" s="4" t="s">
        <v>24</v>
      </c>
      <c r="B14" s="7" t="s">
        <v>25</v>
      </c>
      <c r="C14" s="8">
        <v>3496808</v>
      </c>
      <c r="D14" s="8">
        <v>473221</v>
      </c>
      <c r="E14" s="8">
        <v>3325759</v>
      </c>
      <c r="F14" s="8">
        <v>10225238</v>
      </c>
      <c r="G14" s="8">
        <v>5706576</v>
      </c>
      <c r="H14" s="8">
        <v>4510291</v>
      </c>
      <c r="I14" s="8">
        <v>3628689</v>
      </c>
      <c r="J14" s="8">
        <v>1073642</v>
      </c>
      <c r="K14" s="8">
        <v>2258531</v>
      </c>
      <c r="L14" s="8">
        <v>4971161</v>
      </c>
      <c r="M14" s="8">
        <v>8689057</v>
      </c>
      <c r="N14" s="8">
        <v>3998728</v>
      </c>
      <c r="O14" s="8">
        <f t="shared" si="0"/>
        <v>52357701</v>
      </c>
    </row>
    <row r="15" spans="1:15">
      <c r="A15" s="4" t="s">
        <v>26</v>
      </c>
      <c r="B15" s="7" t="s">
        <v>27</v>
      </c>
      <c r="C15" s="8">
        <v>5457431</v>
      </c>
      <c r="D15" s="8">
        <v>1217040</v>
      </c>
      <c r="E15" s="8">
        <v>6001877</v>
      </c>
      <c r="F15" s="8">
        <v>9860164</v>
      </c>
      <c r="G15" s="8">
        <v>6810174</v>
      </c>
      <c r="H15" s="8">
        <v>6122657</v>
      </c>
      <c r="I15" s="8">
        <v>4106651</v>
      </c>
      <c r="J15" s="8">
        <v>3400073</v>
      </c>
      <c r="K15" s="8">
        <v>2619504</v>
      </c>
      <c r="L15" s="8">
        <v>4559368</v>
      </c>
      <c r="M15" s="8">
        <v>10805378</v>
      </c>
      <c r="N15" s="8">
        <v>3903862</v>
      </c>
      <c r="O15" s="8">
        <f t="shared" si="0"/>
        <v>64864179</v>
      </c>
    </row>
    <row r="16" spans="1:15">
      <c r="A16" s="4" t="s">
        <v>28</v>
      </c>
      <c r="B16" s="7" t="s">
        <v>29</v>
      </c>
      <c r="C16" s="8">
        <v>289022</v>
      </c>
      <c r="D16" s="8">
        <v>-686912</v>
      </c>
      <c r="E16" s="8">
        <v>856737</v>
      </c>
      <c r="F16" s="8">
        <v>4908572</v>
      </c>
      <c r="G16" s="8">
        <v>506557</v>
      </c>
      <c r="H16" s="8">
        <v>2568670</v>
      </c>
      <c r="I16" s="8">
        <v>1934550</v>
      </c>
      <c r="J16" s="8">
        <v>1243799</v>
      </c>
      <c r="K16" s="8">
        <v>2288005</v>
      </c>
      <c r="L16" s="8">
        <v>3707938</v>
      </c>
      <c r="M16" s="8">
        <v>2276562</v>
      </c>
      <c r="N16" s="8">
        <v>3233129</v>
      </c>
      <c r="O16" s="8">
        <f t="shared" si="0"/>
        <v>23126629</v>
      </c>
    </row>
    <row r="17" spans="1:15">
      <c r="A17" s="4" t="s">
        <v>30</v>
      </c>
      <c r="B17" s="7" t="s">
        <v>31</v>
      </c>
      <c r="C17" s="8">
        <v>6039939</v>
      </c>
      <c r="D17" s="8">
        <v>3836977</v>
      </c>
      <c r="E17" s="8">
        <v>5898494</v>
      </c>
      <c r="F17" s="8">
        <v>8202141</v>
      </c>
      <c r="G17" s="8">
        <v>6729131</v>
      </c>
      <c r="H17" s="8">
        <v>6307368</v>
      </c>
      <c r="I17" s="8">
        <v>6356785</v>
      </c>
      <c r="J17" s="8">
        <v>4328456</v>
      </c>
      <c r="K17" s="8">
        <v>5522659</v>
      </c>
      <c r="L17" s="8">
        <v>7349408</v>
      </c>
      <c r="M17" s="8">
        <v>8097514</v>
      </c>
      <c r="N17" s="8">
        <v>8254883</v>
      </c>
      <c r="O17" s="8">
        <f t="shared" si="0"/>
        <v>76923755</v>
      </c>
    </row>
    <row r="18" spans="1:15">
      <c r="A18" s="4" t="s">
        <v>32</v>
      </c>
      <c r="B18" s="7" t="s">
        <v>33</v>
      </c>
      <c r="C18" s="8">
        <v>897608</v>
      </c>
      <c r="D18" s="8">
        <v>833845</v>
      </c>
      <c r="E18" s="8">
        <v>1861967</v>
      </c>
      <c r="F18" s="8">
        <v>12398618</v>
      </c>
      <c r="G18" s="8">
        <v>3383337</v>
      </c>
      <c r="H18" s="8">
        <v>3915382</v>
      </c>
      <c r="I18" s="8">
        <v>2454087</v>
      </c>
      <c r="J18" s="8">
        <v>2434060</v>
      </c>
      <c r="K18" s="8">
        <v>2629976</v>
      </c>
      <c r="L18" s="8">
        <v>2993891</v>
      </c>
      <c r="M18" s="8">
        <v>4146953</v>
      </c>
      <c r="N18" s="8">
        <v>4164473</v>
      </c>
      <c r="O18" s="8">
        <f t="shared" si="0"/>
        <v>42114197</v>
      </c>
    </row>
    <row r="19" spans="1:15">
      <c r="A19" s="4" t="s">
        <v>34</v>
      </c>
      <c r="B19" s="7" t="s">
        <v>35</v>
      </c>
      <c r="C19" s="8">
        <v>16692032</v>
      </c>
      <c r="D19" s="8">
        <v>13325445</v>
      </c>
      <c r="E19" s="8">
        <v>13326383</v>
      </c>
      <c r="F19" s="8">
        <v>10523599</v>
      </c>
      <c r="G19" s="8">
        <v>9466790</v>
      </c>
      <c r="H19" s="8">
        <v>13753185</v>
      </c>
      <c r="I19" s="8">
        <v>13203014</v>
      </c>
      <c r="J19" s="8">
        <v>10168828</v>
      </c>
      <c r="K19" s="8">
        <v>12621990</v>
      </c>
      <c r="L19" s="8">
        <v>15949149</v>
      </c>
      <c r="M19" s="8">
        <v>17801538</v>
      </c>
      <c r="N19" s="8">
        <v>17662031</v>
      </c>
      <c r="O19" s="8">
        <f t="shared" si="0"/>
        <v>164493984</v>
      </c>
    </row>
    <row r="20" spans="1:15">
      <c r="A20" s="4" t="s">
        <v>36</v>
      </c>
      <c r="B20" s="7" t="s">
        <v>37</v>
      </c>
      <c r="C20" s="8">
        <v>530712</v>
      </c>
      <c r="D20" s="8">
        <v>1085092</v>
      </c>
      <c r="E20" s="8">
        <v>3001869</v>
      </c>
      <c r="F20" s="8">
        <v>11829607</v>
      </c>
      <c r="G20" s="8">
        <v>4878574</v>
      </c>
      <c r="H20" s="8">
        <v>982449</v>
      </c>
      <c r="I20" s="8">
        <v>2496410</v>
      </c>
      <c r="J20" s="8">
        <v>2261729</v>
      </c>
      <c r="K20" s="8">
        <v>-2874453</v>
      </c>
      <c r="L20" s="8">
        <v>4419266</v>
      </c>
      <c r="M20" s="8">
        <v>8629453</v>
      </c>
      <c r="N20" s="8">
        <v>3584492</v>
      </c>
      <c r="O20" s="8">
        <f t="shared" si="0"/>
        <v>40825200</v>
      </c>
    </row>
    <row r="21" spans="1:15">
      <c r="A21" s="4" t="s">
        <v>38</v>
      </c>
      <c r="B21" s="7" t="s">
        <v>39</v>
      </c>
      <c r="C21" s="8">
        <v>3907516</v>
      </c>
      <c r="D21" s="8">
        <v>1461567</v>
      </c>
      <c r="E21" s="8">
        <v>3819802</v>
      </c>
      <c r="F21" s="8">
        <v>8882787</v>
      </c>
      <c r="G21" s="8">
        <v>3384142</v>
      </c>
      <c r="H21" s="8">
        <v>1648376</v>
      </c>
      <c r="I21" s="8">
        <v>763141</v>
      </c>
      <c r="J21" s="8">
        <v>2433849</v>
      </c>
      <c r="K21" s="8">
        <v>1351896</v>
      </c>
      <c r="L21" s="8">
        <v>2317376</v>
      </c>
      <c r="M21" s="8">
        <v>8245404</v>
      </c>
      <c r="N21" s="8">
        <v>4505646</v>
      </c>
      <c r="O21" s="8">
        <f t="shared" si="0"/>
        <v>42721502</v>
      </c>
    </row>
    <row r="22" spans="1:15">
      <c r="A22" s="4" t="s">
        <v>40</v>
      </c>
      <c r="B22" s="7" t="s">
        <v>41</v>
      </c>
      <c r="C22" s="8">
        <v>6930573</v>
      </c>
      <c r="D22" s="8">
        <v>3100193</v>
      </c>
      <c r="E22" s="8">
        <v>5125599</v>
      </c>
      <c r="F22" s="8">
        <v>10484503</v>
      </c>
      <c r="G22" s="8">
        <v>4915054</v>
      </c>
      <c r="H22" s="8">
        <v>3480520</v>
      </c>
      <c r="I22" s="8">
        <v>3901545</v>
      </c>
      <c r="J22" s="8">
        <v>4494147</v>
      </c>
      <c r="K22" s="8">
        <v>2968763</v>
      </c>
      <c r="L22" s="8">
        <v>6265269</v>
      </c>
      <c r="M22" s="8">
        <v>7220761</v>
      </c>
      <c r="N22" s="8">
        <v>6546046</v>
      </c>
      <c r="O22" s="8">
        <f t="shared" si="0"/>
        <v>65432973</v>
      </c>
    </row>
    <row r="23" spans="1:15">
      <c r="A23" s="4" t="s">
        <v>42</v>
      </c>
      <c r="B23" s="7" t="s">
        <v>43</v>
      </c>
      <c r="C23" s="8">
        <v>6838203</v>
      </c>
      <c r="D23" s="8">
        <v>3110871</v>
      </c>
      <c r="E23" s="8">
        <v>6087311</v>
      </c>
      <c r="F23" s="8">
        <v>9885046</v>
      </c>
      <c r="G23" s="8">
        <v>10528874</v>
      </c>
      <c r="H23" s="8">
        <v>6674245</v>
      </c>
      <c r="I23" s="8">
        <v>4566767</v>
      </c>
      <c r="J23" s="8">
        <v>3317863</v>
      </c>
      <c r="K23" s="8">
        <v>5446909</v>
      </c>
      <c r="L23" s="8">
        <v>8625635</v>
      </c>
      <c r="M23" s="8">
        <v>7309739</v>
      </c>
      <c r="N23" s="8">
        <v>8061736</v>
      </c>
      <c r="O23" s="8">
        <f t="shared" si="0"/>
        <v>80453199</v>
      </c>
    </row>
    <row r="24" spans="1:15">
      <c r="A24" s="4" t="s">
        <v>44</v>
      </c>
      <c r="B24" s="7" t="s">
        <v>45</v>
      </c>
      <c r="C24" s="8">
        <v>2881122</v>
      </c>
      <c r="D24" s="8">
        <v>-469441</v>
      </c>
      <c r="E24" s="8">
        <v>3256986</v>
      </c>
      <c r="F24" s="8">
        <v>6899614</v>
      </c>
      <c r="G24" s="8">
        <v>5594644</v>
      </c>
      <c r="H24" s="8">
        <v>4394895</v>
      </c>
      <c r="I24" s="8">
        <v>3383208</v>
      </c>
      <c r="J24" s="8">
        <v>1517395</v>
      </c>
      <c r="K24" s="8">
        <v>4425227</v>
      </c>
      <c r="L24" s="8">
        <v>4647219</v>
      </c>
      <c r="M24" s="8">
        <v>7407947</v>
      </c>
      <c r="N24" s="8">
        <v>4833495</v>
      </c>
      <c r="O24" s="8">
        <f t="shared" si="0"/>
        <v>48772311</v>
      </c>
    </row>
    <row r="25" spans="1:15">
      <c r="A25" s="4" t="s">
        <v>46</v>
      </c>
      <c r="B25" s="7" t="s">
        <v>47</v>
      </c>
      <c r="C25" s="8">
        <v>3583255</v>
      </c>
      <c r="D25" s="8">
        <v>1889031</v>
      </c>
      <c r="E25" s="8">
        <v>3576832</v>
      </c>
      <c r="F25" s="8">
        <v>4237021</v>
      </c>
      <c r="G25" s="8">
        <v>2733884</v>
      </c>
      <c r="H25" s="8">
        <v>3179234</v>
      </c>
      <c r="I25" s="8">
        <v>3441446</v>
      </c>
      <c r="J25" s="8">
        <v>2067734</v>
      </c>
      <c r="K25" s="8">
        <v>3434185</v>
      </c>
      <c r="L25" s="8">
        <v>3445284</v>
      </c>
      <c r="M25" s="8">
        <v>8258418</v>
      </c>
      <c r="N25" s="8">
        <v>5780400</v>
      </c>
      <c r="O25" s="8">
        <f t="shared" si="0"/>
        <v>45626724</v>
      </c>
    </row>
    <row r="26" spans="1:15">
      <c r="A26" s="4" t="s">
        <v>48</v>
      </c>
      <c r="B26" s="7" t="s">
        <v>49</v>
      </c>
      <c r="C26" s="8">
        <v>11755981</v>
      </c>
      <c r="D26" s="8">
        <v>7910505</v>
      </c>
      <c r="E26" s="8">
        <v>8179696</v>
      </c>
      <c r="F26" s="8">
        <v>15021261</v>
      </c>
      <c r="G26" s="8">
        <v>10021652</v>
      </c>
      <c r="H26" s="8">
        <v>14019801</v>
      </c>
      <c r="I26" s="8">
        <v>7752643</v>
      </c>
      <c r="J26" s="8">
        <v>6302516</v>
      </c>
      <c r="K26" s="8">
        <v>9481032</v>
      </c>
      <c r="L26" s="8">
        <v>9734013</v>
      </c>
      <c r="M26" s="8">
        <v>11328320</v>
      </c>
      <c r="N26" s="8">
        <v>12230694</v>
      </c>
      <c r="O26" s="8">
        <f t="shared" si="0"/>
        <v>123738114</v>
      </c>
    </row>
    <row r="27" spans="1:15">
      <c r="A27" s="4" t="s">
        <v>50</v>
      </c>
      <c r="B27" s="7" t="s">
        <v>51</v>
      </c>
      <c r="C27" s="8">
        <v>6625836</v>
      </c>
      <c r="D27" s="8">
        <v>5390590</v>
      </c>
      <c r="E27" s="8">
        <v>6570159</v>
      </c>
      <c r="F27" s="8">
        <v>12627462</v>
      </c>
      <c r="G27" s="8">
        <v>6985900</v>
      </c>
      <c r="H27" s="8">
        <v>6214899</v>
      </c>
      <c r="I27" s="8">
        <v>5499263</v>
      </c>
      <c r="J27" s="8">
        <v>6011456</v>
      </c>
      <c r="K27" s="8">
        <v>7439559</v>
      </c>
      <c r="L27" s="8">
        <v>9586136</v>
      </c>
      <c r="M27" s="8">
        <v>8824016</v>
      </c>
      <c r="N27" s="8">
        <v>8168373</v>
      </c>
      <c r="O27" s="8">
        <f t="shared" si="0"/>
        <v>89943649</v>
      </c>
    </row>
    <row r="28" spans="1:15">
      <c r="A28" s="4" t="s">
        <v>52</v>
      </c>
      <c r="B28" s="7" t="s">
        <v>53</v>
      </c>
      <c r="C28" s="8">
        <v>4592237</v>
      </c>
      <c r="D28" s="8">
        <v>21440</v>
      </c>
      <c r="E28" s="8">
        <v>3238813</v>
      </c>
      <c r="F28" s="8">
        <v>9257037</v>
      </c>
      <c r="G28" s="8">
        <v>7483356</v>
      </c>
      <c r="H28" s="8">
        <v>4636021</v>
      </c>
      <c r="I28" s="8">
        <v>3650275</v>
      </c>
      <c r="J28" s="8">
        <v>2333137</v>
      </c>
      <c r="K28" s="8">
        <v>4486757</v>
      </c>
      <c r="L28" s="8">
        <v>5133839</v>
      </c>
      <c r="M28" s="8">
        <v>8939006</v>
      </c>
      <c r="N28" s="8">
        <v>5151942</v>
      </c>
      <c r="O28" s="8">
        <f t="shared" si="0"/>
        <v>58923860</v>
      </c>
    </row>
    <row r="29" spans="1:15">
      <c r="A29" s="4" t="s">
        <v>54</v>
      </c>
      <c r="B29" s="7" t="s">
        <v>55</v>
      </c>
      <c r="C29" s="8">
        <v>7809220</v>
      </c>
      <c r="D29" s="8">
        <v>1646328</v>
      </c>
      <c r="E29" s="8">
        <v>1633817</v>
      </c>
      <c r="F29" s="8">
        <v>9450733</v>
      </c>
      <c r="G29" s="8">
        <v>5251320</v>
      </c>
      <c r="H29" s="8">
        <v>4950791</v>
      </c>
      <c r="I29" s="8">
        <v>2430926</v>
      </c>
      <c r="J29" s="8">
        <v>2604712</v>
      </c>
      <c r="K29" s="8">
        <v>3882019</v>
      </c>
      <c r="L29" s="8">
        <v>3605448</v>
      </c>
      <c r="M29" s="8">
        <v>6989685</v>
      </c>
      <c r="N29" s="8">
        <v>5410536</v>
      </c>
      <c r="O29" s="8">
        <f t="shared" si="0"/>
        <v>55665535</v>
      </c>
    </row>
    <row r="30" spans="1:15">
      <c r="A30" s="4" t="s">
        <v>56</v>
      </c>
      <c r="B30" s="7" t="s">
        <v>57</v>
      </c>
      <c r="C30" s="8">
        <v>12497583</v>
      </c>
      <c r="D30" s="8">
        <v>6286159</v>
      </c>
      <c r="E30" s="8">
        <v>8133967</v>
      </c>
      <c r="F30" s="8">
        <v>15949074</v>
      </c>
      <c r="G30" s="8">
        <v>11775820</v>
      </c>
      <c r="H30" s="8">
        <v>12727785</v>
      </c>
      <c r="I30" s="8">
        <v>10176962</v>
      </c>
      <c r="J30" s="8">
        <v>10035165</v>
      </c>
      <c r="K30" s="8">
        <v>9646858</v>
      </c>
      <c r="L30" s="8">
        <v>10122063</v>
      </c>
      <c r="M30" s="8">
        <v>13682427</v>
      </c>
      <c r="N30" s="8">
        <v>15081226</v>
      </c>
      <c r="O30" s="8">
        <f t="shared" si="0"/>
        <v>136115089</v>
      </c>
    </row>
    <row r="31" spans="1:15">
      <c r="A31" s="4" t="s">
        <v>58</v>
      </c>
      <c r="B31" s="7" t="s">
        <v>59</v>
      </c>
      <c r="C31" s="8">
        <v>3251363</v>
      </c>
      <c r="D31" s="8">
        <v>1904436</v>
      </c>
      <c r="E31" s="8">
        <v>324001</v>
      </c>
      <c r="F31" s="8">
        <v>10048551</v>
      </c>
      <c r="G31" s="8">
        <v>5100982</v>
      </c>
      <c r="H31" s="8">
        <v>2533549</v>
      </c>
      <c r="I31" s="8">
        <v>1400566</v>
      </c>
      <c r="J31" s="8">
        <v>3316464</v>
      </c>
      <c r="K31" s="8">
        <v>2767630</v>
      </c>
      <c r="L31" s="8">
        <v>7270828</v>
      </c>
      <c r="M31" s="8">
        <v>8441494</v>
      </c>
      <c r="N31" s="8">
        <v>2422484</v>
      </c>
      <c r="O31" s="8">
        <f t="shared" si="0"/>
        <v>48782348</v>
      </c>
    </row>
    <row r="32" spans="1:15">
      <c r="A32" s="4" t="s">
        <v>60</v>
      </c>
      <c r="B32" s="7" t="s">
        <v>61</v>
      </c>
      <c r="C32" s="8">
        <v>5778318</v>
      </c>
      <c r="D32" s="8">
        <v>4306928</v>
      </c>
      <c r="E32" s="8">
        <v>3963583</v>
      </c>
      <c r="F32" s="8">
        <v>7994128</v>
      </c>
      <c r="G32" s="8">
        <v>8743582</v>
      </c>
      <c r="H32" s="8">
        <v>6340418</v>
      </c>
      <c r="I32" s="8">
        <v>4908256</v>
      </c>
      <c r="J32" s="8">
        <v>4972798</v>
      </c>
      <c r="K32" s="8">
        <v>4702595</v>
      </c>
      <c r="L32" s="8">
        <v>5531738</v>
      </c>
      <c r="M32" s="8">
        <v>6250788</v>
      </c>
      <c r="N32" s="8">
        <v>6967930</v>
      </c>
      <c r="O32" s="8">
        <f t="shared" si="0"/>
        <v>70461062</v>
      </c>
    </row>
    <row r="33" spans="1:15">
      <c r="A33" s="4" t="s">
        <v>62</v>
      </c>
      <c r="B33" s="7" t="s">
        <v>63</v>
      </c>
      <c r="C33" s="8">
        <v>14717705</v>
      </c>
      <c r="D33" s="8">
        <v>3989724</v>
      </c>
      <c r="E33" s="8">
        <v>10793591</v>
      </c>
      <c r="F33" s="8">
        <v>22721549</v>
      </c>
      <c r="G33" s="8">
        <v>14900912</v>
      </c>
      <c r="H33" s="8">
        <v>7642449</v>
      </c>
      <c r="I33" s="8">
        <v>12899424</v>
      </c>
      <c r="J33" s="8">
        <v>7084464</v>
      </c>
      <c r="K33" s="8">
        <v>9525541</v>
      </c>
      <c r="L33" s="8">
        <v>8786446</v>
      </c>
      <c r="M33" s="8">
        <v>17100776</v>
      </c>
      <c r="N33" s="8">
        <v>12891357</v>
      </c>
      <c r="O33" s="8">
        <f t="shared" si="0"/>
        <v>143053938</v>
      </c>
    </row>
    <row r="34" spans="1:15">
      <c r="A34" s="4" t="s">
        <v>64</v>
      </c>
      <c r="B34" s="7" t="s">
        <v>65</v>
      </c>
      <c r="C34" s="8">
        <v>11162206</v>
      </c>
      <c r="D34" s="8">
        <v>2216436</v>
      </c>
      <c r="E34" s="8">
        <v>2258266</v>
      </c>
      <c r="F34" s="8">
        <v>8056625</v>
      </c>
      <c r="G34" s="8">
        <v>2485298</v>
      </c>
      <c r="H34" s="8">
        <v>5416657</v>
      </c>
      <c r="I34" s="8">
        <v>3308360</v>
      </c>
      <c r="J34" s="8">
        <v>2887515</v>
      </c>
      <c r="K34" s="8">
        <v>564296</v>
      </c>
      <c r="L34" s="8">
        <v>4619921</v>
      </c>
      <c r="M34" s="8">
        <v>9748261</v>
      </c>
      <c r="N34" s="8">
        <v>3990249</v>
      </c>
      <c r="O34" s="8">
        <f t="shared" si="0"/>
        <v>56714090</v>
      </c>
    </row>
    <row r="35" spans="1:15">
      <c r="A35" s="4" t="s">
        <v>66</v>
      </c>
      <c r="B35" s="7" t="s">
        <v>67</v>
      </c>
      <c r="C35" s="8">
        <v>4968539</v>
      </c>
      <c r="D35" s="8">
        <v>2031113</v>
      </c>
      <c r="E35" s="8">
        <v>4913705</v>
      </c>
      <c r="F35" s="8">
        <v>9289546</v>
      </c>
      <c r="G35" s="8">
        <v>5797732</v>
      </c>
      <c r="H35" s="8">
        <v>5710839</v>
      </c>
      <c r="I35" s="8">
        <v>1899933</v>
      </c>
      <c r="J35" s="8">
        <v>4574000</v>
      </c>
      <c r="K35" s="8">
        <v>3787955</v>
      </c>
      <c r="L35" s="8">
        <v>4458495</v>
      </c>
      <c r="M35" s="8">
        <v>6329283</v>
      </c>
      <c r="N35" s="8">
        <v>6292567</v>
      </c>
      <c r="O35" s="8">
        <f t="shared" si="0"/>
        <v>60053707</v>
      </c>
    </row>
    <row r="36" spans="1:15">
      <c r="A36" s="4" t="s">
        <v>68</v>
      </c>
      <c r="B36" s="7" t="s">
        <v>69</v>
      </c>
      <c r="C36" s="8">
        <v>10877021</v>
      </c>
      <c r="D36" s="8">
        <v>11456108</v>
      </c>
      <c r="E36" s="8">
        <v>10846359</v>
      </c>
      <c r="F36" s="8">
        <v>17915962</v>
      </c>
      <c r="G36" s="8">
        <v>16942467</v>
      </c>
      <c r="H36" s="8">
        <v>12450405</v>
      </c>
      <c r="I36" s="8">
        <v>11964153</v>
      </c>
      <c r="J36" s="8">
        <v>11171733</v>
      </c>
      <c r="K36" s="8">
        <v>14028052</v>
      </c>
      <c r="L36" s="8">
        <v>17869148</v>
      </c>
      <c r="M36" s="8">
        <v>19363707</v>
      </c>
      <c r="N36" s="8">
        <v>16388331</v>
      </c>
      <c r="O36" s="8">
        <f t="shared" ref="O36:O67" si="1">SUM(C36:N36)</f>
        <v>171273446</v>
      </c>
    </row>
    <row r="37" spans="1:15">
      <c r="A37" s="4" t="s">
        <v>70</v>
      </c>
      <c r="B37" s="7" t="s">
        <v>71</v>
      </c>
      <c r="C37" s="8">
        <v>0</v>
      </c>
      <c r="D37" s="8">
        <v>2850225</v>
      </c>
      <c r="E37" s="8">
        <v>0</v>
      </c>
      <c r="F37" s="8">
        <v>3690480</v>
      </c>
      <c r="G37" s="8">
        <v>3971746</v>
      </c>
      <c r="H37" s="8">
        <v>3053183</v>
      </c>
      <c r="I37" s="8">
        <v>2196734</v>
      </c>
      <c r="J37" s="8">
        <v>1861091</v>
      </c>
      <c r="K37" s="8">
        <v>4067994</v>
      </c>
      <c r="L37" s="8">
        <v>2705617</v>
      </c>
      <c r="M37" s="8">
        <v>7994980</v>
      </c>
      <c r="N37" s="8">
        <v>7929305</v>
      </c>
      <c r="O37" s="8">
        <f t="shared" si="1"/>
        <v>40321355</v>
      </c>
    </row>
    <row r="38" spans="1:15">
      <c r="A38" s="4" t="s">
        <v>72</v>
      </c>
      <c r="B38" s="7" t="s">
        <v>73</v>
      </c>
      <c r="C38" s="8">
        <v>12779080</v>
      </c>
      <c r="D38" s="8">
        <v>9331370</v>
      </c>
      <c r="E38" s="8">
        <v>9173585</v>
      </c>
      <c r="F38" s="8">
        <v>17304073</v>
      </c>
      <c r="G38" s="8">
        <v>20848989</v>
      </c>
      <c r="H38" s="8">
        <v>12989547</v>
      </c>
      <c r="I38" s="8">
        <v>11069794</v>
      </c>
      <c r="J38" s="8">
        <v>12359885</v>
      </c>
      <c r="K38" s="8">
        <v>14121454</v>
      </c>
      <c r="L38" s="8">
        <v>21862035</v>
      </c>
      <c r="M38" s="8">
        <v>17729282</v>
      </c>
      <c r="N38" s="8">
        <v>22251678</v>
      </c>
      <c r="O38" s="8">
        <f t="shared" si="1"/>
        <v>181820772</v>
      </c>
    </row>
    <row r="39" spans="1:15">
      <c r="A39" s="4" t="s">
        <v>74</v>
      </c>
      <c r="B39" s="7" t="s">
        <v>75</v>
      </c>
      <c r="C39" s="8">
        <v>4355215</v>
      </c>
      <c r="D39" s="8">
        <v>2594658</v>
      </c>
      <c r="E39" s="8">
        <v>3594672</v>
      </c>
      <c r="F39" s="8">
        <v>9139483</v>
      </c>
      <c r="G39" s="8">
        <v>6544333</v>
      </c>
      <c r="H39" s="8">
        <v>9202775</v>
      </c>
      <c r="I39" s="8">
        <v>4854357</v>
      </c>
      <c r="J39" s="8">
        <v>3836246</v>
      </c>
      <c r="K39" s="8">
        <v>3977668</v>
      </c>
      <c r="L39" s="8">
        <v>4825811</v>
      </c>
      <c r="M39" s="8">
        <v>7828701</v>
      </c>
      <c r="N39" s="8">
        <v>7817770</v>
      </c>
      <c r="O39" s="8">
        <f t="shared" si="1"/>
        <v>68571689</v>
      </c>
    </row>
    <row r="40" spans="1:15">
      <c r="A40" s="4" t="s">
        <v>76</v>
      </c>
      <c r="B40" s="7" t="s">
        <v>77</v>
      </c>
      <c r="C40" s="8">
        <v>8551075</v>
      </c>
      <c r="D40" s="8">
        <v>8062939</v>
      </c>
      <c r="E40" s="8">
        <v>6601947</v>
      </c>
      <c r="F40" s="8">
        <v>18905533</v>
      </c>
      <c r="G40" s="8">
        <v>14213715</v>
      </c>
      <c r="H40" s="8">
        <v>10630761</v>
      </c>
      <c r="I40" s="8">
        <v>7893219</v>
      </c>
      <c r="J40" s="8">
        <v>6266854</v>
      </c>
      <c r="K40" s="8">
        <v>8145629</v>
      </c>
      <c r="L40" s="8">
        <v>10022415</v>
      </c>
      <c r="M40" s="8">
        <v>11675978</v>
      </c>
      <c r="N40" s="8">
        <v>9706812</v>
      </c>
      <c r="O40" s="8">
        <f t="shared" si="1"/>
        <v>120676877</v>
      </c>
    </row>
    <row r="41" spans="1:15">
      <c r="A41" s="4" t="s">
        <v>78</v>
      </c>
      <c r="B41" s="7" t="s">
        <v>79</v>
      </c>
      <c r="C41" s="8">
        <v>5599613</v>
      </c>
      <c r="D41" s="8">
        <v>1405789</v>
      </c>
      <c r="E41" s="8">
        <v>4970217</v>
      </c>
      <c r="F41" s="8">
        <v>10759687</v>
      </c>
      <c r="G41" s="8">
        <v>6805813</v>
      </c>
      <c r="H41" s="8">
        <v>4093987</v>
      </c>
      <c r="I41" s="8">
        <v>5253789</v>
      </c>
      <c r="J41" s="8">
        <v>5257933</v>
      </c>
      <c r="K41" s="8">
        <v>5826625</v>
      </c>
      <c r="L41" s="8">
        <v>6537706</v>
      </c>
      <c r="M41" s="8">
        <v>5789977</v>
      </c>
      <c r="N41" s="8">
        <v>6175015</v>
      </c>
      <c r="O41" s="8">
        <f t="shared" si="1"/>
        <v>68476151</v>
      </c>
    </row>
    <row r="42" spans="1:15">
      <c r="A42" s="4" t="s">
        <v>80</v>
      </c>
      <c r="B42" s="7" t="s">
        <v>81</v>
      </c>
      <c r="C42" s="8">
        <v>5163898</v>
      </c>
      <c r="D42" s="8">
        <v>989863</v>
      </c>
      <c r="E42" s="8">
        <v>1149784</v>
      </c>
      <c r="F42" s="8">
        <v>5458096</v>
      </c>
      <c r="G42" s="8">
        <v>5222998</v>
      </c>
      <c r="H42" s="8">
        <v>1203848</v>
      </c>
      <c r="I42" s="8">
        <v>1967450</v>
      </c>
      <c r="J42" s="8">
        <v>3299271</v>
      </c>
      <c r="K42" s="8">
        <v>6975794</v>
      </c>
      <c r="L42" s="8">
        <v>7765948</v>
      </c>
      <c r="M42" s="8">
        <v>9420578</v>
      </c>
      <c r="N42" s="8">
        <v>10855991</v>
      </c>
      <c r="O42" s="8">
        <f t="shared" si="1"/>
        <v>59473519</v>
      </c>
    </row>
    <row r="43" spans="1:15">
      <c r="A43" s="4" t="s">
        <v>82</v>
      </c>
      <c r="B43" s="7" t="s">
        <v>83</v>
      </c>
      <c r="C43" s="8">
        <v>10069012</v>
      </c>
      <c r="D43" s="8">
        <v>6730050</v>
      </c>
      <c r="E43" s="8">
        <v>5941760</v>
      </c>
      <c r="F43" s="8">
        <v>11198132</v>
      </c>
      <c r="G43" s="8">
        <v>9631744</v>
      </c>
      <c r="H43" s="8">
        <v>6951404</v>
      </c>
      <c r="I43" s="8">
        <v>7784889</v>
      </c>
      <c r="J43" s="8">
        <v>9787529</v>
      </c>
      <c r="K43" s="8">
        <v>8854146</v>
      </c>
      <c r="L43" s="8">
        <v>9379056</v>
      </c>
      <c r="M43" s="8">
        <v>9118205</v>
      </c>
      <c r="N43" s="8">
        <v>12683920</v>
      </c>
      <c r="O43" s="8">
        <f t="shared" si="1"/>
        <v>108129847</v>
      </c>
    </row>
    <row r="44" spans="1:15">
      <c r="A44" s="4" t="s">
        <v>84</v>
      </c>
      <c r="B44" s="7" t="s">
        <v>85</v>
      </c>
      <c r="C44" s="8">
        <v>10422576</v>
      </c>
      <c r="D44" s="8">
        <v>6966659</v>
      </c>
      <c r="E44" s="8">
        <v>9153705</v>
      </c>
      <c r="F44" s="8">
        <v>23258769</v>
      </c>
      <c r="G44" s="8">
        <v>22494848</v>
      </c>
      <c r="H44" s="8">
        <v>11897734</v>
      </c>
      <c r="I44" s="8">
        <v>9627380</v>
      </c>
      <c r="J44" s="8">
        <v>9995119</v>
      </c>
      <c r="K44" s="8">
        <v>7889704</v>
      </c>
      <c r="L44" s="8">
        <v>13978586</v>
      </c>
      <c r="M44" s="8">
        <v>14050528</v>
      </c>
      <c r="N44" s="8">
        <v>12523995</v>
      </c>
      <c r="O44" s="8">
        <f t="shared" si="1"/>
        <v>152259603</v>
      </c>
    </row>
    <row r="45" spans="1:15">
      <c r="A45" s="4" t="s">
        <v>86</v>
      </c>
      <c r="B45" s="7" t="s">
        <v>87</v>
      </c>
      <c r="C45" s="8">
        <v>15394379</v>
      </c>
      <c r="D45" s="8">
        <v>9594113</v>
      </c>
      <c r="E45" s="8">
        <v>14238866</v>
      </c>
      <c r="F45" s="8">
        <v>19285124</v>
      </c>
      <c r="G45" s="8">
        <v>12199704</v>
      </c>
      <c r="H45" s="8">
        <v>10978054</v>
      </c>
      <c r="I45" s="8">
        <v>13537162</v>
      </c>
      <c r="J45" s="8">
        <v>9574209</v>
      </c>
      <c r="K45" s="8">
        <v>9994100</v>
      </c>
      <c r="L45" s="8">
        <v>16315414</v>
      </c>
      <c r="M45" s="8">
        <v>19606079</v>
      </c>
      <c r="N45" s="8">
        <v>19298655</v>
      </c>
      <c r="O45" s="8">
        <f t="shared" si="1"/>
        <v>170015859</v>
      </c>
    </row>
    <row r="46" spans="1:15">
      <c r="A46" s="4" t="s">
        <v>88</v>
      </c>
      <c r="B46" s="7" t="s">
        <v>89</v>
      </c>
      <c r="C46" s="8">
        <v>16724304</v>
      </c>
      <c r="D46" s="8">
        <v>5669778</v>
      </c>
      <c r="E46" s="8">
        <v>12373292</v>
      </c>
      <c r="F46" s="8">
        <v>26506102</v>
      </c>
      <c r="G46" s="8">
        <v>21013379</v>
      </c>
      <c r="H46" s="8">
        <v>11447440</v>
      </c>
      <c r="I46" s="8">
        <v>8111505</v>
      </c>
      <c r="J46" s="8">
        <v>11553303</v>
      </c>
      <c r="K46" s="8">
        <v>8817510</v>
      </c>
      <c r="L46" s="8">
        <v>13763386</v>
      </c>
      <c r="M46" s="8">
        <v>14388456</v>
      </c>
      <c r="N46" s="8">
        <v>12837133</v>
      </c>
      <c r="O46" s="8">
        <f t="shared" si="1"/>
        <v>163205588</v>
      </c>
    </row>
    <row r="47" spans="1:15">
      <c r="A47" s="4" t="s">
        <v>90</v>
      </c>
      <c r="B47" s="7" t="s">
        <v>91</v>
      </c>
      <c r="C47" s="8">
        <v>12999047</v>
      </c>
      <c r="D47" s="8">
        <v>11076155</v>
      </c>
      <c r="E47" s="8">
        <v>13054883</v>
      </c>
      <c r="F47" s="8">
        <v>16133220</v>
      </c>
      <c r="G47" s="8">
        <v>13332999</v>
      </c>
      <c r="H47" s="8">
        <v>10606225</v>
      </c>
      <c r="I47" s="8">
        <v>10050235</v>
      </c>
      <c r="J47" s="8">
        <v>9161857</v>
      </c>
      <c r="K47" s="8">
        <v>16593258</v>
      </c>
      <c r="L47" s="8">
        <v>12100328</v>
      </c>
      <c r="M47" s="8">
        <v>19122855</v>
      </c>
      <c r="N47" s="8">
        <v>20141169</v>
      </c>
      <c r="O47" s="8">
        <f t="shared" si="1"/>
        <v>164372231</v>
      </c>
    </row>
    <row r="48" spans="1:15">
      <c r="A48" s="4" t="s">
        <v>92</v>
      </c>
      <c r="B48" s="7" t="s">
        <v>93</v>
      </c>
      <c r="C48" s="8">
        <v>8814489</v>
      </c>
      <c r="D48" s="8">
        <v>5794951</v>
      </c>
      <c r="E48" s="8">
        <v>7898058</v>
      </c>
      <c r="F48" s="8">
        <v>13676284</v>
      </c>
      <c r="G48" s="8">
        <v>9286247</v>
      </c>
      <c r="H48" s="8">
        <v>8761758</v>
      </c>
      <c r="I48" s="8">
        <v>9159481</v>
      </c>
      <c r="J48" s="8">
        <v>6436201</v>
      </c>
      <c r="K48" s="8">
        <v>9351630</v>
      </c>
      <c r="L48" s="8">
        <v>9693937</v>
      </c>
      <c r="M48" s="8">
        <v>10809574</v>
      </c>
      <c r="N48" s="8">
        <v>9914309</v>
      </c>
      <c r="O48" s="8">
        <f t="shared" si="1"/>
        <v>109596919</v>
      </c>
    </row>
    <row r="49" spans="1:15">
      <c r="A49" s="4" t="s">
        <v>94</v>
      </c>
      <c r="B49" s="7" t="s">
        <v>95</v>
      </c>
      <c r="C49" s="8">
        <v>12495988</v>
      </c>
      <c r="D49" s="8">
        <v>11477303</v>
      </c>
      <c r="E49" s="8">
        <v>7582593</v>
      </c>
      <c r="F49" s="8">
        <v>12324765</v>
      </c>
      <c r="G49" s="8">
        <v>10851548</v>
      </c>
      <c r="H49" s="8">
        <v>8479067</v>
      </c>
      <c r="I49" s="8">
        <v>7049147</v>
      </c>
      <c r="J49" s="8">
        <v>10719343</v>
      </c>
      <c r="K49" s="8">
        <v>8802452</v>
      </c>
      <c r="L49" s="8">
        <v>13192991</v>
      </c>
      <c r="M49" s="8">
        <v>22391212</v>
      </c>
      <c r="N49" s="8">
        <v>9724039</v>
      </c>
      <c r="O49" s="8">
        <f t="shared" si="1"/>
        <v>135090448</v>
      </c>
    </row>
    <row r="50" spans="1:15">
      <c r="A50" s="4" t="s">
        <v>96</v>
      </c>
      <c r="B50" s="7" t="s">
        <v>97</v>
      </c>
      <c r="C50" s="8">
        <v>10861574</v>
      </c>
      <c r="D50" s="8">
        <v>6553451</v>
      </c>
      <c r="E50" s="8">
        <v>10413170</v>
      </c>
      <c r="F50" s="8">
        <v>16105037</v>
      </c>
      <c r="G50" s="8">
        <v>15362110</v>
      </c>
      <c r="H50" s="8">
        <v>8443127</v>
      </c>
      <c r="I50" s="8">
        <v>6478376</v>
      </c>
      <c r="J50" s="8">
        <v>7180656</v>
      </c>
      <c r="K50" s="8">
        <v>10791946</v>
      </c>
      <c r="L50" s="8">
        <v>14014505</v>
      </c>
      <c r="M50" s="8">
        <v>18229331</v>
      </c>
      <c r="N50" s="8">
        <v>15471073</v>
      </c>
      <c r="O50" s="8">
        <f t="shared" si="1"/>
        <v>139904356</v>
      </c>
    </row>
    <row r="51" spans="1:15">
      <c r="A51" s="4" t="s">
        <v>98</v>
      </c>
      <c r="B51" s="7" t="s">
        <v>99</v>
      </c>
      <c r="C51" s="8">
        <v>9658801</v>
      </c>
      <c r="D51" s="8">
        <v>2717459</v>
      </c>
      <c r="E51" s="8">
        <v>4836350</v>
      </c>
      <c r="F51" s="8">
        <v>10063294</v>
      </c>
      <c r="G51" s="8">
        <v>7771510</v>
      </c>
      <c r="H51" s="8">
        <v>9678751</v>
      </c>
      <c r="I51" s="8">
        <v>6219323</v>
      </c>
      <c r="J51" s="8">
        <v>6342462</v>
      </c>
      <c r="K51" s="8">
        <v>7062490</v>
      </c>
      <c r="L51" s="8">
        <v>7799144</v>
      </c>
      <c r="M51" s="8">
        <v>10504798</v>
      </c>
      <c r="N51" s="8">
        <v>10902235</v>
      </c>
      <c r="O51" s="8">
        <f t="shared" si="1"/>
        <v>93556617</v>
      </c>
    </row>
    <row r="52" spans="1:15">
      <c r="A52" s="4" t="s">
        <v>100</v>
      </c>
      <c r="B52" s="7" t="s">
        <v>101</v>
      </c>
      <c r="C52" s="8">
        <v>4393824</v>
      </c>
      <c r="D52" s="8">
        <v>673104</v>
      </c>
      <c r="E52" s="8">
        <v>-83365</v>
      </c>
      <c r="F52" s="8">
        <v>4406071</v>
      </c>
      <c r="G52" s="8">
        <v>6167466</v>
      </c>
      <c r="H52" s="8">
        <v>2882095</v>
      </c>
      <c r="I52" s="8">
        <v>4573887</v>
      </c>
      <c r="J52" s="8">
        <v>1601363</v>
      </c>
      <c r="K52" s="8">
        <v>29730</v>
      </c>
      <c r="L52" s="8">
        <v>5490015</v>
      </c>
      <c r="M52" s="8">
        <v>9687072</v>
      </c>
      <c r="N52" s="8">
        <v>10686093</v>
      </c>
      <c r="O52" s="8">
        <f t="shared" si="1"/>
        <v>50507355</v>
      </c>
    </row>
    <row r="53" spans="1:15">
      <c r="A53" s="4" t="s">
        <v>102</v>
      </c>
      <c r="B53" s="7" t="s">
        <v>103</v>
      </c>
      <c r="C53" s="8">
        <v>11836259</v>
      </c>
      <c r="D53" s="8">
        <v>1443115</v>
      </c>
      <c r="E53" s="8">
        <v>13437583</v>
      </c>
      <c r="F53" s="8">
        <v>10327036</v>
      </c>
      <c r="G53" s="8">
        <v>5418870</v>
      </c>
      <c r="H53" s="8">
        <v>7301876</v>
      </c>
      <c r="I53" s="8">
        <v>4054373</v>
      </c>
      <c r="J53" s="8">
        <v>7774381</v>
      </c>
      <c r="K53" s="8">
        <v>8311139</v>
      </c>
      <c r="L53" s="8">
        <v>6836355</v>
      </c>
      <c r="M53" s="8">
        <v>12434320</v>
      </c>
      <c r="N53" s="8">
        <v>12154130</v>
      </c>
      <c r="O53" s="8">
        <f t="shared" si="1"/>
        <v>101329437</v>
      </c>
    </row>
    <row r="54" spans="1:15">
      <c r="A54" s="4" t="s">
        <v>104</v>
      </c>
      <c r="B54" s="7" t="s">
        <v>105</v>
      </c>
      <c r="C54" s="8">
        <v>7473394</v>
      </c>
      <c r="D54" s="8">
        <v>3064309</v>
      </c>
      <c r="E54" s="8">
        <v>3313023</v>
      </c>
      <c r="F54" s="8">
        <v>6658038</v>
      </c>
      <c r="G54" s="8">
        <v>4568861</v>
      </c>
      <c r="H54" s="8">
        <v>4970244</v>
      </c>
      <c r="I54" s="8">
        <v>6596948</v>
      </c>
      <c r="J54" s="8">
        <v>1138946</v>
      </c>
      <c r="K54" s="8">
        <v>3253738</v>
      </c>
      <c r="L54" s="8">
        <v>4078670</v>
      </c>
      <c r="M54" s="8">
        <v>6213771</v>
      </c>
      <c r="N54" s="8">
        <v>5430091</v>
      </c>
      <c r="O54" s="8">
        <f t="shared" si="1"/>
        <v>56760033</v>
      </c>
    </row>
    <row r="55" spans="1:15">
      <c r="A55" s="4" t="s">
        <v>106</v>
      </c>
      <c r="B55" s="7" t="s">
        <v>107</v>
      </c>
      <c r="C55" s="8">
        <v>11220150</v>
      </c>
      <c r="D55" s="8">
        <v>2889643</v>
      </c>
      <c r="E55" s="8">
        <v>10064486</v>
      </c>
      <c r="F55" s="8">
        <v>21598342</v>
      </c>
      <c r="G55" s="8">
        <v>16942409</v>
      </c>
      <c r="H55" s="8">
        <v>16008563</v>
      </c>
      <c r="I55" s="8">
        <v>8757066</v>
      </c>
      <c r="J55" s="8">
        <v>8770631</v>
      </c>
      <c r="K55" s="8">
        <v>8105970</v>
      </c>
      <c r="L55" s="8">
        <v>9905559</v>
      </c>
      <c r="M55" s="8">
        <v>29420729</v>
      </c>
      <c r="N55" s="8">
        <v>19415413</v>
      </c>
      <c r="O55" s="8">
        <f t="shared" si="1"/>
        <v>163098961</v>
      </c>
    </row>
    <row r="56" spans="1:15">
      <c r="A56" s="4" t="s">
        <v>108</v>
      </c>
      <c r="B56" s="7" t="s">
        <v>109</v>
      </c>
      <c r="C56" s="8">
        <v>16978956</v>
      </c>
      <c r="D56" s="8">
        <v>4835873</v>
      </c>
      <c r="E56" s="8">
        <v>10118734</v>
      </c>
      <c r="F56" s="8">
        <v>19930207</v>
      </c>
      <c r="G56" s="8">
        <v>18988135</v>
      </c>
      <c r="H56" s="8">
        <v>16857701</v>
      </c>
      <c r="I56" s="8">
        <v>15652081</v>
      </c>
      <c r="J56" s="8">
        <v>11183094</v>
      </c>
      <c r="K56" s="8">
        <v>11096567</v>
      </c>
      <c r="L56" s="8">
        <v>15360431</v>
      </c>
      <c r="M56" s="8">
        <v>19856562</v>
      </c>
      <c r="N56" s="8">
        <v>21303274</v>
      </c>
      <c r="O56" s="8">
        <f t="shared" si="1"/>
        <v>182161615</v>
      </c>
    </row>
    <row r="57" spans="1:15">
      <c r="A57" s="4" t="s">
        <v>110</v>
      </c>
      <c r="B57" s="7" t="s">
        <v>111</v>
      </c>
      <c r="C57" s="8">
        <v>10667423</v>
      </c>
      <c r="D57" s="8">
        <v>3972553</v>
      </c>
      <c r="E57" s="8">
        <v>8479017</v>
      </c>
      <c r="F57" s="8">
        <v>12992737</v>
      </c>
      <c r="G57" s="8">
        <v>13203444</v>
      </c>
      <c r="H57" s="8">
        <v>11486413</v>
      </c>
      <c r="I57" s="8">
        <v>8576897</v>
      </c>
      <c r="J57" s="8">
        <v>9339417</v>
      </c>
      <c r="K57" s="8">
        <v>8696861</v>
      </c>
      <c r="L57" s="8">
        <v>8882403</v>
      </c>
      <c r="M57" s="8">
        <v>12835256</v>
      </c>
      <c r="N57" s="8">
        <v>12144454</v>
      </c>
      <c r="O57" s="8">
        <f t="shared" si="1"/>
        <v>121276875</v>
      </c>
    </row>
    <row r="58" spans="1:15">
      <c r="A58" s="4" t="s">
        <v>112</v>
      </c>
      <c r="B58" s="7" t="s">
        <v>113</v>
      </c>
      <c r="C58" s="8">
        <v>8945660</v>
      </c>
      <c r="D58" s="8">
        <v>5330629</v>
      </c>
      <c r="E58" s="8">
        <v>4478680</v>
      </c>
      <c r="F58" s="8">
        <v>13837944</v>
      </c>
      <c r="G58" s="8">
        <v>9701613</v>
      </c>
      <c r="H58" s="8">
        <v>9915099</v>
      </c>
      <c r="I58" s="8">
        <v>6260015</v>
      </c>
      <c r="J58" s="8">
        <v>5803078</v>
      </c>
      <c r="K58" s="8">
        <v>7614010</v>
      </c>
      <c r="L58" s="8">
        <v>6910371</v>
      </c>
      <c r="M58" s="8">
        <v>10974164</v>
      </c>
      <c r="N58" s="8">
        <v>10431127</v>
      </c>
      <c r="O58" s="8">
        <f t="shared" si="1"/>
        <v>100202390</v>
      </c>
    </row>
    <row r="59" spans="1:15">
      <c r="A59" s="4" t="s">
        <v>114</v>
      </c>
      <c r="B59" s="7" t="s">
        <v>115</v>
      </c>
      <c r="C59" s="8">
        <v>18503300</v>
      </c>
      <c r="D59" s="8">
        <v>16131292</v>
      </c>
      <c r="E59" s="8">
        <v>17468368</v>
      </c>
      <c r="F59" s="8">
        <v>22933372</v>
      </c>
      <c r="G59" s="8">
        <v>17242817</v>
      </c>
      <c r="H59" s="8">
        <v>19339542</v>
      </c>
      <c r="I59" s="8">
        <v>17740787</v>
      </c>
      <c r="J59" s="8">
        <v>18212474</v>
      </c>
      <c r="K59" s="8">
        <v>18115919</v>
      </c>
      <c r="L59" s="8">
        <v>20230538</v>
      </c>
      <c r="M59" s="8">
        <v>26355742</v>
      </c>
      <c r="N59" s="8">
        <v>22344984</v>
      </c>
      <c r="O59" s="8">
        <f t="shared" si="1"/>
        <v>234619135</v>
      </c>
    </row>
    <row r="60" spans="1:15">
      <c r="A60" s="4" t="s">
        <v>116</v>
      </c>
      <c r="B60" s="7" t="s">
        <v>117</v>
      </c>
      <c r="C60" s="8">
        <v>8657319</v>
      </c>
      <c r="D60" s="8">
        <v>5344280</v>
      </c>
      <c r="E60" s="8">
        <v>4702048</v>
      </c>
      <c r="F60" s="8">
        <v>11511901</v>
      </c>
      <c r="G60" s="8">
        <v>11224998</v>
      </c>
      <c r="H60" s="8">
        <v>9998972</v>
      </c>
      <c r="I60" s="8">
        <v>6530065</v>
      </c>
      <c r="J60" s="8">
        <v>7693245</v>
      </c>
      <c r="K60" s="8">
        <v>6912530</v>
      </c>
      <c r="L60" s="8">
        <v>8442048</v>
      </c>
      <c r="M60" s="8">
        <v>11006711</v>
      </c>
      <c r="N60" s="8">
        <v>10176723</v>
      </c>
      <c r="O60" s="8">
        <f t="shared" si="1"/>
        <v>102200840</v>
      </c>
    </row>
    <row r="61" spans="1:15">
      <c r="A61" s="4" t="s">
        <v>118</v>
      </c>
      <c r="B61" s="7" t="s">
        <v>119</v>
      </c>
      <c r="C61" s="8">
        <v>15387900</v>
      </c>
      <c r="D61" s="8">
        <v>9141230</v>
      </c>
      <c r="E61" s="8">
        <v>14704854</v>
      </c>
      <c r="F61" s="8">
        <v>24141805</v>
      </c>
      <c r="G61" s="8">
        <v>20205877</v>
      </c>
      <c r="H61" s="8">
        <v>23125150</v>
      </c>
      <c r="I61" s="8">
        <v>19847025</v>
      </c>
      <c r="J61" s="8">
        <v>16504519</v>
      </c>
      <c r="K61" s="8">
        <v>20003791</v>
      </c>
      <c r="L61" s="8">
        <v>23397034</v>
      </c>
      <c r="M61" s="8">
        <v>24360074</v>
      </c>
      <c r="N61" s="8">
        <v>26626413</v>
      </c>
      <c r="O61" s="8">
        <f t="shared" si="1"/>
        <v>237445672</v>
      </c>
    </row>
    <row r="62" spans="1:15">
      <c r="A62" s="4" t="s">
        <v>120</v>
      </c>
      <c r="B62" s="7" t="s">
        <v>121</v>
      </c>
      <c r="C62" s="8">
        <v>7791833</v>
      </c>
      <c r="D62" s="8">
        <v>2698727</v>
      </c>
      <c r="E62" s="8">
        <v>3318313</v>
      </c>
      <c r="F62" s="8">
        <v>13627498</v>
      </c>
      <c r="G62" s="8">
        <v>5553225</v>
      </c>
      <c r="H62" s="8">
        <v>4988073</v>
      </c>
      <c r="I62" s="8">
        <v>163398</v>
      </c>
      <c r="J62" s="8">
        <v>2888632</v>
      </c>
      <c r="K62" s="8">
        <v>2895580</v>
      </c>
      <c r="L62" s="8">
        <v>8555038</v>
      </c>
      <c r="M62" s="8">
        <v>14574483</v>
      </c>
      <c r="N62" s="8">
        <v>13613081</v>
      </c>
      <c r="O62" s="8">
        <f t="shared" si="1"/>
        <v>80667881</v>
      </c>
    </row>
    <row r="63" spans="1:15">
      <c r="A63" s="4" t="s">
        <v>122</v>
      </c>
      <c r="B63" s="7" t="s">
        <v>123</v>
      </c>
      <c r="C63" s="8">
        <v>9275802</v>
      </c>
      <c r="D63" s="8">
        <v>9141099</v>
      </c>
      <c r="E63" s="8">
        <v>7875654</v>
      </c>
      <c r="F63" s="8">
        <v>15889394</v>
      </c>
      <c r="G63" s="8">
        <v>9518919</v>
      </c>
      <c r="H63" s="8">
        <v>6380593</v>
      </c>
      <c r="I63" s="8">
        <v>8192241</v>
      </c>
      <c r="J63" s="8">
        <v>10424782</v>
      </c>
      <c r="K63" s="8">
        <v>13347736</v>
      </c>
      <c r="L63" s="8">
        <v>9143333</v>
      </c>
      <c r="M63" s="8">
        <v>18083457</v>
      </c>
      <c r="N63" s="8">
        <v>9911284</v>
      </c>
      <c r="O63" s="8">
        <f t="shared" si="1"/>
        <v>127184294</v>
      </c>
    </row>
    <row r="64" spans="1:15">
      <c r="A64" s="4" t="s">
        <v>124</v>
      </c>
      <c r="B64" s="7" t="s">
        <v>125</v>
      </c>
      <c r="C64" s="8">
        <v>5229485</v>
      </c>
      <c r="D64" s="8">
        <v>5730807</v>
      </c>
      <c r="E64" s="8">
        <v>6154326</v>
      </c>
      <c r="F64" s="8">
        <v>15112989</v>
      </c>
      <c r="G64" s="8">
        <v>12972716</v>
      </c>
      <c r="H64" s="8">
        <v>6350501</v>
      </c>
      <c r="I64" s="8">
        <v>6397232</v>
      </c>
      <c r="J64" s="8">
        <v>8088074</v>
      </c>
      <c r="K64" s="8">
        <v>8254740</v>
      </c>
      <c r="L64" s="8">
        <v>7770677</v>
      </c>
      <c r="M64" s="8">
        <v>13165497</v>
      </c>
      <c r="N64" s="8">
        <v>10430539</v>
      </c>
      <c r="O64" s="8">
        <f t="shared" si="1"/>
        <v>105657583</v>
      </c>
    </row>
    <row r="65" spans="1:15">
      <c r="A65" s="4" t="s">
        <v>126</v>
      </c>
      <c r="B65" s="7" t="s">
        <v>127</v>
      </c>
      <c r="C65" s="8">
        <v>13892253</v>
      </c>
      <c r="D65" s="8">
        <v>10905495</v>
      </c>
      <c r="E65" s="8">
        <v>11282157</v>
      </c>
      <c r="F65" s="8">
        <v>21531113</v>
      </c>
      <c r="G65" s="8">
        <v>23501472</v>
      </c>
      <c r="H65" s="8">
        <v>21364576</v>
      </c>
      <c r="I65" s="8">
        <v>18026440</v>
      </c>
      <c r="J65" s="8">
        <v>13207839</v>
      </c>
      <c r="K65" s="8">
        <v>13360999</v>
      </c>
      <c r="L65" s="8">
        <v>16107954</v>
      </c>
      <c r="M65" s="8">
        <v>33838828</v>
      </c>
      <c r="N65" s="8">
        <v>16327922</v>
      </c>
      <c r="O65" s="8">
        <f t="shared" si="1"/>
        <v>213347048</v>
      </c>
    </row>
    <row r="66" spans="1:15">
      <c r="A66" s="4" t="s">
        <v>128</v>
      </c>
      <c r="B66" s="7" t="s">
        <v>129</v>
      </c>
      <c r="C66" s="8">
        <v>26502976</v>
      </c>
      <c r="D66" s="8">
        <v>16109483</v>
      </c>
      <c r="E66" s="8">
        <v>18959732</v>
      </c>
      <c r="F66" s="8">
        <v>31186045</v>
      </c>
      <c r="G66" s="8">
        <v>25899895</v>
      </c>
      <c r="H66" s="8">
        <v>20620443</v>
      </c>
      <c r="I66" s="8">
        <v>21107501</v>
      </c>
      <c r="J66" s="8">
        <v>18622321</v>
      </c>
      <c r="K66" s="8">
        <v>25456482</v>
      </c>
      <c r="L66" s="8">
        <v>30239621</v>
      </c>
      <c r="M66" s="8">
        <v>35563766</v>
      </c>
      <c r="N66" s="8">
        <v>30483056</v>
      </c>
      <c r="O66" s="8">
        <f t="shared" si="1"/>
        <v>300751321</v>
      </c>
    </row>
    <row r="67" spans="1:15">
      <c r="A67" s="4" t="s">
        <v>130</v>
      </c>
      <c r="B67" s="7" t="s">
        <v>131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5887972</v>
      </c>
      <c r="O67" s="8">
        <f t="shared" si="1"/>
        <v>5887972</v>
      </c>
    </row>
    <row r="68" spans="1:15" ht="14.4" customHeight="1">
      <c r="A68" s="4" t="s">
        <v>132</v>
      </c>
      <c r="B68" s="7" t="s">
        <v>133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31102008</v>
      </c>
      <c r="N68" s="8">
        <v>-778257</v>
      </c>
      <c r="O68" s="8">
        <f t="shared" ref="O68" si="2">SUM(C68:N68)</f>
        <v>30323751</v>
      </c>
    </row>
    <row r="69" spans="1:15" ht="14.4" customHeight="1">
      <c r="A69" s="10" t="s">
        <v>134</v>
      </c>
      <c r="B69" s="11"/>
      <c r="C69" s="5">
        <f>SUM(C4:C68)</f>
        <v>497495748</v>
      </c>
      <c r="D69" s="5">
        <f t="shared" ref="D69:O69" si="3">SUM(D4:D68)</f>
        <v>271270670</v>
      </c>
      <c r="E69" s="5">
        <f t="shared" si="3"/>
        <v>380865042</v>
      </c>
      <c r="F69" s="5">
        <f t="shared" si="3"/>
        <v>771948732</v>
      </c>
      <c r="G69" s="5">
        <f t="shared" si="3"/>
        <v>569628070</v>
      </c>
      <c r="H69" s="5">
        <f t="shared" si="3"/>
        <v>470779199</v>
      </c>
      <c r="I69" s="5">
        <f t="shared" si="3"/>
        <v>403850207</v>
      </c>
      <c r="J69" s="5">
        <f t="shared" si="3"/>
        <v>366184467</v>
      </c>
      <c r="K69" s="5">
        <f t="shared" si="3"/>
        <v>422378898</v>
      </c>
      <c r="L69" s="5">
        <f t="shared" si="3"/>
        <v>535557430</v>
      </c>
      <c r="M69" s="5">
        <f t="shared" si="3"/>
        <v>767895032</v>
      </c>
      <c r="N69" s="5">
        <f t="shared" si="3"/>
        <v>612895211</v>
      </c>
      <c r="O69" s="5">
        <f t="shared" si="3"/>
        <v>6070748706</v>
      </c>
    </row>
    <row r="70" spans="1:15" ht="14.4" customHeight="1">
      <c r="A70" s="12" t="s">
        <v>135</v>
      </c>
      <c r="B70" s="13"/>
      <c r="C70" s="6">
        <f>AVERAGE(C4:C68)</f>
        <v>7653780.7384615382</v>
      </c>
      <c r="D70" s="6">
        <f t="shared" ref="D70:O70" si="4">AVERAGE(D4:D68)</f>
        <v>4173394.923076923</v>
      </c>
      <c r="E70" s="6">
        <f t="shared" si="4"/>
        <v>5859462.1846153848</v>
      </c>
      <c r="F70" s="6">
        <f t="shared" si="4"/>
        <v>11876134.338461539</v>
      </c>
      <c r="G70" s="6">
        <f t="shared" si="4"/>
        <v>8763508.7692307699</v>
      </c>
      <c r="H70" s="6">
        <f t="shared" si="4"/>
        <v>7242756.9076923076</v>
      </c>
      <c r="I70" s="6">
        <f t="shared" si="4"/>
        <v>6213080.1076923078</v>
      </c>
      <c r="J70" s="6">
        <f t="shared" si="4"/>
        <v>5633607.1846153848</v>
      </c>
      <c r="K70" s="6">
        <f t="shared" si="4"/>
        <v>6498136.8923076922</v>
      </c>
      <c r="L70" s="6">
        <f t="shared" si="4"/>
        <v>8239345.076923077</v>
      </c>
      <c r="M70" s="6">
        <f t="shared" si="4"/>
        <v>11813769.723076923</v>
      </c>
      <c r="N70" s="6">
        <f t="shared" si="4"/>
        <v>9429157.0923076924</v>
      </c>
      <c r="O70" s="6">
        <f t="shared" si="4"/>
        <v>93396133.938461542</v>
      </c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</sheetData>
  <mergeCells count="3">
    <mergeCell ref="A1:O1"/>
    <mergeCell ref="A69:B69"/>
    <mergeCell ref="A70:B7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순이익낮은순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dcterms:created xsi:type="dcterms:W3CDTF">2026-07-09T09:14:40Z</dcterms:created>
  <dcterms:modified xsi:type="dcterms:W3CDTF">2026-07-09T12:04:07Z</dcterms:modified>
</cp:coreProperties>
</file>