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salary_system\templates\"/>
    </mc:Choice>
  </mc:AlternateContent>
  <xr:revisionPtr revIDLastSave="0" documentId="13_ncr:1_{005B92B9-51F3-4CF8-B675-8A0ADBF58DF8}" xr6:coauthVersionLast="47" xr6:coauthVersionMax="47" xr10:uidLastSave="{00000000-0000-0000-0000-000000000000}"/>
  <bookViews>
    <workbookView xWindow="-120" yWindow="-24" windowWidth="23016" windowHeight="10944" xr2:uid="{C857A72B-C4EC-45BA-8B07-71E420E0F677}"/>
  </bookViews>
  <sheets>
    <sheet name="세금계산서(출력)" sheetId="1" r:id="rId1"/>
    <sheet name="매입세금계산서_list" sheetId="2" r:id="rId2"/>
  </sheets>
  <externalReferences>
    <externalReference r:id="rId3"/>
  </externalReferences>
  <definedNames>
    <definedName name="_xlnm._FilterDatabase" localSheetId="1" hidden="1">매입세금계산서_list!$B$4:$J$29</definedName>
    <definedName name="_xlnm._FilterDatabase" hidden="1">#REF!</definedName>
    <definedName name="_xlnm.Print_Area" localSheetId="1">매입세금계산서_list!$C$1:$O$29</definedName>
    <definedName name="_xlnm.Print_Area" localSheetId="0">'세금계산서(출력)'!$A$10:$AH$53</definedName>
    <definedName name="지급보류1" localSheetId="0">"직사각형 1"</definedName>
    <definedName name="지급보류2" localSheetId="0">"직사각형 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2" i="2" l="1"/>
  <c r="N2" i="2"/>
  <c r="O2" i="2"/>
  <c r="L2" i="2"/>
  <c r="AE50" i="1"/>
  <c r="Z49" i="1"/>
  <c r="T49" i="1"/>
  <c r="D49" i="1"/>
  <c r="Z48" i="1"/>
  <c r="T48" i="1"/>
  <c r="D48" i="1"/>
  <c r="Z47" i="1"/>
  <c r="T47" i="1"/>
  <c r="D47" i="1"/>
  <c r="D46" i="1"/>
  <c r="AB41" i="1"/>
  <c r="V41" i="1"/>
  <c r="V39" i="1"/>
  <c r="AD37" i="1"/>
  <c r="V37" i="1"/>
  <c r="AG36" i="1"/>
  <c r="AF36" i="1"/>
  <c r="AE36" i="1"/>
  <c r="AD36" i="1"/>
  <c r="AC36" i="1"/>
  <c r="AA36" i="1"/>
  <c r="Z36" i="1"/>
  <c r="X36" i="1"/>
  <c r="W36" i="1"/>
  <c r="V36" i="1"/>
  <c r="AC35" i="1"/>
  <c r="Z24" i="1"/>
  <c r="V22" i="1" s="1"/>
  <c r="V44" i="1" s="1"/>
  <c r="T24" i="1"/>
  <c r="J22" i="1" s="1"/>
  <c r="J44" i="1" s="1"/>
  <c r="D22" i="1"/>
  <c r="B24" i="1" s="1"/>
  <c r="B22" i="1"/>
  <c r="B44" i="1" s="1"/>
  <c r="L19" i="1"/>
  <c r="L41" i="1" s="1"/>
  <c r="F19" i="1"/>
  <c r="F41" i="1" s="1"/>
  <c r="F17" i="1"/>
  <c r="F39" i="1" s="1"/>
  <c r="N15" i="1"/>
  <c r="N37" i="1" s="1"/>
  <c r="F15" i="1"/>
  <c r="F37" i="1" s="1"/>
  <c r="F14" i="1"/>
  <c r="F36" i="1" s="1"/>
  <c r="Y13" i="1"/>
  <c r="Y35" i="1" s="1"/>
  <c r="E22" i="1"/>
  <c r="D44" i="1" l="1"/>
  <c r="K22" i="1"/>
  <c r="K44" i="1" s="1"/>
  <c r="M22" i="1"/>
  <c r="M44" i="1" s="1"/>
  <c r="B29" i="1"/>
  <c r="B51" i="1" s="1"/>
  <c r="N22" i="1"/>
  <c r="N44" i="1" s="1"/>
  <c r="O22" i="1"/>
  <c r="O44" i="1" s="1"/>
  <c r="P22" i="1"/>
  <c r="P44" i="1" s="1"/>
  <c r="T46" i="1"/>
  <c r="Q22" i="1"/>
  <c r="Q44" i="1" s="1"/>
  <c r="R22" i="1"/>
  <c r="R44" i="1" s="1"/>
  <c r="S22" i="1"/>
  <c r="S44" i="1" s="1"/>
  <c r="U22" i="1"/>
  <c r="U44" i="1" s="1"/>
  <c r="W22" i="1"/>
  <c r="W44" i="1" s="1"/>
  <c r="X22" i="1"/>
  <c r="X44" i="1" s="1"/>
  <c r="G22" i="1"/>
  <c r="G44" i="1" s="1"/>
  <c r="Y22" i="1"/>
  <c r="Y44" i="1" s="1"/>
  <c r="H22" i="1"/>
  <c r="H44" i="1" s="1"/>
  <c r="Z22" i="1"/>
  <c r="Z44" i="1" s="1"/>
  <c r="I22" i="1"/>
  <c r="I44" i="1" s="1"/>
  <c r="AA22" i="1"/>
  <c r="AA44" i="1" s="1"/>
  <c r="L22" i="1"/>
  <c r="L44" i="1" s="1"/>
  <c r="C24" i="1"/>
  <c r="E44" i="1"/>
  <c r="Z46" i="1"/>
  <c r="T22" i="1"/>
  <c r="T44" i="1" s="1"/>
  <c r="F22" i="1" l="1"/>
  <c r="F44" i="1" s="1"/>
</calcChain>
</file>

<file path=xl/sharedStrings.xml><?xml version="1.0" encoding="utf-8"?>
<sst xmlns="http://schemas.openxmlformats.org/spreadsheetml/2006/main" count="389" uniqueCount="194">
  <si>
    <t>About</t>
    <phoneticPr fontId="1" type="noConversion"/>
  </si>
  <si>
    <t>세금계산서 자동발행시스템</t>
    <phoneticPr fontId="1" type="noConversion"/>
  </si>
  <si>
    <t>E-Mail</t>
    <phoneticPr fontId="1" type="noConversion"/>
  </si>
  <si>
    <t>[별지 제11호서식]  (96.3.30개정)</t>
    <phoneticPr fontId="1" type="noConversion"/>
  </si>
  <si>
    <t>(청색)</t>
    <phoneticPr fontId="1" type="noConversion"/>
  </si>
  <si>
    <t xml:space="preserve">   세금계산서</t>
    <phoneticPr fontId="1" type="noConversion"/>
  </si>
  <si>
    <r>
      <t>(</t>
    </r>
    <r>
      <rPr>
        <b/>
        <sz val="11"/>
        <color indexed="62"/>
        <rFont val="돋움체"/>
        <family val="3"/>
        <charset val="129"/>
      </rPr>
      <t>공급받는자보관용</t>
    </r>
    <r>
      <rPr>
        <sz val="11"/>
        <color indexed="62"/>
        <rFont val="돋움체"/>
        <family val="3"/>
        <charset val="129"/>
      </rPr>
      <t>)</t>
    </r>
    <phoneticPr fontId="1" type="noConversion"/>
  </si>
  <si>
    <t>책 번 호</t>
    <phoneticPr fontId="1" type="noConversion"/>
  </si>
  <si>
    <t>권</t>
    <phoneticPr fontId="1" type="noConversion"/>
  </si>
  <si>
    <t>호</t>
    <phoneticPr fontId="1" type="noConversion"/>
  </si>
  <si>
    <t>일련번호</t>
    <phoneticPr fontId="1" type="noConversion"/>
  </si>
  <si>
    <t>-</t>
    <phoneticPr fontId="1" type="noConversion"/>
  </si>
  <si>
    <t>공 급 자</t>
    <phoneticPr fontId="1" type="noConversion"/>
  </si>
  <si>
    <t>등록번호</t>
    <phoneticPr fontId="1" type="noConversion"/>
  </si>
  <si>
    <t>공급받는자</t>
    <phoneticPr fontId="1" type="noConversion"/>
  </si>
  <si>
    <t>2</t>
  </si>
  <si>
    <t>1</t>
  </si>
  <si>
    <t>8</t>
  </si>
  <si>
    <t>3</t>
  </si>
  <si>
    <t>6</t>
  </si>
  <si>
    <t>상    호</t>
    <phoneticPr fontId="1" type="noConversion"/>
  </si>
  <si>
    <t>성명</t>
    <phoneticPr fontId="1" type="noConversion"/>
  </si>
  <si>
    <t>(인)</t>
    <phoneticPr fontId="1" type="noConversion"/>
  </si>
  <si>
    <t>㈜더코지네스트컴퍼니</t>
  </si>
  <si>
    <t>김창수</t>
    <phoneticPr fontId="1" type="noConversion"/>
  </si>
  <si>
    <t>(법인명)</t>
    <phoneticPr fontId="1" type="noConversion"/>
  </si>
  <si>
    <t>사 업 장</t>
    <phoneticPr fontId="1" type="noConversion"/>
  </si>
  <si>
    <t>서울시 강남구 논현2동 59-8</t>
  </si>
  <si>
    <t>주    소</t>
    <phoneticPr fontId="1" type="noConversion"/>
  </si>
  <si>
    <t>업    태</t>
    <phoneticPr fontId="1" type="noConversion"/>
  </si>
  <si>
    <t>종목</t>
    <phoneticPr fontId="1" type="noConversion"/>
  </si>
  <si>
    <t>제조,도소매</t>
  </si>
  <si>
    <t>침구 및 관련제품</t>
  </si>
  <si>
    <t>작    성</t>
    <phoneticPr fontId="1" type="noConversion"/>
  </si>
  <si>
    <t>공  급  가  액</t>
    <phoneticPr fontId="1" type="noConversion"/>
  </si>
  <si>
    <t>세      액</t>
    <phoneticPr fontId="1" type="noConversion"/>
  </si>
  <si>
    <t>비    고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</si>
  <si>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</si>
  <si>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</si>
  <si>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</si>
  <si>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공란수</t>
    <phoneticPr fontId="1" type="noConversion"/>
  </si>
  <si>
    <t>백</t>
    <phoneticPr fontId="1" type="noConversion"/>
  </si>
  <si>
    <t>십</t>
    <phoneticPr fontId="1" type="noConversion"/>
  </si>
  <si>
    <t>억</t>
    <phoneticPr fontId="1" type="noConversion"/>
  </si>
  <si>
    <t>천</t>
    <phoneticPr fontId="1" type="noConversion"/>
  </si>
  <si>
    <t>만</t>
    <phoneticPr fontId="1" type="noConversion"/>
  </si>
  <si>
    <t>품        목</t>
    <phoneticPr fontId="1" type="noConversion"/>
  </si>
  <si>
    <t>규  격</t>
    <phoneticPr fontId="1" type="noConversion"/>
  </si>
  <si>
    <t>수  량</t>
    <phoneticPr fontId="1" type="noConversion"/>
  </si>
  <si>
    <t>단  가</t>
    <phoneticPr fontId="1" type="noConversion"/>
  </si>
  <si>
    <t>공 급 가 액</t>
    <phoneticPr fontId="1" type="noConversion"/>
  </si>
  <si>
    <t>세  액</t>
    <phoneticPr fontId="1" type="noConversion"/>
  </si>
  <si>
    <t>판매수수료</t>
    <phoneticPr fontId="1" type="noConversion"/>
  </si>
  <si>
    <t>합 계 금 액</t>
    <phoneticPr fontId="1" type="noConversion"/>
  </si>
  <si>
    <t>현    금</t>
    <phoneticPr fontId="1" type="noConversion"/>
  </si>
  <si>
    <t>수    표</t>
    <phoneticPr fontId="1" type="noConversion"/>
  </si>
  <si>
    <t>어    음</t>
    <phoneticPr fontId="1" type="noConversion"/>
  </si>
  <si>
    <t>외상미수금</t>
    <phoneticPr fontId="1" type="noConversion"/>
  </si>
  <si>
    <t>이금액을</t>
    <phoneticPr fontId="1" type="noConversion"/>
  </si>
  <si>
    <t>청구</t>
  </si>
  <si>
    <t>함</t>
    <phoneticPr fontId="1" type="noConversion"/>
  </si>
  <si>
    <t>22226-28131 96. 2. 27 개정</t>
    <phoneticPr fontId="1" type="noConversion"/>
  </si>
  <si>
    <t>182mmX128mm 인쇄용지특급</t>
    <phoneticPr fontId="1" type="noConversion"/>
  </si>
  <si>
    <t>(적색)</t>
    <phoneticPr fontId="1" type="noConversion"/>
  </si>
  <si>
    <r>
      <t>(</t>
    </r>
    <r>
      <rPr>
        <b/>
        <sz val="11"/>
        <color indexed="10"/>
        <rFont val="돋움체"/>
        <family val="3"/>
        <charset val="129"/>
      </rPr>
      <t>공급자보관용</t>
    </r>
    <r>
      <rPr>
        <sz val="11"/>
        <color indexed="10"/>
        <rFont val="돋움체"/>
        <family val="3"/>
        <charset val="129"/>
      </rPr>
      <t>)</t>
    </r>
    <phoneticPr fontId="1" type="noConversion"/>
  </si>
  <si>
    <t>(인)</t>
  </si>
  <si>
    <t>지급총액</t>
    <phoneticPr fontId="1" type="noConversion"/>
  </si>
  <si>
    <t>공급가액(V-)</t>
    <phoneticPr fontId="1" type="noConversion"/>
  </si>
  <si>
    <t>세액(부가세)</t>
    <phoneticPr fontId="1" type="noConversion"/>
  </si>
  <si>
    <t>합계</t>
    <phoneticPr fontId="1" type="noConversion"/>
  </si>
  <si>
    <t>■ 공급자, 공급받는자 리스트</t>
    <phoneticPr fontId="1" type="noConversion"/>
  </si>
  <si>
    <t>No.</t>
    <phoneticPr fontId="1" type="noConversion"/>
  </si>
  <si>
    <t>전산 매장명</t>
    <phoneticPr fontId="1" type="noConversion"/>
  </si>
  <si>
    <t>사업자등록번호</t>
    <phoneticPr fontId="1" type="noConversion"/>
  </si>
  <si>
    <t>대표자</t>
    <phoneticPr fontId="1" type="noConversion"/>
  </si>
  <si>
    <t>주 소</t>
    <phoneticPr fontId="1" type="noConversion"/>
  </si>
  <si>
    <t>업 태</t>
    <phoneticPr fontId="1" type="noConversion"/>
  </si>
  <si>
    <t>종 목</t>
    <phoneticPr fontId="1" type="noConversion"/>
  </si>
  <si>
    <t>전 화 번 호</t>
    <phoneticPr fontId="1" type="noConversion"/>
  </si>
  <si>
    <t>지급</t>
    <phoneticPr fontId="1" type="noConversion"/>
  </si>
  <si>
    <t>비고</t>
    <phoneticPr fontId="1" type="noConversion"/>
  </si>
  <si>
    <t>(주)더코지네스트컴퍼니</t>
  </si>
  <si>
    <t>211-81-83236</t>
  </si>
  <si>
    <t>김창수</t>
  </si>
  <si>
    <t>서울시 강남구 논현로 752, 3층</t>
  </si>
  <si>
    <t>070-8670-0118</t>
  </si>
  <si>
    <t>롯데광주점</t>
  </si>
  <si>
    <t>410-03-13741</t>
  </si>
  <si>
    <t>송미랑</t>
  </si>
  <si>
    <t xml:space="preserve">광주 동구 대인동 7-1 롯데백화점 7층 </t>
  </si>
  <si>
    <t>도소매</t>
  </si>
  <si>
    <t>상품판매대리</t>
    <phoneticPr fontId="1" type="noConversion"/>
  </si>
  <si>
    <t>전자(의무아님)</t>
    <phoneticPr fontId="1" type="noConversion"/>
  </si>
  <si>
    <t>유동혁
과장</t>
  </si>
  <si>
    <t>롯데포항점</t>
  </si>
  <si>
    <t>506-13-55100</t>
  </si>
  <si>
    <t>박서영</t>
  </si>
  <si>
    <t xml:space="preserve">경북 포항시 북구 학산동 롯데백화점 8층 </t>
  </si>
  <si>
    <t>전자</t>
    <phoneticPr fontId="1" type="noConversion"/>
  </si>
  <si>
    <t>안정우
팀장</t>
  </si>
  <si>
    <t>롯데울산점</t>
  </si>
  <si>
    <t>258-08-03280</t>
    <phoneticPr fontId="1" type="noConversion"/>
  </si>
  <si>
    <t>양미경</t>
    <phoneticPr fontId="1" type="noConversion"/>
  </si>
  <si>
    <t>울산광역시 남구 삼산로 288, 지하1층(삼산동,롯데백화점)</t>
    <phoneticPr fontId="1" type="noConversion"/>
  </si>
  <si>
    <t>김영완
과장</t>
  </si>
  <si>
    <t>롯데동래점</t>
  </si>
  <si>
    <t>797-02-03667</t>
    <phoneticPr fontId="1" type="noConversion"/>
  </si>
  <si>
    <t>최경진</t>
    <phoneticPr fontId="1" type="noConversion"/>
  </si>
  <si>
    <t>부산광역시 동래구 중앙대로 1393, 7층(온천동,롯데백화점)</t>
    <phoneticPr fontId="1" type="noConversion"/>
  </si>
  <si>
    <t>롯데창원점</t>
  </si>
  <si>
    <t>843-34-01167</t>
  </si>
  <si>
    <t>함미란</t>
  </si>
  <si>
    <t>경상남도 창원시 성산구 중앙대로 124, 지하1층(상남동,롯데백화점)</t>
  </si>
  <si>
    <t>상품판매대리</t>
  </si>
  <si>
    <t>롯데영등포점</t>
    <phoneticPr fontId="1" type="noConversion"/>
  </si>
  <si>
    <t>829-09-02678</t>
    <phoneticPr fontId="1" type="noConversion"/>
  </si>
  <si>
    <t>최종수</t>
    <phoneticPr fontId="1" type="noConversion"/>
  </si>
  <si>
    <t>서울특별시 영등포구 경인로846, 8층(영등포동,영등포민자역사)</t>
    <phoneticPr fontId="1" type="noConversion"/>
  </si>
  <si>
    <t>롯데평촌점</t>
  </si>
  <si>
    <t>705-71-00459</t>
    <phoneticPr fontId="1" type="noConversion"/>
  </si>
  <si>
    <t>최인영</t>
    <phoneticPr fontId="1" type="noConversion"/>
  </si>
  <si>
    <t>경기 안양시동안구 시민대로 180,8층</t>
    <phoneticPr fontId="1" type="noConversion"/>
  </si>
  <si>
    <t>롯데노원점</t>
  </si>
  <si>
    <t>128-26-29663</t>
  </si>
  <si>
    <t>임희선</t>
  </si>
  <si>
    <t xml:space="preserve">서울시 노원구 동일로 1414, 7층(상계동,롯데백화점) </t>
  </si>
  <si>
    <t>롯데대구점</t>
    <phoneticPr fontId="1" type="noConversion"/>
  </si>
  <si>
    <t>154-1902699</t>
    <phoneticPr fontId="1" type="noConversion"/>
  </si>
  <si>
    <t>황정애</t>
    <phoneticPr fontId="1" type="noConversion"/>
  </si>
  <si>
    <t>대구광역시 북구 태평로 161 (칠성동2가, 롯데백화점 대구역) 8층</t>
    <phoneticPr fontId="1" type="noConversion"/>
  </si>
  <si>
    <t>현대천호점</t>
  </si>
  <si>
    <t>576-08-01972</t>
  </si>
  <si>
    <t>이은영</t>
  </si>
  <si>
    <t>서울시 강동구 천호대로 1005 현대백화점10층</t>
  </si>
  <si>
    <t>현대대구점</t>
  </si>
  <si>
    <t>502-21-83685</t>
  </si>
  <si>
    <t>김종숙</t>
  </si>
  <si>
    <t xml:space="preserve">대구 중구 계산동2가 200 현대백화점 7층 </t>
  </si>
  <si>
    <t>현대판교점</t>
  </si>
  <si>
    <t>209-07-21862</t>
  </si>
  <si>
    <t>김은영</t>
  </si>
  <si>
    <t>경기 성남시 분당구 판교역로146번길 20, 8층</t>
  </si>
  <si>
    <t>신세계광주점</t>
  </si>
  <si>
    <t>774-09-02795</t>
  </si>
  <si>
    <t>김문희</t>
    <phoneticPr fontId="1" type="noConversion"/>
  </si>
  <si>
    <t>광주광역시 서구 무진대로 932, 7층(광천동,신세계백화점)</t>
  </si>
  <si>
    <t>신세계마산점</t>
    <phoneticPr fontId="1" type="noConversion"/>
  </si>
  <si>
    <t>689-28-01602</t>
    <phoneticPr fontId="1" type="noConversion"/>
  </si>
  <si>
    <t>이윤옥</t>
    <phoneticPr fontId="1" type="noConversion"/>
  </si>
  <si>
    <t>경상남도 창원시 마산합포구 합포로 251,7층(산호동,신세계백화점)</t>
    <phoneticPr fontId="1" type="noConversion"/>
  </si>
  <si>
    <t>신세계경기점</t>
  </si>
  <si>
    <t>830-39-00022</t>
  </si>
  <si>
    <t>류영순</t>
  </si>
  <si>
    <t xml:space="preserve">경기도 용인시 수지구 포은대로 536 지하2층(죽전동, 신세계백화점) </t>
  </si>
  <si>
    <t>신세계센텀점</t>
  </si>
  <si>
    <t>617-33-62457</t>
  </si>
  <si>
    <t>강은정</t>
  </si>
  <si>
    <t xml:space="preserve">부산 해운대구 센텀남대로 35 (우동, 신세계백화점센텀점 7층) </t>
  </si>
  <si>
    <t>신세계타임스퀘어점</t>
    <phoneticPr fontId="1" type="noConversion"/>
  </si>
  <si>
    <t>503-56-01086</t>
    <phoneticPr fontId="1" type="noConversion"/>
  </si>
  <si>
    <t>배향선</t>
    <phoneticPr fontId="1" type="noConversion"/>
  </si>
  <si>
    <t>서울특별시 영등포구 영중로 9(영등포동4가, 신세계백화점)</t>
    <phoneticPr fontId="1" type="noConversion"/>
  </si>
  <si>
    <t>신세계대구점</t>
    <phoneticPr fontId="1" type="noConversion"/>
  </si>
  <si>
    <t>732-29-01655</t>
    <phoneticPr fontId="1" type="noConversion"/>
  </si>
  <si>
    <t>진미현</t>
    <phoneticPr fontId="1" type="noConversion"/>
  </si>
  <si>
    <t>대구광역시 동구 동부로 149, 7층(신천동,신세계동대구복합환승센터)</t>
    <phoneticPr fontId="1" type="noConversion"/>
  </si>
  <si>
    <t>갤러리아광교점</t>
  </si>
  <si>
    <t>124-36-14774</t>
  </si>
  <si>
    <t>이현주</t>
  </si>
  <si>
    <t xml:space="preserve">경기 수원시영통구 하동 871-1 </t>
  </si>
  <si>
    <t>신세계본점</t>
  </si>
  <si>
    <t>123-31-96216</t>
  </si>
  <si>
    <t>김은주</t>
  </si>
  <si>
    <t xml:space="preserve">서울 중구 소공로 63 (충무로1가, 신세계백화점레노마) </t>
  </si>
  <si>
    <t>롯데아울렛김해점</t>
  </si>
  <si>
    <t>609-18-28722</t>
  </si>
  <si>
    <t>김점희</t>
  </si>
  <si>
    <t>경남 김해시 장유로 469 롯데프리미엄아울렛 김해점</t>
    <phoneticPr fontId="1" type="noConversion"/>
  </si>
  <si>
    <t>김경훈
팀장</t>
  </si>
  <si>
    <t>롯데아울렛이천점</t>
  </si>
  <si>
    <t>483-20-01920</t>
    <phoneticPr fontId="1" type="noConversion"/>
  </si>
  <si>
    <t>최혜영</t>
    <phoneticPr fontId="1" type="noConversion"/>
  </si>
  <si>
    <t>경기도 이천시 호법면 프리미엄아울렛로 177-74(롯데프리미엄아울렛)</t>
    <phoneticPr fontId="1" type="noConversion"/>
  </si>
  <si>
    <t>현대아울렛대전점</t>
    <phoneticPr fontId="1" type="noConversion"/>
  </si>
  <si>
    <t>338-25-01019</t>
    <phoneticPr fontId="1" type="noConversion"/>
  </si>
  <si>
    <t>장은영</t>
    <phoneticPr fontId="1" type="noConversion"/>
  </si>
  <si>
    <t>대전광역시 유성구 테크중앙로123, 3층 레노마홈(용산동,현대프리미엄아울렛대전점)</t>
    <phoneticPr fontId="1" type="noConversion"/>
  </si>
  <si>
    <t>도소매</t>
    <phoneticPr fontId="1" type="noConversion"/>
  </si>
  <si>
    <t>원태윤
차장</t>
  </si>
  <si>
    <t>현대아울렛남양주점</t>
    <phoneticPr fontId="1" type="noConversion"/>
  </si>
  <si>
    <t>793-35-01097</t>
    <phoneticPr fontId="1" type="noConversion"/>
  </si>
  <si>
    <t>김지현</t>
    <phoneticPr fontId="1" type="noConversion"/>
  </si>
  <si>
    <t>경기도 남양주시 다산순환로 50, A동315호(현대프리미엄아울렛 SPACE1)</t>
    <phoneticPr fontId="1" type="noConversion"/>
  </si>
  <si>
    <t>담당자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</si>
</sst>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"/>
    <numFmt numFmtId="177" formatCode="0000"/>
    <numFmt numFmtId="178" formatCode="###\-##\-#####"/>
    <numFmt numFmtId="179" formatCode="#,##0_ "/>
    <numFmt numFmtId="180" formatCode="#,###"/>
    <numFmt numFmtId="181" formatCode="#"/>
    <numFmt numFmtId="182" formatCode="&quot;₩&quot;#,##0"/>
    <numFmt numFmtId="183" formatCode="_(* #,##0_);_(* \(#,##0\);_(* &quot;-&quot;_);_(@_)"/>
    <numFmt numFmtId="184" formatCode="0_ "/>
    <numFmt numFmtId="185" formatCode="#,##0_ ;[Red]\-#,##0\ "/>
  </numFmts>
  <fonts count="4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9"/>
      <name val="Arial"/>
      <family val="2"/>
    </font>
    <font>
      <sz val="9"/>
      <color indexed="9"/>
      <name val="돋움체"/>
      <family val="3"/>
      <charset val="129"/>
    </font>
    <font>
      <b/>
      <sz val="20"/>
      <color indexed="9"/>
      <name val="굴림"/>
      <family val="3"/>
      <charset val="129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10"/>
      <color indexed="9"/>
      <name val="돋움체"/>
      <family val="3"/>
      <charset val="129"/>
    </font>
    <font>
      <sz val="10"/>
      <color indexed="62"/>
      <name val="돋움체"/>
      <family val="3"/>
      <charset val="129"/>
    </font>
    <font>
      <b/>
      <sz val="26"/>
      <color indexed="62"/>
      <name val="바탕체"/>
      <family val="1"/>
      <charset val="129"/>
    </font>
    <font>
      <sz val="11"/>
      <color indexed="62"/>
      <name val="돋움체"/>
      <family val="3"/>
      <charset val="129"/>
    </font>
    <font>
      <b/>
      <sz val="11"/>
      <color indexed="62"/>
      <name val="돋움체"/>
      <family val="3"/>
      <charset val="129"/>
    </font>
    <font>
      <sz val="11"/>
      <color indexed="62"/>
      <name val="Arial"/>
      <family val="2"/>
    </font>
    <font>
      <sz val="14"/>
      <color indexed="8"/>
      <name val="바탕"/>
      <family val="1"/>
      <charset val="129"/>
    </font>
    <font>
      <sz val="14"/>
      <color indexed="62"/>
      <name val="바탕"/>
      <family val="1"/>
      <charset val="129"/>
    </font>
    <font>
      <sz val="20"/>
      <color indexed="8"/>
      <name val="바탕"/>
      <family val="1"/>
      <charset val="129"/>
    </font>
    <font>
      <sz val="20"/>
      <color indexed="8"/>
      <name val="바탕체"/>
      <family val="1"/>
      <charset val="129"/>
    </font>
    <font>
      <sz val="13"/>
      <color indexed="8"/>
      <name val="바탕"/>
      <family val="1"/>
      <charset val="129"/>
    </font>
    <font>
      <sz val="13"/>
      <name val="돋움"/>
      <family val="3"/>
      <charset val="129"/>
    </font>
    <font>
      <sz val="12"/>
      <color indexed="8"/>
      <name val="바탕"/>
      <family val="1"/>
      <charset val="129"/>
    </font>
    <font>
      <sz val="7"/>
      <color indexed="62"/>
      <name val="굴림"/>
      <family val="3"/>
      <charset val="129"/>
    </font>
    <font>
      <sz val="11"/>
      <color indexed="8"/>
      <name val="바탕"/>
      <family val="1"/>
      <charset val="129"/>
    </font>
    <font>
      <sz val="12"/>
      <color indexed="62"/>
      <name val="Century"/>
      <family val="1"/>
    </font>
    <font>
      <sz val="12"/>
      <color indexed="62"/>
      <name val="바탕"/>
      <family val="1"/>
      <charset val="129"/>
    </font>
    <font>
      <sz val="12"/>
      <color indexed="8"/>
      <name val="바탕체"/>
      <family val="1"/>
      <charset val="129"/>
    </font>
    <font>
      <sz val="14"/>
      <color indexed="8"/>
      <name val="바탕체"/>
      <family val="1"/>
      <charset val="129"/>
    </font>
    <font>
      <sz val="12"/>
      <color indexed="8"/>
      <name val="Century"/>
      <family val="1"/>
    </font>
    <font>
      <sz val="11"/>
      <color indexed="8"/>
      <name val="돋움체"/>
      <family val="3"/>
      <charset val="129"/>
    </font>
    <font>
      <sz val="9"/>
      <color indexed="62"/>
      <name val="바탕"/>
      <family val="1"/>
      <charset val="129"/>
    </font>
    <font>
      <sz val="10"/>
      <color indexed="10"/>
      <name val="돋움체"/>
      <family val="3"/>
      <charset val="129"/>
    </font>
    <font>
      <b/>
      <sz val="26"/>
      <color indexed="10"/>
      <name val="바탕체"/>
      <family val="1"/>
      <charset val="129"/>
    </font>
    <font>
      <sz val="11"/>
      <color indexed="10"/>
      <name val="돋움체"/>
      <family val="3"/>
      <charset val="129"/>
    </font>
    <font>
      <b/>
      <sz val="11"/>
      <color indexed="10"/>
      <name val="돋움체"/>
      <family val="3"/>
      <charset val="129"/>
    </font>
    <font>
      <sz val="7"/>
      <color indexed="10"/>
      <name val="굴림"/>
      <family val="3"/>
      <charset val="129"/>
    </font>
    <font>
      <sz val="9"/>
      <color indexed="10"/>
      <name val="바탕"/>
      <family val="1"/>
      <charset val="129"/>
    </font>
    <font>
      <sz val="11"/>
      <name val="돋움"/>
      <family val="3"/>
      <charset val="129"/>
    </font>
    <font>
      <b/>
      <sz val="10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color rgb="FF2C416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Microsoft NeoGothic"/>
      <family val="3"/>
      <charset val="129"/>
    </font>
    <font>
      <sz val="11"/>
      <name val="Microsoft NeoGothic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7BACD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127">
    <border>
      <left/>
      <right/>
      <top/>
      <bottom/>
      <diagonal/>
    </border>
    <border>
      <left style="dashDot">
        <color theme="0" tint="-0.34998626667073579"/>
      </left>
      <right/>
      <top style="dashDot">
        <color theme="0" tint="-0.34998626667073579"/>
      </top>
      <bottom/>
      <diagonal/>
    </border>
    <border>
      <left/>
      <right/>
      <top style="dashDot">
        <color theme="0" tint="-0.34998626667073579"/>
      </top>
      <bottom/>
      <diagonal/>
    </border>
    <border>
      <left/>
      <right style="dashDot">
        <color theme="0" tint="-0.34998626667073579"/>
      </right>
      <top style="dashDot">
        <color theme="0" tint="-0.34998626667073579"/>
      </top>
      <bottom/>
      <diagonal/>
    </border>
    <border>
      <left style="dashDot">
        <color theme="0" tint="-0.34998626667073579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 style="dashDot">
        <color theme="0" tint="-0.34998626667073579"/>
      </right>
      <top/>
      <bottom/>
      <diagonal/>
    </border>
    <border>
      <left style="medium">
        <color indexed="62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 style="thin">
        <color indexed="62"/>
      </left>
      <right/>
      <top style="medium">
        <color indexed="62"/>
      </top>
      <bottom style="thin">
        <color indexed="62"/>
      </bottom>
      <diagonal/>
    </border>
    <border>
      <left/>
      <right/>
      <top style="medium">
        <color indexed="62"/>
      </top>
      <bottom style="thin">
        <color indexed="62"/>
      </bottom>
      <diagonal/>
    </border>
    <border>
      <left/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thin">
        <color indexed="62"/>
      </left>
      <right/>
      <top style="thin">
        <color indexed="62"/>
      </top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 style="thin">
        <color indexed="62"/>
      </top>
      <bottom style="medium">
        <color indexed="62"/>
      </bottom>
      <diagonal/>
    </border>
    <border>
      <left style="medium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 style="medium">
        <color indexed="62"/>
      </left>
      <right/>
      <top style="thin">
        <color indexed="62"/>
      </top>
      <bottom style="medium">
        <color indexed="62"/>
      </bottom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medium">
        <color indexed="62"/>
      </bottom>
      <diagonal/>
    </border>
    <border>
      <left style="thin">
        <color indexed="62"/>
      </left>
      <right/>
      <top style="medium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medium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 style="medium">
        <color indexed="62"/>
      </top>
      <bottom/>
      <diagonal/>
    </border>
    <border>
      <left/>
      <right style="thin">
        <color indexed="62"/>
      </right>
      <top style="medium">
        <color indexed="62"/>
      </top>
      <bottom/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/>
      <top/>
      <bottom style="thin">
        <color indexed="62"/>
      </bottom>
      <diagonal/>
    </border>
    <border>
      <left/>
      <right style="medium">
        <color indexed="62"/>
      </right>
      <top/>
      <bottom style="thin">
        <color indexed="62"/>
      </bottom>
      <diagonal/>
    </border>
    <border>
      <left style="medium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/>
      <top/>
      <bottom style="medium">
        <color indexed="62"/>
      </bottom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 style="medium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double">
        <color indexed="62"/>
      </left>
      <right/>
      <top style="medium">
        <color indexed="62"/>
      </top>
      <bottom style="thin">
        <color indexed="62"/>
      </bottom>
      <diagonal/>
    </border>
    <border>
      <left style="double">
        <color indexed="62"/>
      </left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double">
        <color indexed="62"/>
      </left>
      <right/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 style="medium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/>
      <right style="medium">
        <color indexed="62"/>
      </right>
      <top style="medium">
        <color indexed="62"/>
      </top>
      <bottom/>
      <diagonal/>
    </border>
    <border>
      <left/>
      <right/>
      <top style="dashDot">
        <color indexed="23"/>
      </top>
      <bottom/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/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/>
      <diagonal/>
    </border>
    <border>
      <left style="thin">
        <color indexed="10"/>
      </left>
      <right style="thin">
        <color indexed="10"/>
      </right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10"/>
      </bottom>
      <diagonal/>
    </border>
    <border>
      <left/>
      <right/>
      <top style="thin">
        <color indexed="10"/>
      </top>
      <bottom style="medium">
        <color indexed="10"/>
      </bottom>
      <diagonal/>
    </border>
    <border>
      <left/>
      <right style="medium">
        <color indexed="10"/>
      </right>
      <top style="thin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n">
        <color indexed="10"/>
      </top>
      <bottom style="medium">
        <color indexed="10"/>
      </bottom>
      <diagonal/>
    </border>
    <border>
      <left style="medium">
        <color indexed="10"/>
      </left>
      <right/>
      <top style="thin">
        <color indexed="10"/>
      </top>
      <bottom style="medium">
        <color indexed="10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medium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10"/>
      </left>
      <right/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/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medium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10"/>
      </left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double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/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10"/>
      </right>
      <top style="medium">
        <color indexed="10"/>
      </top>
      <bottom/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dashDot">
        <color theme="0" tint="-0.34998626667073579"/>
      </left>
      <right/>
      <top/>
      <bottom style="dashDot">
        <color theme="0" tint="-0.34998626667073579"/>
      </bottom>
      <diagonal/>
    </border>
    <border>
      <left/>
      <right/>
      <top/>
      <bottom style="dashDot">
        <color theme="0" tint="-0.34998626667073579"/>
      </bottom>
      <diagonal/>
    </border>
    <border>
      <left/>
      <right style="dashDot">
        <color theme="0" tint="-0.34998626667073579"/>
      </right>
      <top/>
      <bottom style="dashDot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183" fontId="35" fillId="0" borderId="0" applyFont="0" applyFill="0" applyBorder="0" applyAlignment="0" applyProtection="0"/>
  </cellStyleXfs>
  <cellXfs count="35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/>
    </xf>
    <xf numFmtId="177" fontId="13" fillId="2" borderId="6" xfId="0" applyNumberFormat="1" applyFont="1" applyFill="1" applyBorder="1" applyAlignment="1" applyProtection="1">
      <alignment horizontal="center" vertical="center"/>
      <protection hidden="1"/>
    </xf>
    <xf numFmtId="0" fontId="16" fillId="2" borderId="23" xfId="0" applyFont="1" applyFill="1" applyBorder="1" applyAlignment="1" applyProtection="1">
      <alignment horizontal="center" vertical="center"/>
      <protection hidden="1"/>
    </xf>
    <xf numFmtId="0" fontId="16" fillId="2" borderId="24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2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10" fillId="2" borderId="31" xfId="0" applyFont="1" applyFill="1" applyBorder="1" applyAlignment="1">
      <alignment horizontal="center" vertical="center"/>
    </xf>
    <xf numFmtId="0" fontId="20" fillId="2" borderId="6" xfId="0" applyFont="1" applyFill="1" applyBorder="1" applyAlignment="1" applyProtection="1">
      <alignment horizontal="center" vertical="center"/>
      <protection hidden="1"/>
    </xf>
    <xf numFmtId="0" fontId="10" fillId="2" borderId="31" xfId="0" applyFont="1" applyFill="1" applyBorder="1" applyAlignment="1" applyProtection="1">
      <alignment horizontal="center" vertical="center"/>
      <protection hidden="1"/>
    </xf>
    <xf numFmtId="0" fontId="19" fillId="2" borderId="6" xfId="0" applyFont="1" applyFill="1" applyBorder="1" applyAlignment="1" applyProtection="1">
      <alignment horizontal="left" vertical="center" wrapText="1"/>
      <protection hidden="1"/>
    </xf>
    <xf numFmtId="0" fontId="10" fillId="2" borderId="37" xfId="0" applyFont="1" applyFill="1" applyBorder="1" applyAlignment="1">
      <alignment horizontal="center" vertical="center"/>
    </xf>
    <xf numFmtId="0" fontId="21" fillId="2" borderId="6" xfId="0" applyFont="1" applyFill="1" applyBorder="1" applyAlignment="1" applyProtection="1">
      <alignment horizontal="left" vertical="center" wrapText="1" shrinkToFit="1"/>
      <protection hidden="1"/>
    </xf>
    <xf numFmtId="0" fontId="10" fillId="2" borderId="51" xfId="0" applyFont="1" applyFill="1" applyBorder="1" applyAlignment="1" applyProtection="1">
      <alignment horizontal="center" vertical="center"/>
      <protection hidden="1"/>
    </xf>
    <xf numFmtId="0" fontId="10" fillId="2" borderId="6" xfId="0" applyFont="1" applyFill="1" applyBorder="1" applyAlignment="1" applyProtection="1">
      <alignment horizontal="center" vertical="center"/>
      <protection hidden="1"/>
    </xf>
    <xf numFmtId="0" fontId="10" fillId="2" borderId="5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left" vertical="center" shrinkToFit="1"/>
    </xf>
    <xf numFmtId="0" fontId="10" fillId="2" borderId="48" xfId="0" applyFont="1" applyFill="1" applyBorder="1" applyAlignment="1">
      <alignment horizontal="center" vertical="center"/>
    </xf>
    <xf numFmtId="0" fontId="10" fillId="2" borderId="54" xfId="0" applyFont="1" applyFill="1" applyBorder="1" applyAlignment="1" applyProtection="1">
      <alignment horizontal="center" vertical="center"/>
      <protection hidden="1"/>
    </xf>
    <xf numFmtId="0" fontId="10" fillId="2" borderId="50" xfId="0" applyFont="1" applyFill="1" applyBorder="1" applyAlignment="1" applyProtection="1">
      <alignment horizontal="center" vertical="center"/>
      <protection hidden="1"/>
    </xf>
    <xf numFmtId="0" fontId="10" fillId="2" borderId="48" xfId="0" applyFont="1" applyFill="1" applyBorder="1" applyAlignment="1" applyProtection="1">
      <alignment horizontal="center" vertical="center"/>
      <protection hidden="1"/>
    </xf>
    <xf numFmtId="0" fontId="23" fillId="2" borderId="6" xfId="0" applyFont="1" applyFill="1" applyBorder="1" applyAlignment="1" applyProtection="1">
      <alignment horizontal="center" vertical="center"/>
      <protection locked="0" hidden="1"/>
    </xf>
    <xf numFmtId="0" fontId="24" fillId="2" borderId="44" xfId="0" applyFont="1" applyFill="1" applyBorder="1" applyAlignment="1" applyProtection="1">
      <alignment horizontal="center" vertical="center" shrinkToFit="1"/>
      <protection locked="0" hidden="1"/>
    </xf>
    <xf numFmtId="3" fontId="19" fillId="2" borderId="44" xfId="0" applyNumberFormat="1" applyFont="1" applyFill="1" applyBorder="1" applyAlignment="1" applyProtection="1">
      <alignment horizontal="center" vertical="center" shrinkToFit="1"/>
      <protection hidden="1"/>
    </xf>
    <xf numFmtId="0" fontId="13" fillId="2" borderId="44" xfId="0" applyFont="1" applyFill="1" applyBorder="1" applyAlignment="1" applyProtection="1">
      <alignment horizontal="center" vertical="center" shrinkToFit="1"/>
      <protection hidden="1"/>
    </xf>
    <xf numFmtId="0" fontId="13" fillId="2" borderId="13" xfId="0" applyFont="1" applyFill="1" applyBorder="1" applyAlignment="1" applyProtection="1">
      <alignment horizontal="center" vertical="center" shrinkToFit="1"/>
      <protection hidden="1"/>
    </xf>
    <xf numFmtId="0" fontId="13" fillId="2" borderId="55" xfId="0" applyFont="1" applyFill="1" applyBorder="1" applyAlignment="1" applyProtection="1">
      <alignment horizontal="center" vertical="center" shrinkToFit="1"/>
      <protection hidden="1"/>
    </xf>
    <xf numFmtId="179" fontId="13" fillId="2" borderId="44" xfId="0" applyNumberFormat="1" applyFont="1" applyFill="1" applyBorder="1" applyAlignment="1" applyProtection="1">
      <alignment horizontal="center" vertical="center" shrinkToFit="1"/>
      <protection hidden="1"/>
    </xf>
    <xf numFmtId="0" fontId="13" fillId="2" borderId="56" xfId="0" applyFont="1" applyFill="1" applyBorder="1" applyAlignment="1" applyProtection="1">
      <alignment horizontal="center" vertical="center" shrinkToFit="1"/>
      <protection hidden="1"/>
    </xf>
    <xf numFmtId="0" fontId="25" fillId="2" borderId="44" xfId="0" applyFont="1" applyFill="1" applyBorder="1" applyAlignment="1" applyProtection="1">
      <alignment horizontal="center" vertical="center" shrinkToFit="1"/>
      <protection hidden="1"/>
    </xf>
    <xf numFmtId="179" fontId="25" fillId="2" borderId="57" xfId="0" applyNumberFormat="1" applyFont="1" applyFill="1" applyBorder="1" applyAlignment="1" applyProtection="1">
      <alignment horizontal="center" vertical="center" shrinkToFit="1"/>
      <protection hidden="1"/>
    </xf>
    <xf numFmtId="0" fontId="10" fillId="2" borderId="5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9" fillId="2" borderId="50" xfId="0" applyFont="1" applyFill="1" applyBorder="1" applyAlignment="1" applyProtection="1">
      <alignment horizontal="center" vertical="center" shrinkToFit="1"/>
      <protection locked="0"/>
    </xf>
    <xf numFmtId="0" fontId="19" fillId="2" borderId="31" xfId="0" applyFont="1" applyFill="1" applyBorder="1" applyAlignment="1" applyProtection="1">
      <alignment horizontal="center" vertical="center" shrinkToFit="1"/>
      <protection locked="0"/>
    </xf>
    <xf numFmtId="181" fontId="19" fillId="2" borderId="6" xfId="0" applyNumberFormat="1" applyFont="1" applyFill="1" applyBorder="1" applyAlignment="1" applyProtection="1">
      <alignment horizontal="center" vertical="center" shrinkToFit="1"/>
      <protection locked="0" hidden="1"/>
    </xf>
    <xf numFmtId="0" fontId="10" fillId="2" borderId="6" xfId="0" applyFont="1" applyFill="1" applyBorder="1" applyAlignment="1" applyProtection="1">
      <alignment horizontal="left" vertical="center"/>
      <protection hidden="1"/>
    </xf>
    <xf numFmtId="0" fontId="28" fillId="2" borderId="6" xfId="0" applyFont="1" applyFill="1" applyBorder="1" applyAlignment="1">
      <alignment horizontal="right" vertical="center"/>
    </xf>
    <xf numFmtId="0" fontId="27" fillId="2" borderId="0" xfId="0" applyFont="1" applyFill="1" applyAlignment="1">
      <alignment horizontal="left" vertical="center"/>
    </xf>
    <xf numFmtId="0" fontId="27" fillId="2" borderId="6" xfId="0" applyFont="1" applyFill="1" applyBorder="1" applyAlignment="1">
      <alignment horizontal="left" vertical="center"/>
    </xf>
    <xf numFmtId="0" fontId="29" fillId="2" borderId="61" xfId="0" applyFont="1" applyFill="1" applyBorder="1" applyAlignment="1" applyProtection="1">
      <alignment horizontal="left" vertical="center"/>
      <protection hidden="1"/>
    </xf>
    <xf numFmtId="0" fontId="29" fillId="2" borderId="6" xfId="0" applyFont="1" applyFill="1" applyBorder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left" vertical="center"/>
      <protection hidden="1"/>
    </xf>
    <xf numFmtId="0" fontId="31" fillId="2" borderId="65" xfId="0" applyFont="1" applyFill="1" applyBorder="1" applyAlignment="1" applyProtection="1">
      <alignment horizontal="left" vertical="center"/>
      <protection hidden="1"/>
    </xf>
    <xf numFmtId="0" fontId="31" fillId="2" borderId="68" xfId="0" applyFont="1" applyFill="1" applyBorder="1" applyAlignment="1" applyProtection="1">
      <alignment horizontal="left" vertical="center"/>
      <protection hidden="1"/>
    </xf>
    <xf numFmtId="0" fontId="31" fillId="2" borderId="6" xfId="0" applyFont="1" applyFill="1" applyBorder="1" applyAlignment="1" applyProtection="1">
      <alignment horizontal="left" vertical="center"/>
      <protection hidden="1"/>
    </xf>
    <xf numFmtId="0" fontId="31" fillId="2" borderId="73" xfId="0" applyFont="1" applyFill="1" applyBorder="1" applyAlignment="1" applyProtection="1">
      <alignment horizontal="center" vertical="center"/>
      <protection hidden="1"/>
    </xf>
    <xf numFmtId="0" fontId="31" fillId="2" borderId="79" xfId="0" applyFont="1" applyFill="1" applyBorder="1" applyAlignment="1" applyProtection="1">
      <alignment horizontal="left" vertical="center"/>
      <protection hidden="1"/>
    </xf>
    <xf numFmtId="0" fontId="16" fillId="2" borderId="85" xfId="0" applyFont="1" applyFill="1" applyBorder="1" applyAlignment="1" applyProtection="1">
      <alignment horizontal="center" vertical="center"/>
      <protection hidden="1"/>
    </xf>
    <xf numFmtId="0" fontId="16" fillId="2" borderId="86" xfId="0" applyFont="1" applyFill="1" applyBorder="1" applyAlignment="1" applyProtection="1">
      <alignment horizontal="center" vertical="center"/>
      <protection hidden="1"/>
    </xf>
    <xf numFmtId="0" fontId="16" fillId="2" borderId="87" xfId="0" applyFont="1" applyFill="1" applyBorder="1" applyAlignment="1" applyProtection="1">
      <alignment horizontal="center" vertical="center"/>
      <protection hidden="1"/>
    </xf>
    <xf numFmtId="0" fontId="16" fillId="2" borderId="88" xfId="0" applyFont="1" applyFill="1" applyBorder="1" applyAlignment="1" applyProtection="1">
      <alignment horizontal="center" vertical="center"/>
      <protection hidden="1"/>
    </xf>
    <xf numFmtId="0" fontId="16" fillId="2" borderId="89" xfId="0" applyFont="1" applyFill="1" applyBorder="1" applyAlignment="1" applyProtection="1">
      <alignment horizontal="center" vertical="center"/>
      <protection hidden="1"/>
    </xf>
    <xf numFmtId="0" fontId="31" fillId="2" borderId="97" xfId="0" applyFont="1" applyFill="1" applyBorder="1" applyAlignment="1" applyProtection="1">
      <alignment horizontal="center" vertical="center"/>
      <protection hidden="1"/>
    </xf>
    <xf numFmtId="0" fontId="33" fillId="2" borderId="6" xfId="0" applyFont="1" applyFill="1" applyBorder="1" applyAlignment="1" applyProtection="1">
      <alignment horizontal="center" vertical="center"/>
      <protection hidden="1"/>
    </xf>
    <xf numFmtId="0" fontId="19" fillId="2" borderId="103" xfId="0" applyFont="1" applyFill="1" applyBorder="1" applyAlignment="1" applyProtection="1">
      <alignment horizontal="center" vertical="center" shrinkToFit="1"/>
      <protection hidden="1"/>
    </xf>
    <xf numFmtId="0" fontId="31" fillId="2" borderId="6" xfId="0" applyFont="1" applyFill="1" applyBorder="1" applyAlignment="1" applyProtection="1">
      <alignment horizontal="center" vertical="center"/>
      <protection hidden="1"/>
    </xf>
    <xf numFmtId="0" fontId="31" fillId="2" borderId="73" xfId="0" applyFont="1" applyFill="1" applyBorder="1" applyAlignment="1" applyProtection="1">
      <alignment horizontal="left" vertical="center"/>
      <protection hidden="1"/>
    </xf>
    <xf numFmtId="0" fontId="31" fillId="2" borderId="73" xfId="0" applyFont="1" applyFill="1" applyBorder="1" applyAlignment="1" applyProtection="1">
      <alignment horizontal="left" vertical="center" shrinkToFit="1"/>
      <protection hidden="1"/>
    </xf>
    <xf numFmtId="0" fontId="31" fillId="2" borderId="92" xfId="0" applyFont="1" applyFill="1" applyBorder="1" applyAlignment="1" applyProtection="1">
      <alignment horizontal="center" vertical="center"/>
      <protection hidden="1"/>
    </xf>
    <xf numFmtId="0" fontId="31" fillId="2" borderId="112" xfId="0" applyFont="1" applyFill="1" applyBorder="1" applyAlignment="1" applyProtection="1">
      <alignment horizontal="center" vertical="center"/>
      <protection hidden="1"/>
    </xf>
    <xf numFmtId="0" fontId="31" fillId="2" borderId="107" xfId="0" applyFont="1" applyFill="1" applyBorder="1" applyAlignment="1" applyProtection="1">
      <alignment horizontal="center" vertical="center"/>
      <protection hidden="1"/>
    </xf>
    <xf numFmtId="181" fontId="19" fillId="2" borderId="6" xfId="0" applyNumberFormat="1" applyFont="1" applyFill="1" applyBorder="1" applyAlignment="1" applyProtection="1">
      <alignment horizontal="center" vertical="center"/>
      <protection hidden="1"/>
    </xf>
    <xf numFmtId="0" fontId="24" fillId="2" borderId="103" xfId="0" applyFont="1" applyFill="1" applyBorder="1" applyAlignment="1" applyProtection="1">
      <alignment horizontal="center" vertical="center" shrinkToFit="1"/>
      <protection hidden="1"/>
    </xf>
    <xf numFmtId="0" fontId="13" fillId="2" borderId="103" xfId="0" applyFont="1" applyFill="1" applyBorder="1" applyAlignment="1" applyProtection="1">
      <alignment horizontal="center" vertical="center" shrinkToFit="1"/>
      <protection hidden="1"/>
    </xf>
    <xf numFmtId="0" fontId="13" fillId="2" borderId="76" xfId="0" applyFont="1" applyFill="1" applyBorder="1" applyAlignment="1" applyProtection="1">
      <alignment horizontal="center" vertical="center" shrinkToFit="1"/>
      <protection hidden="1"/>
    </xf>
    <xf numFmtId="0" fontId="13" fillId="2" borderId="114" xfId="0" applyFont="1" applyFill="1" applyBorder="1" applyAlignment="1" applyProtection="1">
      <alignment horizontal="center" vertical="center" shrinkToFit="1"/>
      <protection hidden="1"/>
    </xf>
    <xf numFmtId="0" fontId="13" fillId="2" borderId="115" xfId="0" applyFont="1" applyFill="1" applyBorder="1" applyAlignment="1" applyProtection="1">
      <alignment horizontal="center" vertical="center" shrinkToFit="1"/>
      <protection hidden="1"/>
    </xf>
    <xf numFmtId="0" fontId="31" fillId="2" borderId="116" xfId="0" applyFont="1" applyFill="1" applyBorder="1" applyAlignment="1" applyProtection="1">
      <alignment horizontal="center" vertical="center"/>
      <protection hidden="1"/>
    </xf>
    <xf numFmtId="181" fontId="19" fillId="2" borderId="69" xfId="0" applyNumberFormat="1" applyFont="1" applyFill="1" applyBorder="1" applyAlignment="1" applyProtection="1">
      <alignment horizontal="center" vertical="center" shrinkToFit="1"/>
      <protection hidden="1"/>
    </xf>
    <xf numFmtId="181" fontId="24" fillId="2" borderId="73" xfId="0" applyNumberFormat="1" applyFont="1" applyFill="1" applyBorder="1" applyAlignment="1" applyProtection="1">
      <alignment horizontal="center" vertical="center" shrinkToFit="1"/>
      <protection hidden="1"/>
    </xf>
    <xf numFmtId="181" fontId="19" fillId="2" borderId="6" xfId="0" applyNumberFormat="1" applyFont="1" applyFill="1" applyBorder="1" applyAlignment="1" applyProtection="1">
      <alignment horizontal="center" vertical="center" shrinkToFit="1"/>
      <protection hidden="1"/>
    </xf>
    <xf numFmtId="181" fontId="19" fillId="2" borderId="90" xfId="0" applyNumberFormat="1" applyFont="1" applyFill="1" applyBorder="1" applyAlignment="1" applyProtection="1">
      <alignment horizontal="center" vertical="center" shrinkToFit="1"/>
      <protection hidden="1"/>
    </xf>
    <xf numFmtId="181" fontId="24" fillId="2" borderId="70" xfId="0" applyNumberFormat="1" applyFont="1" applyFill="1" applyBorder="1" applyAlignment="1" applyProtection="1">
      <alignment horizontal="center" vertical="center" shrinkToFit="1"/>
      <protection hidden="1"/>
    </xf>
    <xf numFmtId="0" fontId="34" fillId="2" borderId="6" xfId="0" applyFont="1" applyFill="1" applyBorder="1" applyAlignment="1" applyProtection="1">
      <alignment horizontal="right" vertical="center"/>
      <protection hidden="1"/>
    </xf>
    <xf numFmtId="0" fontId="0" fillId="2" borderId="119" xfId="0" applyFill="1" applyBorder="1"/>
    <xf numFmtId="0" fontId="0" fillId="2" borderId="120" xfId="0" applyFill="1" applyBorder="1"/>
    <xf numFmtId="0" fontId="0" fillId="2" borderId="121" xfId="0" applyFill="1" applyBorder="1"/>
    <xf numFmtId="0" fontId="36" fillId="4" borderId="122" xfId="0" applyFont="1" applyFill="1" applyBorder="1" applyAlignment="1">
      <alignment horizontal="center" vertical="center" shrinkToFit="1"/>
    </xf>
    <xf numFmtId="183" fontId="37" fillId="0" borderId="123" xfId="1" applyFont="1" applyBorder="1" applyAlignment="1">
      <alignment horizontal="center" vertical="center" shrinkToFit="1"/>
    </xf>
    <xf numFmtId="0" fontId="38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center" vertical="center" shrinkToFit="1"/>
    </xf>
    <xf numFmtId="0" fontId="36" fillId="4" borderId="124" xfId="0" applyFont="1" applyFill="1" applyBorder="1" applyAlignment="1">
      <alignment horizontal="center" vertical="center" shrinkToFit="1"/>
    </xf>
    <xf numFmtId="0" fontId="41" fillId="0" borderId="125" xfId="0" applyFont="1" applyBorder="1" applyAlignment="1">
      <alignment horizontal="center" vertical="center" shrinkToFit="1"/>
    </xf>
    <xf numFmtId="0" fontId="41" fillId="0" borderId="125" xfId="0" applyFont="1" applyBorder="1" applyAlignment="1">
      <alignment horizontal="left" vertical="center" indent="1" shrinkToFit="1"/>
    </xf>
    <xf numFmtId="0" fontId="39" fillId="0" borderId="123" xfId="0" applyFont="1" applyBorder="1" applyAlignment="1">
      <alignment horizontal="center" vertical="center" shrinkToFit="1"/>
    </xf>
    <xf numFmtId="0" fontId="41" fillId="0" borderId="126" xfId="0" applyFont="1" applyBorder="1" applyAlignment="1">
      <alignment horizontal="center" vertical="center" shrinkToFit="1"/>
    </xf>
    <xf numFmtId="184" fontId="41" fillId="5" borderId="126" xfId="0" applyNumberFormat="1" applyFont="1" applyFill="1" applyBorder="1" applyAlignment="1">
      <alignment horizontal="left" vertical="center" indent="1" shrinkToFit="1"/>
    </xf>
    <xf numFmtId="0" fontId="41" fillId="0" borderId="126" xfId="0" applyFont="1" applyBorder="1" applyAlignment="1">
      <alignment horizontal="left" vertical="center" indent="1" shrinkToFit="1"/>
    </xf>
    <xf numFmtId="183" fontId="39" fillId="0" borderId="123" xfId="1" applyFont="1" applyBorder="1" applyAlignment="1">
      <alignment horizontal="center" vertical="center" shrinkToFit="1"/>
    </xf>
    <xf numFmtId="185" fontId="39" fillId="0" borderId="123" xfId="1" applyNumberFormat="1" applyFont="1" applyBorder="1" applyAlignment="1">
      <alignment horizontal="right" vertical="center" shrinkToFit="1"/>
    </xf>
    <xf numFmtId="0" fontId="41" fillId="0" borderId="123" xfId="0" applyFont="1" applyBorder="1" applyAlignment="1">
      <alignment horizontal="center" vertical="center" shrinkToFit="1"/>
    </xf>
    <xf numFmtId="184" fontId="41" fillId="5" borderId="123" xfId="0" applyNumberFormat="1" applyFont="1" applyFill="1" applyBorder="1" applyAlignment="1">
      <alignment horizontal="left" vertical="center" indent="1" shrinkToFit="1"/>
    </xf>
    <xf numFmtId="0" fontId="41" fillId="0" borderId="123" xfId="0" applyFont="1" applyBorder="1" applyAlignment="1">
      <alignment horizontal="left" vertical="center" indent="1" shrinkToFit="1"/>
    </xf>
    <xf numFmtId="183" fontId="42" fillId="0" borderId="123" xfId="1" applyFont="1" applyBorder="1" applyAlignment="1">
      <alignment horizontal="center" vertical="center" shrinkToFit="1"/>
    </xf>
    <xf numFmtId="184" fontId="40" fillId="6" borderId="125" xfId="0" applyNumberFormat="1" applyFont="1" applyFill="1" applyBorder="1" applyAlignment="1">
      <alignment horizontal="centerContinuous" vertical="center" shrinkToFit="1"/>
    </xf>
    <xf numFmtId="184" fontId="41" fillId="6" borderId="125" xfId="0" applyNumberFormat="1" applyFont="1" applyFill="1" applyBorder="1" applyAlignment="1">
      <alignment horizontal="left" vertical="center" indent="1" shrinkToFi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176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14" xfId="0" applyNumberFormat="1" applyFont="1" applyFill="1" applyBorder="1" applyAlignment="1" applyProtection="1">
      <alignment horizontal="center" vertical="center"/>
      <protection locked="0"/>
    </xf>
    <xf numFmtId="176" fontId="13" fillId="2" borderId="15" xfId="0" applyNumberFormat="1" applyFont="1" applyFill="1" applyBorder="1" applyAlignment="1" applyProtection="1">
      <alignment horizontal="center" vertical="center"/>
      <protection locked="0"/>
    </xf>
    <xf numFmtId="177" fontId="13" fillId="2" borderId="17" xfId="0" applyNumberFormat="1" applyFont="1" applyFill="1" applyBorder="1" applyAlignment="1" applyProtection="1">
      <alignment horizontal="center" vertical="center"/>
      <protection hidden="1"/>
    </xf>
    <xf numFmtId="177" fontId="13" fillId="2" borderId="14" xfId="0" applyNumberFormat="1" applyFont="1" applyFill="1" applyBorder="1" applyAlignment="1" applyProtection="1">
      <alignment horizontal="center" vertical="center"/>
      <protection hidden="1"/>
    </xf>
    <xf numFmtId="177" fontId="13" fillId="2" borderId="15" xfId="0" applyNumberFormat="1" applyFont="1" applyFill="1" applyBorder="1" applyAlignment="1" applyProtection="1">
      <alignment horizontal="center" vertical="center"/>
      <protection hidden="1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37" xfId="0" applyFont="1" applyFill="1" applyBorder="1" applyAlignment="1" applyProtection="1">
      <alignment horizontal="center" vertical="center"/>
      <protection hidden="1"/>
    </xf>
    <xf numFmtId="0" fontId="10" fillId="2" borderId="34" xfId="0" applyFont="1" applyFill="1" applyBorder="1" applyAlignment="1">
      <alignment horizontal="center" vertical="center"/>
    </xf>
    <xf numFmtId="0" fontId="19" fillId="2" borderId="35" xfId="0" applyFont="1" applyFill="1" applyBorder="1" applyAlignment="1" applyProtection="1">
      <alignment horizontal="left" vertical="center" wrapText="1"/>
      <protection locked="0"/>
    </xf>
    <xf numFmtId="0" fontId="19" fillId="2" borderId="8" xfId="0" applyFont="1" applyFill="1" applyBorder="1" applyAlignment="1" applyProtection="1">
      <alignment horizontal="left" vertical="center" wrapText="1"/>
      <protection locked="0"/>
    </xf>
    <xf numFmtId="0" fontId="19" fillId="2" borderId="36" xfId="0" applyFont="1" applyFill="1" applyBorder="1" applyAlignment="1" applyProtection="1">
      <alignment horizontal="left" vertical="center" wrapText="1"/>
      <protection locked="0"/>
    </xf>
    <xf numFmtId="0" fontId="19" fillId="2" borderId="38" xfId="0" applyFont="1" applyFill="1" applyBorder="1" applyAlignment="1" applyProtection="1">
      <alignment horizontal="left" vertical="center" wrapText="1"/>
      <protection locked="0"/>
    </xf>
    <xf numFmtId="0" fontId="19" fillId="2" borderId="46" xfId="0" applyFont="1" applyFill="1" applyBorder="1" applyAlignment="1" applyProtection="1">
      <alignment horizontal="left" vertical="center" wrapText="1"/>
      <protection locked="0"/>
    </xf>
    <xf numFmtId="0" fontId="19" fillId="2" borderId="47" xfId="0" applyFont="1" applyFill="1" applyBorder="1" applyAlignment="1" applyProtection="1">
      <alignment horizontal="left" vertical="center" wrapText="1"/>
      <protection locked="0"/>
    </xf>
    <xf numFmtId="0" fontId="10" fillId="2" borderId="27" xfId="0" applyFont="1" applyFill="1" applyBorder="1" applyAlignment="1" applyProtection="1">
      <alignment horizontal="center" vertical="center"/>
      <protection hidden="1"/>
    </xf>
    <xf numFmtId="0" fontId="19" fillId="2" borderId="31" xfId="0" applyFont="1" applyFill="1" applyBorder="1" applyAlignment="1" applyProtection="1">
      <alignment horizontal="left" vertical="center" wrapText="1"/>
      <protection hidden="1"/>
    </xf>
    <xf numFmtId="0" fontId="19" fillId="2" borderId="51" xfId="0" applyFont="1" applyFill="1" applyBorder="1" applyAlignment="1" applyProtection="1">
      <alignment horizontal="left" vertical="center" wrapText="1"/>
      <protection hidden="1"/>
    </xf>
    <xf numFmtId="0" fontId="10" fillId="2" borderId="37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0" fillId="2" borderId="34" xfId="0" applyFont="1" applyFill="1" applyBorder="1" applyAlignment="1" applyProtection="1">
      <alignment horizontal="center" vertical="center"/>
      <protection hidden="1"/>
    </xf>
    <xf numFmtId="0" fontId="17" fillId="2" borderId="35" xfId="0" applyFont="1" applyFill="1" applyBorder="1" applyAlignment="1" applyProtection="1">
      <alignment horizontal="left" vertical="center" shrinkToFit="1"/>
      <protection hidden="1"/>
    </xf>
    <xf numFmtId="0" fontId="17" fillId="2" borderId="8" xfId="0" applyFont="1" applyFill="1" applyBorder="1" applyAlignment="1" applyProtection="1">
      <alignment horizontal="left" vertical="center" shrinkToFit="1"/>
      <protection hidden="1"/>
    </xf>
    <xf numFmtId="0" fontId="17" fillId="2" borderId="36" xfId="0" applyFont="1" applyFill="1" applyBorder="1" applyAlignment="1" applyProtection="1">
      <alignment horizontal="left" vertical="center" shrinkToFit="1"/>
      <protection hidden="1"/>
    </xf>
    <xf numFmtId="0" fontId="17" fillId="2" borderId="38" xfId="0" applyFont="1" applyFill="1" applyBorder="1" applyAlignment="1" applyProtection="1">
      <alignment horizontal="left" vertical="center" shrinkToFit="1"/>
      <protection hidden="1"/>
    </xf>
    <xf numFmtId="0" fontId="17" fillId="2" borderId="46" xfId="0" applyFont="1" applyFill="1" applyBorder="1" applyAlignment="1" applyProtection="1">
      <alignment horizontal="left" vertical="center" shrinkToFit="1"/>
      <protection hidden="1"/>
    </xf>
    <xf numFmtId="0" fontId="17" fillId="2" borderId="47" xfId="0" applyFont="1" applyFill="1" applyBorder="1" applyAlignment="1" applyProtection="1">
      <alignment horizontal="left" vertical="center" shrinkToFit="1"/>
      <protection hidden="1"/>
    </xf>
    <xf numFmtId="0" fontId="10" fillId="2" borderId="31" xfId="0" applyFont="1" applyFill="1" applyBorder="1" applyAlignment="1" applyProtection="1">
      <alignment horizontal="center" vertical="center"/>
      <protection hidden="1"/>
    </xf>
    <xf numFmtId="0" fontId="19" fillId="2" borderId="37" xfId="0" applyFont="1" applyFill="1" applyBorder="1" applyAlignment="1" applyProtection="1">
      <alignment horizontal="left" vertical="center" shrinkToFit="1"/>
      <protection hidden="1"/>
    </xf>
    <xf numFmtId="0" fontId="19" fillId="2" borderId="38" xfId="0" applyFont="1" applyFill="1" applyBorder="1" applyAlignment="1" applyProtection="1">
      <alignment horizontal="left" vertical="center" shrinkToFit="1"/>
      <protection hidden="1"/>
    </xf>
    <xf numFmtId="0" fontId="19" fillId="2" borderId="31" xfId="0" applyFont="1" applyFill="1" applyBorder="1" applyAlignment="1" applyProtection="1">
      <alignment horizontal="left" vertical="center" shrinkToFit="1"/>
      <protection hidden="1"/>
    </xf>
    <xf numFmtId="0" fontId="19" fillId="2" borderId="48" xfId="0" applyFont="1" applyFill="1" applyBorder="1" applyAlignment="1" applyProtection="1">
      <alignment horizontal="left" vertical="center" shrinkToFit="1"/>
      <protection hidden="1"/>
    </xf>
    <xf numFmtId="0" fontId="20" fillId="2" borderId="39" xfId="0" applyFont="1" applyFill="1" applyBorder="1" applyAlignment="1" applyProtection="1">
      <alignment horizontal="center" vertical="center"/>
      <protection hidden="1"/>
    </xf>
    <xf numFmtId="0" fontId="20" fillId="2" borderId="49" xfId="0" applyFont="1" applyFill="1" applyBorder="1" applyAlignment="1" applyProtection="1">
      <alignment horizontal="center" vertical="center"/>
      <protection hidden="1"/>
    </xf>
    <xf numFmtId="0" fontId="10" fillId="2" borderId="21" xfId="0" applyFont="1" applyFill="1" applyBorder="1" applyAlignment="1" applyProtection="1">
      <alignment horizontal="center" vertical="center" textRotation="255"/>
      <protection hidden="1"/>
    </xf>
    <xf numFmtId="0" fontId="10" fillId="2" borderId="33" xfId="0" applyFont="1" applyFill="1" applyBorder="1" applyAlignment="1" applyProtection="1">
      <alignment horizontal="center" vertical="center" textRotation="255"/>
      <protection hidden="1"/>
    </xf>
    <xf numFmtId="0" fontId="10" fillId="2" borderId="31" xfId="0" applyFont="1" applyFill="1" applyBorder="1" applyAlignment="1" applyProtection="1">
      <alignment horizontal="center" vertical="center" textRotation="255"/>
      <protection hidden="1"/>
    </xf>
    <xf numFmtId="0" fontId="10" fillId="2" borderId="27" xfId="0" applyFont="1" applyFill="1" applyBorder="1" applyAlignment="1" applyProtection="1">
      <alignment horizontal="center" vertical="center" textRotation="255"/>
      <protection hidden="1"/>
    </xf>
    <xf numFmtId="0" fontId="10" fillId="2" borderId="22" xfId="0" applyFont="1" applyFill="1" applyBorder="1" applyAlignment="1" applyProtection="1">
      <alignment horizontal="center" vertical="center"/>
      <protection hidden="1"/>
    </xf>
    <xf numFmtId="0" fontId="10" fillId="2" borderId="23" xfId="0" applyFont="1" applyFill="1" applyBorder="1" applyAlignment="1" applyProtection="1">
      <alignment horizontal="center" vertical="center"/>
      <protection hidden="1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7" fillId="2" borderId="28" xfId="0" applyFont="1" applyFill="1" applyBorder="1" applyAlignment="1" applyProtection="1">
      <alignment horizontal="left" vertical="center" shrinkToFit="1"/>
      <protection locked="0"/>
    </xf>
    <xf numFmtId="0" fontId="18" fillId="2" borderId="29" xfId="0" applyFont="1" applyFill="1" applyBorder="1" applyAlignment="1" applyProtection="1">
      <alignment shrinkToFit="1"/>
      <protection locked="0"/>
    </xf>
    <xf numFmtId="0" fontId="18" fillId="2" borderId="30" xfId="0" applyFont="1" applyFill="1" applyBorder="1" applyAlignment="1" applyProtection="1">
      <alignment shrinkToFit="1"/>
      <protection locked="0"/>
    </xf>
    <xf numFmtId="0" fontId="18" fillId="2" borderId="42" xfId="0" applyFont="1" applyFill="1" applyBorder="1" applyAlignment="1" applyProtection="1">
      <alignment shrinkToFit="1"/>
      <protection locked="0"/>
    </xf>
    <xf numFmtId="0" fontId="18" fillId="2" borderId="5" xfId="0" applyFont="1" applyFill="1" applyBorder="1" applyAlignment="1" applyProtection="1">
      <alignment shrinkToFit="1"/>
      <protection locked="0"/>
    </xf>
    <xf numFmtId="0" fontId="18" fillId="2" borderId="43" xfId="0" applyFont="1" applyFill="1" applyBorder="1" applyAlignment="1" applyProtection="1">
      <alignment shrinkToFit="1"/>
      <protection locked="0"/>
    </xf>
    <xf numFmtId="0" fontId="10" fillId="2" borderId="31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9" fillId="2" borderId="28" xfId="0" applyFont="1" applyFill="1" applyBorder="1" applyAlignment="1" applyProtection="1">
      <alignment horizontal="left" vertical="center" shrinkToFit="1"/>
      <protection locked="0"/>
    </xf>
    <xf numFmtId="0" fontId="19" fillId="2" borderId="29" xfId="0" applyFont="1" applyFill="1" applyBorder="1" applyAlignment="1" applyProtection="1">
      <alignment horizontal="left" vertical="center" shrinkToFit="1"/>
      <protection locked="0"/>
    </xf>
    <xf numFmtId="0" fontId="19" fillId="2" borderId="42" xfId="0" applyFont="1" applyFill="1" applyBorder="1" applyAlignment="1" applyProtection="1">
      <alignment horizontal="left" vertical="center" shrinkToFit="1"/>
      <protection locked="0"/>
    </xf>
    <xf numFmtId="0" fontId="19" fillId="2" borderId="5" xfId="0" applyFont="1" applyFill="1" applyBorder="1" applyAlignment="1" applyProtection="1">
      <alignment horizontal="left" vertical="center" shrinkToFit="1"/>
      <protection locked="0"/>
    </xf>
    <xf numFmtId="0" fontId="10" fillId="2" borderId="13" xfId="0" applyFont="1" applyFill="1" applyBorder="1" applyAlignment="1" applyProtection="1">
      <alignment horizontal="center" vertical="center"/>
      <protection hidden="1"/>
    </xf>
    <xf numFmtId="0" fontId="10" fillId="2" borderId="52" xfId="0" applyFont="1" applyFill="1" applyBorder="1" applyAlignment="1" applyProtection="1">
      <alignment horizontal="center" vertical="center"/>
      <protection hidden="1"/>
    </xf>
    <xf numFmtId="0" fontId="21" fillId="2" borderId="48" xfId="0" applyFont="1" applyFill="1" applyBorder="1" applyAlignment="1" applyProtection="1">
      <alignment horizontal="left" vertical="center" wrapText="1" shrinkToFit="1"/>
      <protection hidden="1"/>
    </xf>
    <xf numFmtId="0" fontId="21" fillId="2" borderId="21" xfId="0" applyFont="1" applyFill="1" applyBorder="1" applyAlignment="1" applyProtection="1">
      <alignment horizontal="left" vertical="center" wrapText="1" shrinkToFit="1"/>
      <protection hidden="1"/>
    </xf>
    <xf numFmtId="0" fontId="21" fillId="2" borderId="49" xfId="0" applyFont="1" applyFill="1" applyBorder="1" applyAlignment="1" applyProtection="1">
      <alignment horizontal="left" vertical="center" wrapText="1" shrinkToFit="1"/>
      <protection hidden="1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53" xfId="0" applyFont="1" applyFill="1" applyBorder="1" applyAlignment="1" applyProtection="1">
      <alignment horizontal="center" vertical="center"/>
      <protection hidden="1"/>
    </xf>
    <xf numFmtId="0" fontId="10" fillId="2" borderId="10" xfId="0" applyFont="1" applyFill="1" applyBorder="1" applyAlignment="1" applyProtection="1">
      <alignment horizontal="center" vertical="center"/>
      <protection hidden="1"/>
    </xf>
    <xf numFmtId="0" fontId="10" fillId="2" borderId="11" xfId="0" applyFont="1" applyFill="1" applyBorder="1" applyAlignment="1" applyProtection="1">
      <alignment horizontal="center" vertical="center"/>
      <protection hidden="1"/>
    </xf>
    <xf numFmtId="0" fontId="10" fillId="2" borderId="33" xfId="0" applyFont="1" applyFill="1" applyBorder="1" applyAlignment="1" applyProtection="1">
      <alignment horizontal="center" vertical="center"/>
      <protection hidden="1"/>
    </xf>
    <xf numFmtId="0" fontId="10" fillId="2" borderId="51" xfId="0" applyFont="1" applyFill="1" applyBorder="1" applyAlignment="1" applyProtection="1">
      <alignment horizontal="center" vertical="center"/>
      <protection hidden="1"/>
    </xf>
    <xf numFmtId="0" fontId="21" fillId="2" borderId="13" xfId="0" applyFont="1" applyFill="1" applyBorder="1" applyAlignment="1" applyProtection="1">
      <alignment horizontal="left" vertical="center" wrapText="1"/>
      <protection locked="0"/>
    </xf>
    <xf numFmtId="0" fontId="21" fillId="2" borderId="14" xfId="0" applyFont="1" applyFill="1" applyBorder="1" applyAlignment="1" applyProtection="1">
      <alignment horizontal="left" vertical="center" wrapText="1"/>
      <protection locked="0"/>
    </xf>
    <xf numFmtId="0" fontId="21" fillId="2" borderId="52" xfId="0" applyFont="1" applyFill="1" applyBorder="1" applyAlignment="1" applyProtection="1">
      <alignment horizontal="left" vertical="center" wrapText="1"/>
      <protection locked="0"/>
    </xf>
    <xf numFmtId="0" fontId="10" fillId="2" borderId="13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21" fillId="2" borderId="13" xfId="0" applyFont="1" applyFill="1" applyBorder="1" applyAlignment="1" applyProtection="1">
      <alignment horizontal="left" vertical="center" wrapText="1"/>
      <protection hidden="1"/>
    </xf>
    <xf numFmtId="0" fontId="21" fillId="2" borderId="14" xfId="0" applyFont="1" applyFill="1" applyBorder="1" applyAlignment="1" applyProtection="1">
      <alignment horizontal="left" vertical="center" wrapText="1"/>
      <protection hidden="1"/>
    </xf>
    <xf numFmtId="0" fontId="21" fillId="2" borderId="52" xfId="0" applyFont="1" applyFill="1" applyBorder="1" applyAlignment="1" applyProtection="1">
      <alignment horizontal="left" vertical="center" wrapText="1"/>
      <protection hidden="1"/>
    </xf>
    <xf numFmtId="0" fontId="10" fillId="2" borderId="18" xfId="0" applyFont="1" applyFill="1" applyBorder="1" applyAlignment="1">
      <alignment horizontal="center" vertical="center" textRotation="255"/>
    </xf>
    <xf numFmtId="0" fontId="10" fillId="2" borderId="50" xfId="0" applyFont="1" applyFill="1" applyBorder="1" applyAlignment="1">
      <alignment horizontal="center" vertical="center" textRotation="255"/>
    </xf>
    <xf numFmtId="0" fontId="10" fillId="2" borderId="26" xfId="0" applyFont="1" applyFill="1" applyBorder="1" applyAlignment="1">
      <alignment horizontal="center" vertical="center" textRotation="255"/>
    </xf>
    <xf numFmtId="178" fontId="15" fillId="2" borderId="9" xfId="0" applyNumberFormat="1" applyFont="1" applyFill="1" applyBorder="1" applyAlignment="1" applyProtection="1">
      <alignment horizontal="left" vertical="center"/>
      <protection locked="0"/>
    </xf>
    <xf numFmtId="178" fontId="15" fillId="2" borderId="10" xfId="0" applyNumberFormat="1" applyFont="1" applyFill="1" applyBorder="1" applyAlignment="1" applyProtection="1">
      <alignment horizontal="left" vertical="center"/>
      <protection locked="0"/>
    </xf>
    <xf numFmtId="178" fontId="15" fillId="2" borderId="11" xfId="0" applyNumberFormat="1" applyFont="1" applyFill="1" applyBorder="1" applyAlignment="1" applyProtection="1">
      <alignment horizontal="left" vertical="center"/>
      <protection locked="0"/>
    </xf>
    <xf numFmtId="0" fontId="10" fillId="2" borderId="50" xfId="0" applyFont="1" applyFill="1" applyBorder="1" applyAlignment="1">
      <alignment horizontal="center" vertical="center"/>
    </xf>
    <xf numFmtId="0" fontId="22" fillId="2" borderId="33" xfId="0" applyFont="1" applyFill="1" applyBorder="1" applyAlignment="1" applyProtection="1">
      <alignment horizontal="center" vertical="center"/>
      <protection locked="0" hidden="1"/>
    </xf>
    <xf numFmtId="0" fontId="23" fillId="2" borderId="31" xfId="0" applyFont="1" applyFill="1" applyBorder="1" applyAlignment="1" applyProtection="1">
      <alignment horizontal="center" vertical="center"/>
      <protection locked="0" hidden="1"/>
    </xf>
    <xf numFmtId="0" fontId="23" fillId="2" borderId="51" xfId="0" applyFont="1" applyFill="1" applyBorder="1" applyAlignment="1" applyProtection="1">
      <alignment horizontal="center" vertical="center"/>
      <protection locked="0" hidden="1"/>
    </xf>
    <xf numFmtId="0" fontId="23" fillId="2" borderId="33" xfId="0" applyFont="1" applyFill="1" applyBorder="1" applyAlignment="1" applyProtection="1">
      <alignment horizontal="center" vertical="center"/>
      <protection locked="0" hidden="1"/>
    </xf>
    <xf numFmtId="0" fontId="19" fillId="2" borderId="17" xfId="0" applyFont="1" applyFill="1" applyBorder="1" applyAlignment="1" applyProtection="1">
      <alignment horizontal="center" vertical="center" shrinkToFit="1"/>
      <protection locked="0" hidden="1"/>
    </xf>
    <xf numFmtId="0" fontId="19" fillId="2" borderId="52" xfId="0" applyFont="1" applyFill="1" applyBorder="1" applyAlignment="1" applyProtection="1">
      <alignment horizontal="center" vertical="center" shrinkToFit="1"/>
      <protection locked="0" hidden="1"/>
    </xf>
    <xf numFmtId="0" fontId="10" fillId="2" borderId="51" xfId="0" applyFont="1" applyFill="1" applyBorder="1" applyAlignment="1">
      <alignment horizontal="center" vertical="center"/>
    </xf>
    <xf numFmtId="181" fontId="19" fillId="2" borderId="31" xfId="0" applyNumberFormat="1" applyFont="1" applyFill="1" applyBorder="1" applyAlignment="1" applyProtection="1">
      <alignment horizontal="center" vertical="center" shrinkToFit="1"/>
      <protection locked="0" hidden="1"/>
    </xf>
    <xf numFmtId="181" fontId="19" fillId="2" borderId="51" xfId="0" applyNumberFormat="1" applyFont="1" applyFill="1" applyBorder="1" applyAlignment="1" applyProtection="1">
      <alignment horizontal="center" vertical="center" shrinkToFit="1"/>
      <protection locked="0" hidden="1"/>
    </xf>
    <xf numFmtId="0" fontId="19" fillId="2" borderId="31" xfId="0" applyFont="1" applyFill="1" applyBorder="1" applyAlignment="1" applyProtection="1">
      <alignment horizontal="left" vertical="center" shrinkToFit="1"/>
      <protection locked="0"/>
    </xf>
    <xf numFmtId="0" fontId="26" fillId="2" borderId="31" xfId="0" applyFont="1" applyFill="1" applyBorder="1" applyAlignment="1" applyProtection="1">
      <alignment horizontal="center" vertical="center" shrinkToFit="1"/>
      <protection locked="0"/>
    </xf>
    <xf numFmtId="0" fontId="19" fillId="2" borderId="31" xfId="0" applyFont="1" applyFill="1" applyBorder="1" applyAlignment="1" applyProtection="1">
      <alignment horizontal="center" vertical="center" shrinkToFit="1"/>
      <protection locked="0"/>
    </xf>
    <xf numFmtId="180" fontId="19" fillId="2" borderId="31" xfId="0" applyNumberFormat="1" applyFont="1" applyFill="1" applyBorder="1" applyAlignment="1" applyProtection="1">
      <alignment horizontal="right" vertical="center" shrinkToFit="1"/>
      <protection locked="0"/>
    </xf>
    <xf numFmtId="180" fontId="19" fillId="2" borderId="31" xfId="0" applyNumberFormat="1" applyFont="1" applyFill="1" applyBorder="1" applyAlignment="1" applyProtection="1">
      <alignment horizontal="right" vertical="center" shrinkToFit="1"/>
      <protection hidden="1"/>
    </xf>
    <xf numFmtId="180" fontId="19" fillId="2" borderId="48" xfId="0" applyNumberFormat="1" applyFont="1" applyFill="1" applyBorder="1" applyAlignment="1" applyProtection="1">
      <alignment horizontal="center" vertical="center" shrinkToFit="1"/>
      <protection locked="0"/>
    </xf>
    <xf numFmtId="180" fontId="19" fillId="2" borderId="21" xfId="0" applyNumberFormat="1" applyFont="1" applyFill="1" applyBorder="1" applyAlignment="1" applyProtection="1">
      <alignment horizontal="center" vertical="center" shrinkToFit="1"/>
      <protection locked="0"/>
    </xf>
    <xf numFmtId="180" fontId="19" fillId="2" borderId="33" xfId="0" applyNumberFormat="1" applyFont="1" applyFill="1" applyBorder="1" applyAlignment="1" applyProtection="1">
      <alignment horizontal="center" vertical="center" shrinkToFit="1"/>
      <protection locked="0"/>
    </xf>
    <xf numFmtId="181" fontId="19" fillId="2" borderId="27" xfId="0" applyNumberFormat="1" applyFont="1" applyFill="1" applyBorder="1" applyAlignment="1" applyProtection="1">
      <alignment horizontal="center" vertical="center" shrinkToFit="1"/>
      <protection locked="0" hidden="1"/>
    </xf>
    <xf numFmtId="181" fontId="19" fillId="2" borderId="59" xfId="0" applyNumberFormat="1" applyFont="1" applyFill="1" applyBorder="1" applyAlignment="1" applyProtection="1">
      <alignment horizontal="center" vertical="center" shrinkToFit="1"/>
      <protection locked="0" hidden="1"/>
    </xf>
    <xf numFmtId="0" fontId="27" fillId="2" borderId="8" xfId="0" applyFont="1" applyFill="1" applyBorder="1" applyAlignment="1" applyProtection="1">
      <alignment horizontal="left" vertical="center"/>
      <protection hidden="1"/>
    </xf>
    <xf numFmtId="0" fontId="27" fillId="2" borderId="5" xfId="0" applyFont="1" applyFill="1" applyBorder="1" applyAlignment="1" applyProtection="1">
      <alignment horizontal="left" vertical="center"/>
      <protection hidden="1"/>
    </xf>
    <xf numFmtId="0" fontId="10" fillId="2" borderId="60" xfId="0" applyFont="1" applyFill="1" applyBorder="1" applyAlignment="1" applyProtection="1">
      <alignment horizontal="left" vertical="center"/>
      <protection hidden="1"/>
    </xf>
    <xf numFmtId="0" fontId="10" fillId="2" borderId="45" xfId="0" applyFont="1" applyFill="1" applyBorder="1" applyAlignment="1" applyProtection="1">
      <alignment horizontal="left" vertical="center"/>
      <protection hidden="1"/>
    </xf>
    <xf numFmtId="182" fontId="19" fillId="2" borderId="55" xfId="0" applyNumberFormat="1" applyFont="1" applyFill="1" applyBorder="1" applyAlignment="1" applyProtection="1">
      <alignment horizontal="right" vertical="center" shrinkToFit="1"/>
      <protection hidden="1"/>
    </xf>
    <xf numFmtId="182" fontId="19" fillId="2" borderId="44" xfId="0" applyNumberFormat="1" applyFont="1" applyFill="1" applyBorder="1" applyAlignment="1" applyProtection="1">
      <alignment horizontal="right" vertical="center" shrinkToFit="1"/>
      <protection hidden="1"/>
    </xf>
    <xf numFmtId="181" fontId="26" fillId="2" borderId="44" xfId="0" applyNumberFormat="1" applyFont="1" applyFill="1" applyBorder="1" applyAlignment="1" applyProtection="1">
      <alignment horizontal="center" vertical="center"/>
      <protection locked="0"/>
    </xf>
    <xf numFmtId="181" fontId="19" fillId="2" borderId="44" xfId="0" applyNumberFormat="1" applyFont="1" applyFill="1" applyBorder="1" applyAlignment="1" applyProtection="1">
      <alignment horizontal="center" vertical="center"/>
      <protection locked="0"/>
    </xf>
    <xf numFmtId="0" fontId="10" fillId="2" borderId="19" xfId="0" applyFont="1" applyFill="1" applyBorder="1" applyAlignment="1" applyProtection="1">
      <alignment horizontal="center" vertical="center"/>
      <protection hidden="1"/>
    </xf>
    <xf numFmtId="0" fontId="10" fillId="2" borderId="20" xfId="0" applyFont="1" applyFill="1" applyBorder="1" applyAlignment="1" applyProtection="1">
      <alignment horizontal="center" vertical="center"/>
      <protection hidden="1"/>
    </xf>
    <xf numFmtId="0" fontId="10" fillId="2" borderId="35" xfId="0" applyFont="1" applyFill="1" applyBorder="1" applyAlignment="1" applyProtection="1">
      <alignment horizontal="center" vertical="center"/>
      <protection hidden="1"/>
    </xf>
    <xf numFmtId="0" fontId="10" fillId="2" borderId="8" xfId="0" applyFont="1" applyFill="1" applyBorder="1" applyAlignment="1" applyProtection="1">
      <alignment horizontal="center" vertical="center"/>
      <protection hidden="1"/>
    </xf>
    <xf numFmtId="0" fontId="10" fillId="2" borderId="42" xfId="0" applyFont="1" applyFill="1" applyBorder="1" applyAlignment="1" applyProtection="1">
      <alignment horizontal="center" vertical="center"/>
      <protection hidden="1"/>
    </xf>
    <xf numFmtId="0" fontId="10" fillId="2" borderId="5" xfId="0" applyFont="1" applyFill="1" applyBorder="1" applyAlignment="1" applyProtection="1">
      <alignment horizontal="center" vertical="center"/>
      <protection hidden="1"/>
    </xf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right" vertical="center"/>
    </xf>
    <xf numFmtId="0" fontId="29" fillId="2" borderId="61" xfId="0" applyFont="1" applyFill="1" applyBorder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center" vertical="center"/>
      <protection hidden="1"/>
    </xf>
    <xf numFmtId="0" fontId="30" fillId="2" borderId="62" xfId="0" applyFont="1" applyFill="1" applyBorder="1" applyAlignment="1" applyProtection="1">
      <alignment horizontal="center" vertical="center"/>
      <protection hidden="1"/>
    </xf>
    <xf numFmtId="0" fontId="30" fillId="2" borderId="63" xfId="0" applyFont="1" applyFill="1" applyBorder="1" applyAlignment="1" applyProtection="1">
      <alignment horizontal="center" vertical="center"/>
      <protection hidden="1"/>
    </xf>
    <xf numFmtId="0" fontId="30" fillId="2" borderId="64" xfId="0" applyFont="1" applyFill="1" applyBorder="1" applyAlignment="1" applyProtection="1">
      <alignment horizontal="center" vertical="center"/>
      <protection hidden="1"/>
    </xf>
    <xf numFmtId="0" fontId="30" fillId="2" borderId="69" xfId="0" applyFont="1" applyFill="1" applyBorder="1" applyAlignment="1" applyProtection="1">
      <alignment horizontal="center" vertical="center"/>
      <protection hidden="1"/>
    </xf>
    <xf numFmtId="0" fontId="30" fillId="2" borderId="70" xfId="0" applyFont="1" applyFill="1" applyBorder="1" applyAlignment="1" applyProtection="1">
      <alignment horizontal="center" vertical="center"/>
      <protection hidden="1"/>
    </xf>
    <xf numFmtId="0" fontId="30" fillId="2" borderId="71" xfId="0" applyFont="1" applyFill="1" applyBorder="1" applyAlignment="1" applyProtection="1">
      <alignment horizontal="center" vertical="center"/>
      <protection hidden="1"/>
    </xf>
    <xf numFmtId="0" fontId="31" fillId="2" borderId="65" xfId="0" applyFont="1" applyFill="1" applyBorder="1" applyAlignment="1" applyProtection="1">
      <alignment horizontal="center" vertical="center"/>
      <protection hidden="1"/>
    </xf>
    <xf numFmtId="0" fontId="31" fillId="2" borderId="63" xfId="0" applyFont="1" applyFill="1" applyBorder="1" applyAlignment="1" applyProtection="1">
      <alignment horizontal="center" vertical="center"/>
      <protection hidden="1"/>
    </xf>
    <xf numFmtId="0" fontId="31" fillId="2" borderId="64" xfId="0" applyFont="1" applyFill="1" applyBorder="1" applyAlignment="1" applyProtection="1">
      <alignment horizontal="center" vertical="center"/>
      <protection hidden="1"/>
    </xf>
    <xf numFmtId="0" fontId="31" fillId="2" borderId="72" xfId="0" applyFont="1" applyFill="1" applyBorder="1" applyAlignment="1" applyProtection="1">
      <alignment horizontal="center" vertical="center"/>
      <protection hidden="1"/>
    </xf>
    <xf numFmtId="0" fontId="31" fillId="2" borderId="70" xfId="0" applyFont="1" applyFill="1" applyBorder="1" applyAlignment="1" applyProtection="1">
      <alignment horizontal="center" vertical="center"/>
      <protection hidden="1"/>
    </xf>
    <xf numFmtId="0" fontId="31" fillId="2" borderId="73" xfId="0" applyFont="1" applyFill="1" applyBorder="1" applyAlignment="1" applyProtection="1">
      <alignment horizontal="center" vertical="center"/>
      <protection hidden="1"/>
    </xf>
    <xf numFmtId="0" fontId="31" fillId="2" borderId="71" xfId="0" applyFont="1" applyFill="1" applyBorder="1" applyAlignment="1" applyProtection="1">
      <alignment horizontal="center" vertical="center"/>
      <protection hidden="1"/>
    </xf>
    <xf numFmtId="0" fontId="31" fillId="2" borderId="66" xfId="0" applyFont="1" applyFill="1" applyBorder="1" applyAlignment="1" applyProtection="1">
      <alignment horizontal="center" vertical="center"/>
      <protection hidden="1"/>
    </xf>
    <xf numFmtId="0" fontId="31" fillId="2" borderId="67" xfId="0" applyFont="1" applyFill="1" applyBorder="1" applyAlignment="1" applyProtection="1">
      <alignment horizontal="center" vertical="center"/>
      <protection hidden="1"/>
    </xf>
    <xf numFmtId="181" fontId="13" fillId="2" borderId="63" xfId="0" applyNumberFormat="1" applyFont="1" applyFill="1" applyBorder="1" applyAlignment="1" applyProtection="1">
      <alignment horizontal="center" vertical="center"/>
      <protection hidden="1"/>
    </xf>
    <xf numFmtId="181" fontId="13" fillId="2" borderId="64" xfId="0" applyNumberFormat="1" applyFont="1" applyFill="1" applyBorder="1" applyAlignment="1" applyProtection="1">
      <alignment horizontal="center" vertical="center"/>
      <protection hidden="1"/>
    </xf>
    <xf numFmtId="0" fontId="31" fillId="2" borderId="74" xfId="0" applyFont="1" applyFill="1" applyBorder="1" applyAlignment="1" applyProtection="1">
      <alignment horizontal="center" vertical="center"/>
      <protection hidden="1"/>
    </xf>
    <xf numFmtId="0" fontId="31" fillId="2" borderId="75" xfId="0" applyFont="1" applyFill="1" applyBorder="1" applyAlignment="1" applyProtection="1">
      <alignment horizontal="center" vertical="center"/>
      <protection hidden="1"/>
    </xf>
    <xf numFmtId="176" fontId="13" fillId="2" borderId="76" xfId="0" applyNumberFormat="1" applyFont="1" applyFill="1" applyBorder="1" applyAlignment="1" applyProtection="1">
      <alignment horizontal="center" vertical="center"/>
      <protection hidden="1"/>
    </xf>
    <xf numFmtId="0" fontId="13" fillId="2" borderId="77" xfId="0" applyFont="1" applyFill="1" applyBorder="1" applyAlignment="1" applyProtection="1">
      <alignment horizontal="center" vertical="center"/>
      <protection hidden="1"/>
    </xf>
    <xf numFmtId="0" fontId="13" fillId="2" borderId="78" xfId="0" applyFont="1" applyFill="1" applyBorder="1" applyAlignment="1" applyProtection="1">
      <alignment horizontal="center" vertical="center"/>
      <protection hidden="1"/>
    </xf>
    <xf numFmtId="177" fontId="13" fillId="2" borderId="80" xfId="0" applyNumberFormat="1" applyFont="1" applyFill="1" applyBorder="1" applyAlignment="1" applyProtection="1">
      <alignment horizontal="center" vertical="center"/>
      <protection hidden="1"/>
    </xf>
    <xf numFmtId="177" fontId="13" fillId="2" borderId="77" xfId="0" applyNumberFormat="1" applyFont="1" applyFill="1" applyBorder="1" applyAlignment="1" applyProtection="1">
      <alignment horizontal="center" vertical="center"/>
      <protection hidden="1"/>
    </xf>
    <xf numFmtId="177" fontId="13" fillId="2" borderId="78" xfId="0" applyNumberFormat="1" applyFont="1" applyFill="1" applyBorder="1" applyAlignment="1" applyProtection="1">
      <alignment horizontal="center" vertical="center"/>
      <protection hidden="1"/>
    </xf>
    <xf numFmtId="0" fontId="31" fillId="2" borderId="81" xfId="0" applyFont="1" applyFill="1" applyBorder="1" applyAlignment="1" applyProtection="1">
      <alignment horizontal="center" vertical="center" textRotation="255"/>
      <protection hidden="1"/>
    </xf>
    <xf numFmtId="0" fontId="31" fillId="2" borderId="69" xfId="0" applyFont="1" applyFill="1" applyBorder="1" applyAlignment="1" applyProtection="1">
      <alignment horizontal="center" vertical="center" textRotation="255"/>
      <protection hidden="1"/>
    </xf>
    <xf numFmtId="0" fontId="31" fillId="2" borderId="90" xfId="0" applyFont="1" applyFill="1" applyBorder="1" applyAlignment="1" applyProtection="1">
      <alignment horizontal="center" vertical="center" textRotation="255"/>
      <protection hidden="1"/>
    </xf>
    <xf numFmtId="0" fontId="31" fillId="2" borderId="62" xfId="0" applyFont="1" applyFill="1" applyBorder="1" applyAlignment="1" applyProtection="1">
      <alignment horizontal="center" vertical="center"/>
      <protection hidden="1"/>
    </xf>
    <xf numFmtId="178" fontId="15" fillId="2" borderId="64" xfId="0" applyNumberFormat="1" applyFont="1" applyFill="1" applyBorder="1" applyAlignment="1" applyProtection="1">
      <alignment horizontal="left" vertical="center"/>
      <protection hidden="1"/>
    </xf>
    <xf numFmtId="178" fontId="15" fillId="2" borderId="82" xfId="0" applyNumberFormat="1" applyFont="1" applyFill="1" applyBorder="1" applyAlignment="1" applyProtection="1">
      <alignment horizontal="left" vertical="center"/>
      <protection hidden="1"/>
    </xf>
    <xf numFmtId="178" fontId="15" fillId="2" borderId="68" xfId="0" applyNumberFormat="1" applyFont="1" applyFill="1" applyBorder="1" applyAlignment="1" applyProtection="1">
      <alignment horizontal="left" vertical="center"/>
      <protection hidden="1"/>
    </xf>
    <xf numFmtId="0" fontId="31" fillId="2" borderId="83" xfId="0" applyFont="1" applyFill="1" applyBorder="1" applyAlignment="1" applyProtection="1">
      <alignment horizontal="center" vertical="center" textRotation="255"/>
      <protection hidden="1"/>
    </xf>
    <xf numFmtId="0" fontId="31" fillId="2" borderId="94" xfId="0" applyFont="1" applyFill="1" applyBorder="1" applyAlignment="1" applyProtection="1">
      <alignment horizontal="center" vertical="center" textRotation="255"/>
      <protection hidden="1"/>
    </xf>
    <xf numFmtId="0" fontId="31" fillId="2" borderId="73" xfId="0" applyFont="1" applyFill="1" applyBorder="1" applyAlignment="1" applyProtection="1">
      <alignment horizontal="center" vertical="center" textRotation="255"/>
      <protection hidden="1"/>
    </xf>
    <xf numFmtId="0" fontId="31" fillId="2" borderId="70" xfId="0" applyFont="1" applyFill="1" applyBorder="1" applyAlignment="1" applyProtection="1">
      <alignment horizontal="center" vertical="center" textRotation="255"/>
      <protection hidden="1"/>
    </xf>
    <xf numFmtId="0" fontId="31" fillId="2" borderId="84" xfId="0" applyFont="1" applyFill="1" applyBorder="1" applyAlignment="1" applyProtection="1">
      <alignment horizontal="center" vertical="center"/>
      <protection hidden="1"/>
    </xf>
    <xf numFmtId="0" fontId="31" fillId="2" borderId="85" xfId="0" applyFont="1" applyFill="1" applyBorder="1" applyAlignment="1" applyProtection="1">
      <alignment horizontal="center" vertical="center"/>
      <protection hidden="1"/>
    </xf>
    <xf numFmtId="0" fontId="31" fillId="2" borderId="90" xfId="0" applyFont="1" applyFill="1" applyBorder="1" applyAlignment="1" applyProtection="1">
      <alignment horizontal="center" vertical="center"/>
      <protection hidden="1"/>
    </xf>
    <xf numFmtId="0" fontId="17" fillId="2" borderId="71" xfId="0" applyFont="1" applyFill="1" applyBorder="1" applyAlignment="1" applyProtection="1">
      <alignment horizontal="left" vertical="center" shrinkToFit="1"/>
      <protection hidden="1"/>
    </xf>
    <xf numFmtId="0" fontId="18" fillId="2" borderId="91" xfId="0" applyFont="1" applyFill="1" applyBorder="1" applyAlignment="1" applyProtection="1">
      <alignment shrinkToFit="1"/>
      <protection hidden="1"/>
    </xf>
    <xf numFmtId="0" fontId="18" fillId="2" borderId="72" xfId="0" applyFont="1" applyFill="1" applyBorder="1" applyAlignment="1" applyProtection="1">
      <alignment shrinkToFit="1"/>
      <protection hidden="1"/>
    </xf>
    <xf numFmtId="0" fontId="18" fillId="2" borderId="100" xfId="0" applyFont="1" applyFill="1" applyBorder="1" applyAlignment="1" applyProtection="1">
      <alignment shrinkToFit="1"/>
      <protection hidden="1"/>
    </xf>
    <xf numFmtId="0" fontId="18" fillId="2" borderId="101" xfId="0" applyFont="1" applyFill="1" applyBorder="1" applyAlignment="1" applyProtection="1">
      <alignment shrinkToFit="1"/>
      <protection hidden="1"/>
    </xf>
    <xf numFmtId="0" fontId="18" fillId="2" borderId="102" xfId="0" applyFont="1" applyFill="1" applyBorder="1" applyAlignment="1" applyProtection="1">
      <alignment shrinkToFit="1"/>
      <protection hidden="1"/>
    </xf>
    <xf numFmtId="0" fontId="31" fillId="2" borderId="103" xfId="0" applyFont="1" applyFill="1" applyBorder="1" applyAlignment="1" applyProtection="1">
      <alignment horizontal="center" vertical="center"/>
      <protection hidden="1"/>
    </xf>
    <xf numFmtId="0" fontId="33" fillId="2" borderId="68" xfId="0" applyFont="1" applyFill="1" applyBorder="1" applyAlignment="1" applyProtection="1">
      <alignment horizontal="center" vertical="center"/>
      <protection hidden="1"/>
    </xf>
    <xf numFmtId="0" fontId="33" fillId="2" borderId="93" xfId="0" applyFont="1" applyFill="1" applyBorder="1" applyAlignment="1" applyProtection="1">
      <alignment horizontal="center" vertical="center"/>
      <protection hidden="1"/>
    </xf>
    <xf numFmtId="0" fontId="31" fillId="2" borderId="98" xfId="0" applyFont="1" applyFill="1" applyBorder="1" applyAlignment="1" applyProtection="1">
      <alignment horizontal="center" vertical="center"/>
      <protection hidden="1"/>
    </xf>
    <xf numFmtId="0" fontId="31" fillId="2" borderId="99" xfId="0" applyFont="1" applyFill="1" applyBorder="1" applyAlignment="1" applyProtection="1">
      <alignment horizontal="center" vertical="center"/>
      <protection hidden="1"/>
    </xf>
    <xf numFmtId="0" fontId="31" fillId="2" borderId="97" xfId="0" applyFont="1" applyFill="1" applyBorder="1" applyAlignment="1" applyProtection="1">
      <alignment horizontal="center" vertical="center"/>
      <protection hidden="1"/>
    </xf>
    <xf numFmtId="0" fontId="19" fillId="2" borderId="97" xfId="0" applyFont="1" applyFill="1" applyBorder="1" applyAlignment="1" applyProtection="1">
      <alignment horizontal="left" vertical="center" wrapText="1"/>
      <protection hidden="1"/>
    </xf>
    <xf numFmtId="0" fontId="19" fillId="2" borderId="73" xfId="0" applyFont="1" applyFill="1" applyBorder="1" applyAlignment="1" applyProtection="1">
      <alignment horizontal="left" vertical="center" wrapText="1"/>
      <protection hidden="1"/>
    </xf>
    <xf numFmtId="0" fontId="19" fillId="2" borderId="107" xfId="0" applyFont="1" applyFill="1" applyBorder="1" applyAlignment="1" applyProtection="1">
      <alignment horizontal="left" vertical="center" wrapText="1"/>
      <protection hidden="1"/>
    </xf>
    <xf numFmtId="0" fontId="19" fillId="2" borderId="70" xfId="0" applyFont="1" applyFill="1" applyBorder="1" applyAlignment="1" applyProtection="1">
      <alignment horizontal="left" vertical="center" wrapText="1"/>
      <protection hidden="1"/>
    </xf>
    <xf numFmtId="0" fontId="19" fillId="2" borderId="108" xfId="0" applyFont="1" applyFill="1" applyBorder="1" applyAlignment="1" applyProtection="1">
      <alignment horizontal="left" vertical="center" wrapText="1"/>
      <protection hidden="1"/>
    </xf>
    <xf numFmtId="0" fontId="19" fillId="2" borderId="73" xfId="0" applyFont="1" applyFill="1" applyBorder="1" applyAlignment="1" applyProtection="1">
      <alignment horizontal="center" vertical="center" shrinkToFit="1"/>
      <protection hidden="1"/>
    </xf>
    <xf numFmtId="0" fontId="19" fillId="2" borderId="92" xfId="0" applyFont="1" applyFill="1" applyBorder="1" applyAlignment="1" applyProtection="1">
      <alignment horizontal="center" vertical="center" shrinkToFit="1"/>
      <protection hidden="1"/>
    </xf>
    <xf numFmtId="0" fontId="19" fillId="2" borderId="103" xfId="0" applyFont="1" applyFill="1" applyBorder="1" applyAlignment="1" applyProtection="1">
      <alignment horizontal="center" vertical="center" shrinkToFit="1"/>
      <protection hidden="1"/>
    </xf>
    <xf numFmtId="0" fontId="19" fillId="2" borderId="76" xfId="0" applyFont="1" applyFill="1" applyBorder="1" applyAlignment="1" applyProtection="1">
      <alignment horizontal="center" vertical="center" shrinkToFit="1"/>
      <protection hidden="1"/>
    </xf>
    <xf numFmtId="0" fontId="33" fillId="2" borderId="78" xfId="0" applyFont="1" applyFill="1" applyBorder="1" applyAlignment="1" applyProtection="1">
      <alignment horizontal="center" vertical="center"/>
      <protection hidden="1"/>
    </xf>
    <xf numFmtId="0" fontId="17" fillId="2" borderId="95" xfId="0" applyFont="1" applyFill="1" applyBorder="1" applyAlignment="1" applyProtection="1">
      <alignment horizontal="left" vertical="center" shrinkToFit="1"/>
      <protection hidden="1"/>
    </xf>
    <xf numFmtId="0" fontId="17" fillId="2" borderId="96" xfId="0" applyFont="1" applyFill="1" applyBorder="1" applyAlignment="1" applyProtection="1">
      <alignment horizontal="left" vertical="center" shrinkToFit="1"/>
      <protection hidden="1"/>
    </xf>
    <xf numFmtId="0" fontId="17" fillId="2" borderId="66" xfId="0" applyFont="1" applyFill="1" applyBorder="1" applyAlignment="1" applyProtection="1">
      <alignment horizontal="left" vertical="center" shrinkToFit="1"/>
      <protection hidden="1"/>
    </xf>
    <xf numFmtId="0" fontId="17" fillId="2" borderId="104" xfId="0" applyFont="1" applyFill="1" applyBorder="1" applyAlignment="1" applyProtection="1">
      <alignment horizontal="left" vertical="center" shrinkToFit="1"/>
      <protection hidden="1"/>
    </xf>
    <xf numFmtId="0" fontId="17" fillId="2" borderId="105" xfId="0" applyFont="1" applyFill="1" applyBorder="1" applyAlignment="1" applyProtection="1">
      <alignment horizontal="left" vertical="center" shrinkToFit="1"/>
      <protection hidden="1"/>
    </xf>
    <xf numFmtId="0" fontId="17" fillId="2" borderId="106" xfId="0" applyFont="1" applyFill="1" applyBorder="1" applyAlignment="1" applyProtection="1">
      <alignment horizontal="left" vertical="center" shrinkToFit="1"/>
      <protection hidden="1"/>
    </xf>
    <xf numFmtId="0" fontId="19" fillId="2" borderId="95" xfId="0" applyFont="1" applyFill="1" applyBorder="1" applyAlignment="1" applyProtection="1">
      <alignment horizontal="left" vertical="center" shrinkToFit="1"/>
      <protection hidden="1"/>
    </xf>
    <xf numFmtId="0" fontId="19" fillId="2" borderId="96" xfId="0" applyFont="1" applyFill="1" applyBorder="1" applyAlignment="1" applyProtection="1">
      <alignment horizontal="left" vertical="center" shrinkToFit="1"/>
      <protection hidden="1"/>
    </xf>
    <xf numFmtId="0" fontId="19" fillId="2" borderId="104" xfId="0" applyFont="1" applyFill="1" applyBorder="1" applyAlignment="1" applyProtection="1">
      <alignment horizontal="left" vertical="center" shrinkToFit="1"/>
      <protection hidden="1"/>
    </xf>
    <xf numFmtId="0" fontId="19" fillId="2" borderId="105" xfId="0" applyFont="1" applyFill="1" applyBorder="1" applyAlignment="1" applyProtection="1">
      <alignment horizontal="left" vertical="center" shrinkToFit="1"/>
      <protection hidden="1"/>
    </xf>
    <xf numFmtId="0" fontId="21" fillId="2" borderId="92" xfId="0" applyFont="1" applyFill="1" applyBorder="1" applyAlignment="1" applyProtection="1">
      <alignment horizontal="left" vertical="center" wrapText="1" shrinkToFit="1"/>
      <protection hidden="1"/>
    </xf>
    <xf numFmtId="0" fontId="21" fillId="2" borderId="83" xfId="0" applyFont="1" applyFill="1" applyBorder="1" applyAlignment="1" applyProtection="1">
      <alignment horizontal="left" vertical="center" wrapText="1" shrinkToFit="1"/>
      <protection hidden="1"/>
    </xf>
    <xf numFmtId="0" fontId="21" fillId="2" borderId="93" xfId="0" applyFont="1" applyFill="1" applyBorder="1" applyAlignment="1" applyProtection="1">
      <alignment horizontal="left" vertical="center" wrapText="1" shrinkToFit="1"/>
      <protection hidden="1"/>
    </xf>
    <xf numFmtId="0" fontId="31" fillId="2" borderId="110" xfId="0" applyFont="1" applyFill="1" applyBorder="1" applyAlignment="1" applyProtection="1">
      <alignment horizontal="center" vertical="center"/>
      <protection hidden="1"/>
    </xf>
    <xf numFmtId="0" fontId="31" fillId="2" borderId="111" xfId="0" applyFont="1" applyFill="1" applyBorder="1" applyAlignment="1" applyProtection="1">
      <alignment horizontal="center" vertical="center"/>
      <protection hidden="1"/>
    </xf>
    <xf numFmtId="0" fontId="31" fillId="2" borderId="106" xfId="0" applyFont="1" applyFill="1" applyBorder="1" applyAlignment="1" applyProtection="1">
      <alignment horizontal="center" vertical="center"/>
      <protection hidden="1"/>
    </xf>
    <xf numFmtId="0" fontId="21" fillId="2" borderId="76" xfId="0" applyFont="1" applyFill="1" applyBorder="1" applyAlignment="1" applyProtection="1">
      <alignment horizontal="left" vertical="center" wrapText="1"/>
      <protection hidden="1"/>
    </xf>
    <xf numFmtId="0" fontId="21" fillId="2" borderId="77" xfId="0" applyFont="1" applyFill="1" applyBorder="1" applyAlignment="1" applyProtection="1">
      <alignment horizontal="left" vertical="center" wrapText="1"/>
      <protection hidden="1"/>
    </xf>
    <xf numFmtId="0" fontId="21" fillId="2" borderId="109" xfId="0" applyFont="1" applyFill="1" applyBorder="1" applyAlignment="1" applyProtection="1">
      <alignment horizontal="left" vertical="center" wrapText="1"/>
      <protection hidden="1"/>
    </xf>
    <xf numFmtId="0" fontId="31" fillId="2" borderId="76" xfId="0" applyFont="1" applyFill="1" applyBorder="1" applyAlignment="1" applyProtection="1">
      <alignment horizontal="center" vertical="center"/>
      <protection hidden="1"/>
    </xf>
    <xf numFmtId="0" fontId="31" fillId="2" borderId="109" xfId="0" applyFont="1" applyFill="1" applyBorder="1" applyAlignment="1" applyProtection="1">
      <alignment horizontal="center" vertical="center"/>
      <protection hidden="1"/>
    </xf>
    <xf numFmtId="0" fontId="31" fillId="2" borderId="69" xfId="0" applyFont="1" applyFill="1" applyBorder="1" applyAlignment="1" applyProtection="1">
      <alignment horizontal="center" vertical="center"/>
      <protection hidden="1"/>
    </xf>
    <xf numFmtId="181" fontId="19" fillId="2" borderId="94" xfId="0" applyNumberFormat="1" applyFont="1" applyFill="1" applyBorder="1" applyAlignment="1" applyProtection="1">
      <alignment horizontal="center" vertical="center"/>
      <protection hidden="1"/>
    </xf>
    <xf numFmtId="181" fontId="19" fillId="2" borderId="73" xfId="0" applyNumberFormat="1" applyFont="1" applyFill="1" applyBorder="1" applyAlignment="1" applyProtection="1">
      <alignment horizontal="center" vertical="center"/>
      <protection hidden="1"/>
    </xf>
    <xf numFmtId="181" fontId="19" fillId="2" borderId="107" xfId="0" applyNumberFormat="1" applyFont="1" applyFill="1" applyBorder="1" applyAlignment="1" applyProtection="1">
      <alignment horizontal="center" vertical="center"/>
      <protection hidden="1"/>
    </xf>
    <xf numFmtId="0" fontId="24" fillId="2" borderId="113" xfId="0" applyFont="1" applyFill="1" applyBorder="1" applyAlignment="1" applyProtection="1">
      <alignment horizontal="center" vertical="center" shrinkToFit="1"/>
      <protection hidden="1"/>
    </xf>
    <xf numFmtId="0" fontId="24" fillId="2" borderId="103" xfId="0" applyFont="1" applyFill="1" applyBorder="1" applyAlignment="1" applyProtection="1">
      <alignment horizontal="center" vertical="center" shrinkToFit="1"/>
      <protection hidden="1"/>
    </xf>
    <xf numFmtId="0" fontId="31" fillId="2" borderId="107" xfId="0" applyFont="1" applyFill="1" applyBorder="1" applyAlignment="1" applyProtection="1">
      <alignment horizontal="center" vertical="center"/>
      <protection hidden="1"/>
    </xf>
    <xf numFmtId="181" fontId="19" fillId="2" borderId="73" xfId="0" applyNumberFormat="1" applyFont="1" applyFill="1" applyBorder="1" applyAlignment="1" applyProtection="1">
      <alignment horizontal="center" vertical="center" shrinkToFit="1"/>
      <protection hidden="1"/>
    </xf>
    <xf numFmtId="181" fontId="19" fillId="2" borderId="107" xfId="0" applyNumberFormat="1" applyFont="1" applyFill="1" applyBorder="1" applyAlignment="1" applyProtection="1">
      <alignment horizontal="center" vertical="center" shrinkToFit="1"/>
      <protection hidden="1"/>
    </xf>
    <xf numFmtId="181" fontId="19" fillId="2" borderId="73" xfId="0" applyNumberFormat="1" applyFont="1" applyFill="1" applyBorder="1" applyAlignment="1" applyProtection="1">
      <alignment horizontal="left" vertical="center" shrinkToFit="1"/>
      <protection hidden="1"/>
    </xf>
    <xf numFmtId="180" fontId="19" fillId="2" borderId="73" xfId="0" applyNumberFormat="1" applyFont="1" applyFill="1" applyBorder="1" applyAlignment="1" applyProtection="1">
      <alignment horizontal="right" vertical="center" shrinkToFit="1"/>
      <protection hidden="1"/>
    </xf>
    <xf numFmtId="181" fontId="19" fillId="2" borderId="70" xfId="0" applyNumberFormat="1" applyFont="1" applyFill="1" applyBorder="1" applyAlignment="1" applyProtection="1">
      <alignment horizontal="left" vertical="center" shrinkToFit="1"/>
      <protection hidden="1"/>
    </xf>
    <xf numFmtId="181" fontId="19" fillId="2" borderId="70" xfId="0" applyNumberFormat="1" applyFont="1" applyFill="1" applyBorder="1" applyAlignment="1" applyProtection="1">
      <alignment horizontal="center" vertical="center" shrinkToFit="1"/>
      <protection hidden="1"/>
    </xf>
    <xf numFmtId="180" fontId="19" fillId="2" borderId="70" xfId="0" applyNumberFormat="1" applyFont="1" applyFill="1" applyBorder="1" applyAlignment="1" applyProtection="1">
      <alignment horizontal="right" vertical="center" shrinkToFit="1"/>
      <protection hidden="1"/>
    </xf>
    <xf numFmtId="181" fontId="19" fillId="2" borderId="108" xfId="0" applyNumberFormat="1" applyFont="1" applyFill="1" applyBorder="1" applyAlignment="1" applyProtection="1">
      <alignment horizontal="center" vertical="center" shrinkToFit="1"/>
      <protection hidden="1"/>
    </xf>
    <xf numFmtId="0" fontId="34" fillId="2" borderId="0" xfId="0" applyFont="1" applyFill="1" applyAlignment="1" applyProtection="1">
      <alignment horizontal="left" vertical="center"/>
      <protection hidden="1"/>
    </xf>
    <xf numFmtId="0" fontId="34" fillId="2" borderId="0" xfId="0" applyFont="1" applyFill="1" applyAlignment="1" applyProtection="1">
      <alignment horizontal="right" vertical="center"/>
      <protection hidden="1"/>
    </xf>
    <xf numFmtId="0" fontId="27" fillId="2" borderId="65" xfId="0" applyFont="1" applyFill="1" applyBorder="1" applyAlignment="1" applyProtection="1">
      <alignment horizontal="center" vertical="center"/>
      <protection hidden="1"/>
    </xf>
    <xf numFmtId="0" fontId="27" fillId="2" borderId="64" xfId="0" applyFont="1" applyFill="1" applyBorder="1" applyAlignment="1" applyProtection="1">
      <alignment horizontal="center" vertical="center"/>
      <protection hidden="1"/>
    </xf>
    <xf numFmtId="0" fontId="27" fillId="2" borderId="109" xfId="0" applyFont="1" applyFill="1" applyBorder="1" applyAlignment="1" applyProtection="1">
      <alignment horizontal="center" vertical="center"/>
      <protection hidden="1"/>
    </xf>
    <xf numFmtId="0" fontId="27" fillId="2" borderId="76" xfId="0" applyFont="1" applyFill="1" applyBorder="1" applyAlignment="1" applyProtection="1">
      <alignment horizontal="center" vertical="center"/>
      <protection hidden="1"/>
    </xf>
    <xf numFmtId="0" fontId="31" fillId="2" borderId="117" xfId="0" applyFont="1" applyFill="1" applyBorder="1" applyAlignment="1" applyProtection="1">
      <alignment horizontal="left" vertical="center"/>
      <protection hidden="1"/>
    </xf>
    <xf numFmtId="0" fontId="31" fillId="2" borderId="118" xfId="0" applyFont="1" applyFill="1" applyBorder="1" applyAlignment="1" applyProtection="1">
      <alignment horizontal="left" vertical="center"/>
      <protection hidden="1"/>
    </xf>
    <xf numFmtId="182" fontId="19" fillId="2" borderId="113" xfId="0" applyNumberFormat="1" applyFont="1" applyFill="1" applyBorder="1" applyAlignment="1" applyProtection="1">
      <alignment horizontal="right" vertical="center" shrinkToFit="1"/>
      <protection hidden="1"/>
    </xf>
    <xf numFmtId="182" fontId="19" fillId="2" borderId="103" xfId="0" applyNumberFormat="1" applyFont="1" applyFill="1" applyBorder="1" applyAlignment="1" applyProtection="1">
      <alignment horizontal="right" vertical="center" shrinkToFit="1"/>
      <protection hidden="1"/>
    </xf>
    <xf numFmtId="181" fontId="19" fillId="2" borderId="103" xfId="0" applyNumberFormat="1" applyFont="1" applyFill="1" applyBorder="1" applyAlignment="1" applyProtection="1">
      <alignment horizontal="center" vertical="center"/>
      <protection hidden="1"/>
    </xf>
    <xf numFmtId="0" fontId="31" fillId="2" borderId="95" xfId="0" applyFont="1" applyFill="1" applyBorder="1" applyAlignment="1" applyProtection="1">
      <alignment horizontal="right" vertical="center"/>
      <protection hidden="1"/>
    </xf>
    <xf numFmtId="0" fontId="31" fillId="2" borderId="96" xfId="0" applyFont="1" applyFill="1" applyBorder="1" applyAlignment="1" applyProtection="1">
      <alignment horizontal="right" vertical="center"/>
      <protection hidden="1"/>
    </xf>
    <xf numFmtId="0" fontId="31" fillId="2" borderId="100" xfId="0" applyFont="1" applyFill="1" applyBorder="1" applyAlignment="1" applyProtection="1">
      <alignment horizontal="right" vertical="center"/>
      <protection hidden="1"/>
    </xf>
    <xf numFmtId="0" fontId="31" fillId="2" borderId="101" xfId="0" applyFont="1" applyFill="1" applyBorder="1" applyAlignment="1" applyProtection="1">
      <alignment horizontal="right" vertical="center"/>
      <protection hidden="1"/>
    </xf>
  </cellXfs>
  <cellStyles count="2">
    <cellStyle name="쉼표 [0] 2" xfId="1" xr:uid="{C42047F6-23D9-4C37-85EE-17400C3D557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137483</xdr:colOff>
      <xdr:row>17</xdr:row>
      <xdr:rowOff>92498</xdr:rowOff>
    </xdr:from>
    <xdr:ext cx="4844635" cy="1289712"/>
    <xdr:sp macro="" textlink="">
      <xdr:nvSpPr>
        <xdr:cNvPr id="2" name="직사각형 1" hidden="1">
          <a:extLst>
            <a:ext uri="{FF2B5EF4-FFF2-40B4-BE49-F238E27FC236}">
              <a16:creationId xmlns:a16="http://schemas.microsoft.com/office/drawing/2014/main" id="{2F1C8214-B5FF-48BD-9E2D-E50959DF34ED}"/>
            </a:ext>
          </a:extLst>
        </xdr:cNvPr>
        <xdr:cNvSpPr/>
      </xdr:nvSpPr>
      <xdr:spPr>
        <a:xfrm rot="19923168">
          <a:off x="1996763" y="3437678"/>
          <a:ext cx="4844635" cy="1289712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0"/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ko-KR" altLang="en-US" sz="5400" b="1" cap="none" spc="0">
              <a:ln w="28575">
                <a:solidFill>
                  <a:srgbClr val="FF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지급보류</a:t>
          </a:r>
          <a:endParaRPr lang="en-US" altLang="ko-KR" sz="5400" b="1" cap="none" spc="0">
            <a:ln w="28575">
              <a:solidFill>
                <a:srgbClr val="FF0000"/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137484</xdr:colOff>
      <xdr:row>39</xdr:row>
      <xdr:rowOff>92499</xdr:rowOff>
    </xdr:from>
    <xdr:ext cx="4844635" cy="1289712"/>
    <xdr:sp macro="" textlink="">
      <xdr:nvSpPr>
        <xdr:cNvPr id="3" name="직사각형 2" hidden="1">
          <a:extLst>
            <a:ext uri="{FF2B5EF4-FFF2-40B4-BE49-F238E27FC236}">
              <a16:creationId xmlns:a16="http://schemas.microsoft.com/office/drawing/2014/main" id="{DE109526-B7E0-4A77-B824-943DB146B07F}"/>
            </a:ext>
          </a:extLst>
        </xdr:cNvPr>
        <xdr:cNvSpPr/>
      </xdr:nvSpPr>
      <xdr:spPr>
        <a:xfrm rot="19923168">
          <a:off x="1996764" y="7956339"/>
          <a:ext cx="4844635" cy="1289712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0"/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ko-KR" altLang="en-US" sz="5400" b="1" cap="none" spc="0">
              <a:ln w="28575">
                <a:solidFill>
                  <a:srgbClr val="FF0000"/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지급보류</a:t>
          </a:r>
          <a:endParaRPr lang="en-US" altLang="ko-KR" sz="5400" b="1" cap="none" spc="0">
            <a:ln w="28575">
              <a:solidFill>
                <a:srgbClr val="FF0000"/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45908;-AMD-26-0610-05&#50900;%20&#54032;&#47588;&#49324;&#50896;&#54032;&#47588;&#49688;&#49688;&#47308;(&#44288;&#47532;%20&#52572;&#51333;)_ver260610.xlsm" TargetMode="External"/><Relationship Id="rId2" Type="http://schemas.openxmlformats.org/officeDocument/2006/relationships/externalLinkPath" Target="file:///C:\Users\azmang\Documents\&#44208;&#49328;\&#54032;&#47588;&#49688;&#49688;&#47308;\&#45908;-AMD-26-0610-05&#50900;%20&#54032;&#47588;&#49324;&#50896;&#54032;&#47588;&#49688;&#49688;&#47308;(&#44288;&#47532;%20&#52572;&#51333;)_ver260610.xlsm" TargetMode="External"/><Relationship Id="rId1" Type="http://schemas.openxmlformats.org/officeDocument/2006/relationships/externalLinkPath" Target="/Users/azmang/Documents/&#44208;&#49328;/&#54032;&#47588;&#49688;&#49688;&#47308;/&#45908;-AMD-26-0610-05&#50900;%20&#54032;&#47588;&#49324;&#50896;&#54032;&#47588;&#49688;&#49688;&#47308;(&#44288;&#47532;%20&#52572;&#51333;)_ver2606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거래처합계코드"/>
      <sheetName val="삼진매출집계"/>
      <sheetName val="매출집계"/>
      <sheetName val="아르바이트 급여 정산서"/>
      <sheetName val="아르바이트비"/>
      <sheetName val="경비지원 및 공제"/>
      <sheetName val="지원금별도지급"/>
      <sheetName val="판매수수료체계"/>
      <sheetName val="시니어인적사항"/>
      <sheetName val="점포별인원"/>
      <sheetName val="시니어원천징수"/>
      <sheetName val="별도공제(전화요금,세액)"/>
      <sheetName val="★판매수수료작업시트 (AMD)"/>
      <sheetName val="매출집계(분석)"/>
      <sheetName val="국민은행"/>
      <sheetName val="신한은행"/>
      <sheetName val="★명세서(출력)"/>
      <sheetName val="★세금계산서(출력)"/>
      <sheetName val="매입 세금계산서 판매사원 정보"/>
      <sheetName val="년도별DB"/>
      <sheetName val="보고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Q3" t="str">
            <v>매장추가 열변경시</v>
          </cell>
          <cell r="R3" t="str">
            <v>-&gt;★판매수수료작업시트 (AMD)</v>
          </cell>
        </row>
        <row r="4">
          <cell r="Q4">
            <v>103</v>
          </cell>
          <cell r="R4" t="str">
            <v>-&gt; 공급가액 (V-) 열, 자동 찾기</v>
          </cell>
        </row>
        <row r="7">
          <cell r="F7" t="str">
            <v>출력순서는 매출집계 시트 참조</v>
          </cell>
        </row>
        <row r="8">
          <cell r="Q8" t="str">
            <v>지급총액</v>
          </cell>
          <cell r="R8" t="str">
            <v>아르바이트</v>
          </cell>
          <cell r="S8" t="str">
            <v>공급가액(V-)</v>
          </cell>
          <cell r="T8" t="str">
            <v>세액(부가세)</v>
          </cell>
        </row>
        <row r="9">
          <cell r="Q9">
            <v>297690570</v>
          </cell>
          <cell r="S9">
            <v>297690570</v>
          </cell>
          <cell r="T9">
            <v>29769057</v>
          </cell>
        </row>
        <row r="11">
          <cell r="F11" t="str">
            <v>출력순서</v>
          </cell>
          <cell r="G11" t="str">
            <v>전산 매장명</v>
          </cell>
          <cell r="H11" t="str">
            <v>세금계산서 상 호 명</v>
          </cell>
          <cell r="I11" t="str">
            <v>사업자등록번호</v>
          </cell>
          <cell r="J11" t="str">
            <v>대표자</v>
          </cell>
          <cell r="K11" t="str">
            <v>주 소</v>
          </cell>
          <cell r="L11" t="str">
            <v>업 태</v>
          </cell>
          <cell r="M11" t="str">
            <v>종 목</v>
          </cell>
          <cell r="N11" t="str">
            <v>전 화 번 호</v>
          </cell>
          <cell r="O11" t="str">
            <v>팩 스</v>
          </cell>
          <cell r="Q11" t="str">
            <v>지급</v>
          </cell>
          <cell r="R11" t="str">
            <v>아르바이트</v>
          </cell>
          <cell r="S11" t="str">
            <v>공급가액(V-)</v>
          </cell>
          <cell r="T11" t="str">
            <v>세액(부가세)</v>
          </cell>
        </row>
        <row r="12">
          <cell r="H12" t="str">
            <v>(주)더코지네스트컴퍼니</v>
          </cell>
          <cell r="I12" t="str">
            <v>211-81-83236</v>
          </cell>
          <cell r="J12" t="str">
            <v>김창수</v>
          </cell>
          <cell r="K12" t="str">
            <v>서울시 강남구 논현로 752, 3층</v>
          </cell>
          <cell r="L12" t="str">
            <v>제조,도소매</v>
          </cell>
          <cell r="M12" t="str">
            <v>침구 및 관련제품</v>
          </cell>
          <cell r="N12" t="str">
            <v>070-8670-0118</v>
          </cell>
        </row>
        <row r="13">
          <cell r="F13">
            <v>1</v>
          </cell>
          <cell r="G13" t="str">
            <v>롯데광주점</v>
          </cell>
          <cell r="H13" t="str">
            <v>레노마롯데광주점</v>
          </cell>
          <cell r="I13" t="str">
            <v>410-03-13741</v>
          </cell>
          <cell r="J13" t="str">
            <v>송미랑</v>
          </cell>
          <cell r="K13" t="str">
            <v xml:space="preserve">광주 동구 대인동 7-1 롯데백화점 7층 </v>
          </cell>
          <cell r="L13" t="str">
            <v>도소매</v>
          </cell>
          <cell r="M13" t="str">
            <v>상품판매대리</v>
          </cell>
          <cell r="N13" t="str">
            <v>전자(의무아님)</v>
          </cell>
          <cell r="O13" t="str">
            <v>유동혁
과장</v>
          </cell>
          <cell r="Q13">
            <v>7856750</v>
          </cell>
          <cell r="R13">
            <v>0</v>
          </cell>
          <cell r="S13">
            <v>7856750</v>
          </cell>
          <cell r="T13">
            <v>785675</v>
          </cell>
        </row>
        <row r="14">
          <cell r="F14">
            <v>2</v>
          </cell>
          <cell r="G14" t="str">
            <v>롯데포항점</v>
          </cell>
          <cell r="H14" t="str">
            <v>레노마롯데포항점</v>
          </cell>
          <cell r="I14" t="str">
            <v>506-13-55100</v>
          </cell>
          <cell r="J14" t="str">
            <v>박서영</v>
          </cell>
          <cell r="K14" t="str">
            <v xml:space="preserve">경북 포항시 북구 학산동 롯데백화점 8층 </v>
          </cell>
          <cell r="L14" t="str">
            <v>도소매</v>
          </cell>
          <cell r="M14" t="str">
            <v>상품판매대리</v>
          </cell>
          <cell r="N14" t="str">
            <v>전자</v>
          </cell>
          <cell r="O14" t="str">
            <v>안정우
팀장</v>
          </cell>
          <cell r="Q14">
            <v>10994100</v>
          </cell>
          <cell r="R14">
            <v>0</v>
          </cell>
          <cell r="S14">
            <v>10994100</v>
          </cell>
          <cell r="T14">
            <v>1099410</v>
          </cell>
        </row>
        <row r="15">
          <cell r="F15">
            <v>3</v>
          </cell>
          <cell r="G15" t="str">
            <v>롯데울산점</v>
          </cell>
          <cell r="H15" t="str">
            <v>레노마롯데울산점</v>
          </cell>
          <cell r="I15" t="str">
            <v>258-08-03280</v>
          </cell>
          <cell r="J15" t="str">
            <v>양미경</v>
          </cell>
          <cell r="K15" t="str">
            <v>울산광역시 남구 삼산로 288, 지하1층(삼산동,롯데백화점)</v>
          </cell>
          <cell r="L15" t="str">
            <v>도소매</v>
          </cell>
          <cell r="M15" t="str">
            <v>상품판매대리</v>
          </cell>
          <cell r="O15" t="str">
            <v>김영완
과장</v>
          </cell>
          <cell r="Q15">
            <v>6242180</v>
          </cell>
          <cell r="R15">
            <v>0</v>
          </cell>
          <cell r="S15">
            <v>6242180</v>
          </cell>
          <cell r="T15">
            <v>624218</v>
          </cell>
        </row>
        <row r="16">
          <cell r="F16">
            <v>4</v>
          </cell>
          <cell r="G16" t="str">
            <v>롯데동래점</v>
          </cell>
          <cell r="H16" t="str">
            <v>레노마롯데동래점</v>
          </cell>
          <cell r="I16" t="str">
            <v>797-02-03667</v>
          </cell>
          <cell r="J16" t="str">
            <v>최경진</v>
          </cell>
          <cell r="K16" t="str">
            <v>부산광역시 동래구 중앙대로 1393, 7층(온천동,롯데백화점)</v>
          </cell>
          <cell r="L16" t="str">
            <v>도소매</v>
          </cell>
          <cell r="M16" t="str">
            <v>상품판매대리</v>
          </cell>
          <cell r="O16" t="str">
            <v>안정우
팀장</v>
          </cell>
          <cell r="Q16">
            <v>5974690</v>
          </cell>
          <cell r="R16">
            <v>0</v>
          </cell>
          <cell r="S16">
            <v>5974690</v>
          </cell>
          <cell r="T16">
            <v>597469</v>
          </cell>
        </row>
        <row r="17">
          <cell r="F17">
            <v>5</v>
          </cell>
          <cell r="G17" t="str">
            <v>롯데창원점</v>
          </cell>
          <cell r="H17" t="str">
            <v>레노마롯데창원점</v>
          </cell>
          <cell r="I17" t="str">
            <v>843-34-01167</v>
          </cell>
          <cell r="J17" t="str">
            <v>함미란</v>
          </cell>
          <cell r="K17" t="str">
            <v>경상남도 창원시 성산구 중앙대로 124, 지하1층(상남동,롯데백화점)</v>
          </cell>
          <cell r="L17" t="str">
            <v>도소매</v>
          </cell>
          <cell r="M17" t="str">
            <v>상품판매대리</v>
          </cell>
          <cell r="O17" t="str">
            <v>김영완
과장</v>
          </cell>
          <cell r="Q17">
            <v>6969510</v>
          </cell>
          <cell r="R17">
            <v>0</v>
          </cell>
          <cell r="S17">
            <v>6969510</v>
          </cell>
          <cell r="T17">
            <v>696951</v>
          </cell>
        </row>
        <row r="18">
          <cell r="F18">
            <v>6</v>
          </cell>
          <cell r="G18" t="str">
            <v>롯데영등포점</v>
          </cell>
          <cell r="H18" t="str">
            <v>레노마롯데영등포점</v>
          </cell>
          <cell r="I18" t="str">
            <v>829-09-02678</v>
          </cell>
          <cell r="J18" t="str">
            <v>최종수</v>
          </cell>
          <cell r="K18" t="str">
            <v>서울특별시 영등포구 경인로846, 8층(영등포동,영등포민자역사)</v>
          </cell>
          <cell r="L18" t="str">
            <v>도소매</v>
          </cell>
          <cell r="M18" t="str">
            <v>상품판매대리</v>
          </cell>
          <cell r="N18" t="str">
            <v>전자</v>
          </cell>
          <cell r="O18" t="str">
            <v>안정우
팀장</v>
          </cell>
          <cell r="Q18">
            <v>6860760</v>
          </cell>
          <cell r="R18">
            <v>0</v>
          </cell>
          <cell r="S18">
            <v>6860760</v>
          </cell>
          <cell r="T18">
            <v>686076</v>
          </cell>
        </row>
        <row r="19">
          <cell r="F19">
            <v>7</v>
          </cell>
          <cell r="G19" t="str">
            <v>롯데평촌점</v>
          </cell>
          <cell r="H19" t="str">
            <v>레노마롯데평촌점</v>
          </cell>
          <cell r="I19" t="str">
            <v>705-71-00459</v>
          </cell>
          <cell r="J19" t="str">
            <v>최인영</v>
          </cell>
          <cell r="K19" t="str">
            <v>경기 안양시동안구 시민대로 180,8층</v>
          </cell>
          <cell r="L19" t="str">
            <v>도소매</v>
          </cell>
          <cell r="M19" t="str">
            <v>상품판매대리</v>
          </cell>
          <cell r="N19" t="str">
            <v>전자</v>
          </cell>
          <cell r="O19" t="str">
            <v>안정우
팀장</v>
          </cell>
          <cell r="Q19">
            <v>11789340</v>
          </cell>
          <cell r="R19">
            <v>0</v>
          </cell>
          <cell r="S19">
            <v>11789340</v>
          </cell>
          <cell r="T19">
            <v>1178934</v>
          </cell>
        </row>
        <row r="20">
          <cell r="F20">
            <v>8</v>
          </cell>
          <cell r="G20" t="str">
            <v>롯데노원점</v>
          </cell>
          <cell r="H20" t="str">
            <v>레노마롯데노원점</v>
          </cell>
          <cell r="I20" t="str">
            <v>128-26-29663</v>
          </cell>
          <cell r="J20" t="str">
            <v>임희선</v>
          </cell>
          <cell r="K20" t="str">
            <v xml:space="preserve">서울시 노원구 동일로 1414, 7층(상계동,롯데백화점) </v>
          </cell>
          <cell r="L20" t="str">
            <v>도소매</v>
          </cell>
          <cell r="M20" t="str">
            <v>상품판매대리</v>
          </cell>
          <cell r="N20" t="str">
            <v>전자(의무아님)</v>
          </cell>
          <cell r="O20" t="str">
            <v>안정우
팀장</v>
          </cell>
          <cell r="Q20">
            <v>6603010</v>
          </cell>
          <cell r="R20">
            <v>0</v>
          </cell>
          <cell r="S20">
            <v>6603010</v>
          </cell>
          <cell r="T20">
            <v>660301</v>
          </cell>
        </row>
        <row r="21">
          <cell r="F21">
            <v>9</v>
          </cell>
          <cell r="G21" t="str">
            <v>롯데대구점</v>
          </cell>
          <cell r="H21" t="str">
            <v>레노마롯데대구점</v>
          </cell>
          <cell r="I21" t="str">
            <v>154-1902699</v>
          </cell>
          <cell r="J21" t="str">
            <v>황정애</v>
          </cell>
          <cell r="K21" t="str">
            <v>대구광역시 북구 태평로 161 (칠성동2가, 롯데백화점 대구역) 8층</v>
          </cell>
          <cell r="L21" t="str">
            <v>도소매</v>
          </cell>
          <cell r="M21" t="str">
            <v>상품판매대리</v>
          </cell>
          <cell r="O21" t="str">
            <v>안정우
팀장</v>
          </cell>
          <cell r="Q21">
            <v>8690980</v>
          </cell>
          <cell r="R21">
            <v>0</v>
          </cell>
          <cell r="S21">
            <v>8690980</v>
          </cell>
          <cell r="T21">
            <v>869098</v>
          </cell>
        </row>
        <row r="22">
          <cell r="F22">
            <v>10</v>
          </cell>
          <cell r="G22" t="str">
            <v>현대천호점</v>
          </cell>
          <cell r="H22" t="str">
            <v>레노마현대천호점</v>
          </cell>
          <cell r="I22" t="str">
            <v>576-08-01972</v>
          </cell>
          <cell r="J22" t="str">
            <v>이은영</v>
          </cell>
          <cell r="K22" t="str">
            <v>서울시 강동구 천호대로 1005 현대백화점10층</v>
          </cell>
          <cell r="L22" t="str">
            <v>도소매</v>
          </cell>
          <cell r="M22" t="str">
            <v>상품판매대리</v>
          </cell>
          <cell r="N22" t="str">
            <v>전자</v>
          </cell>
          <cell r="O22" t="str">
            <v>안정우
팀장</v>
          </cell>
          <cell r="Q22">
            <v>14525190</v>
          </cell>
          <cell r="R22">
            <v>0</v>
          </cell>
          <cell r="S22">
            <v>14525190</v>
          </cell>
          <cell r="T22">
            <v>1452519</v>
          </cell>
        </row>
        <row r="23">
          <cell r="F23">
            <v>11</v>
          </cell>
          <cell r="G23" t="str">
            <v>현대대구점</v>
          </cell>
          <cell r="H23" t="str">
            <v>레노마현대대구점</v>
          </cell>
          <cell r="I23" t="str">
            <v>502-21-83685</v>
          </cell>
          <cell r="J23" t="str">
            <v>김종숙</v>
          </cell>
          <cell r="K23" t="str">
            <v xml:space="preserve">대구 중구 계산동2가 200 현대백화점 7층 </v>
          </cell>
          <cell r="L23" t="str">
            <v>도소매</v>
          </cell>
          <cell r="M23" t="str">
            <v>상품판매대리</v>
          </cell>
          <cell r="N23" t="str">
            <v>전자(의무아님)</v>
          </cell>
          <cell r="O23" t="str">
            <v>안정우
팀장</v>
          </cell>
          <cell r="Q23">
            <v>19559420</v>
          </cell>
          <cell r="R23">
            <v>0</v>
          </cell>
          <cell r="S23">
            <v>19559420</v>
          </cell>
          <cell r="T23">
            <v>1955942</v>
          </cell>
        </row>
        <row r="24">
          <cell r="F24">
            <v>12</v>
          </cell>
          <cell r="G24" t="str">
            <v>현대판교점</v>
          </cell>
          <cell r="H24" t="str">
            <v>레노마현대판교점</v>
          </cell>
          <cell r="I24" t="str">
            <v>209-07-21862</v>
          </cell>
          <cell r="J24" t="str">
            <v>김은영</v>
          </cell>
          <cell r="K24" t="str">
            <v>경기 성남시 분당구 판교역로146번길 20, 8층</v>
          </cell>
          <cell r="L24" t="str">
            <v>도소매</v>
          </cell>
          <cell r="M24" t="str">
            <v>상품판매대리</v>
          </cell>
          <cell r="N24" t="str">
            <v>전자</v>
          </cell>
          <cell r="O24" t="str">
            <v>안정우
팀장</v>
          </cell>
          <cell r="Q24">
            <v>16622460</v>
          </cell>
          <cell r="R24">
            <v>0</v>
          </cell>
          <cell r="S24">
            <v>16622460</v>
          </cell>
          <cell r="T24">
            <v>1662246</v>
          </cell>
        </row>
        <row r="25">
          <cell r="F25">
            <v>13</v>
          </cell>
          <cell r="G25" t="str">
            <v>신세계광주점</v>
          </cell>
          <cell r="H25" t="str">
            <v>레노마신세계광주점</v>
          </cell>
          <cell r="I25" t="str">
            <v>774-09-02795</v>
          </cell>
          <cell r="J25" t="str">
            <v>김문희</v>
          </cell>
          <cell r="K25" t="str">
            <v>광주광역시 서구 무진대로 932, 7층(광천동,신세계백화점)</v>
          </cell>
          <cell r="L25" t="str">
            <v>도소매</v>
          </cell>
          <cell r="M25" t="str">
            <v>상품판매대리</v>
          </cell>
          <cell r="N25" t="str">
            <v>전자</v>
          </cell>
          <cell r="O25" t="str">
            <v>유동혁
과장</v>
          </cell>
          <cell r="Q25">
            <v>14090850</v>
          </cell>
          <cell r="R25">
            <v>0</v>
          </cell>
          <cell r="S25">
            <v>14090850</v>
          </cell>
          <cell r="T25">
            <v>1409085</v>
          </cell>
        </row>
        <row r="26">
          <cell r="F26">
            <v>14</v>
          </cell>
          <cell r="G26" t="str">
            <v>신세계마산점</v>
          </cell>
          <cell r="H26" t="str">
            <v>레노마신세계마산점</v>
          </cell>
          <cell r="I26" t="str">
            <v>689-28-01602</v>
          </cell>
          <cell r="J26" t="str">
            <v>이윤옥</v>
          </cell>
          <cell r="K26" t="str">
            <v>경상남도 창원시 마산합포구 합포로 251,7층(산호동,신세계백화점)</v>
          </cell>
          <cell r="L26" t="str">
            <v>도소매</v>
          </cell>
          <cell r="M26" t="str">
            <v>상품판매대리</v>
          </cell>
          <cell r="N26" t="str">
            <v>전자</v>
          </cell>
          <cell r="O26" t="str">
            <v>김영완
과장</v>
          </cell>
          <cell r="Q26">
            <v>10782430</v>
          </cell>
          <cell r="R26">
            <v>0</v>
          </cell>
          <cell r="S26">
            <v>10782430</v>
          </cell>
          <cell r="T26">
            <v>1078243</v>
          </cell>
        </row>
        <row r="27">
          <cell r="F27">
            <v>15</v>
          </cell>
          <cell r="G27" t="str">
            <v>신세계경기점</v>
          </cell>
          <cell r="H27" t="str">
            <v>레노마신세계경기점</v>
          </cell>
          <cell r="I27" t="str">
            <v>830-39-00022</v>
          </cell>
          <cell r="J27" t="str">
            <v>류영순</v>
          </cell>
          <cell r="K27" t="str">
            <v xml:space="preserve">경기도 용인시 수지구 포은대로 536 지하2층(죽전동, 신세계백화점) </v>
          </cell>
          <cell r="L27" t="str">
            <v>도소매</v>
          </cell>
          <cell r="M27" t="str">
            <v>상품판매대리</v>
          </cell>
          <cell r="N27" t="str">
            <v>전자</v>
          </cell>
          <cell r="O27" t="str">
            <v>유동혁
과장</v>
          </cell>
          <cell r="Q27">
            <v>13826010</v>
          </cell>
          <cell r="R27">
            <v>0</v>
          </cell>
          <cell r="S27">
            <v>13826010</v>
          </cell>
          <cell r="T27">
            <v>1382601</v>
          </cell>
        </row>
        <row r="28">
          <cell r="F28">
            <v>16</v>
          </cell>
          <cell r="G28" t="str">
            <v>신세계센텀점</v>
          </cell>
          <cell r="H28" t="str">
            <v>레노마신세계센텀점</v>
          </cell>
          <cell r="I28" t="str">
            <v>617-33-62457</v>
          </cell>
          <cell r="J28" t="str">
            <v>강은정</v>
          </cell>
          <cell r="K28" t="str">
            <v xml:space="preserve">부산 해운대구 센텀남대로 35 (우동, 신세계백화점센텀점 7층) </v>
          </cell>
          <cell r="L28" t="str">
            <v>도소매</v>
          </cell>
          <cell r="M28" t="str">
            <v>상품판매대리</v>
          </cell>
          <cell r="N28" t="str">
            <v>전자</v>
          </cell>
          <cell r="O28" t="str">
            <v>안정우
팀장</v>
          </cell>
          <cell r="Q28">
            <v>19080390</v>
          </cell>
          <cell r="R28">
            <v>0</v>
          </cell>
          <cell r="S28">
            <v>19080390</v>
          </cell>
          <cell r="T28">
            <v>1908039</v>
          </cell>
        </row>
        <row r="29">
          <cell r="F29">
            <v>17</v>
          </cell>
          <cell r="G29" t="str">
            <v>신세계타임스퀘어점</v>
          </cell>
          <cell r="H29" t="str">
            <v>레노마영등포신세계</v>
          </cell>
          <cell r="I29" t="str">
            <v>503-56-01086</v>
          </cell>
          <cell r="J29" t="str">
            <v>배향선</v>
          </cell>
          <cell r="K29" t="str">
            <v>서울특별시 영등포구 영중로 9(영등포동4가, 신세계백화점)</v>
          </cell>
          <cell r="L29" t="str">
            <v>도소매</v>
          </cell>
          <cell r="M29" t="str">
            <v>상품판매대리</v>
          </cell>
          <cell r="O29" t="str">
            <v>안정우
팀장</v>
          </cell>
          <cell r="Q29">
            <v>7043750</v>
          </cell>
          <cell r="R29">
            <v>0</v>
          </cell>
          <cell r="S29">
            <v>7043750</v>
          </cell>
          <cell r="T29">
            <v>704375</v>
          </cell>
        </row>
        <row r="30">
          <cell r="F30">
            <v>18</v>
          </cell>
          <cell r="G30" t="str">
            <v>신세계대구점</v>
          </cell>
          <cell r="H30" t="str">
            <v>레노마신세계대구점</v>
          </cell>
          <cell r="I30" t="str">
            <v>732-29-01655</v>
          </cell>
          <cell r="J30" t="str">
            <v>진미현</v>
          </cell>
          <cell r="K30" t="str">
            <v>대구광역시 동구 동부로 149, 7층(신천동,신세계동대구복합환승센터)</v>
          </cell>
          <cell r="L30" t="str">
            <v>도소매</v>
          </cell>
          <cell r="M30" t="str">
            <v>상품판매대리</v>
          </cell>
          <cell r="O30" t="str">
            <v>안정우
팀장</v>
          </cell>
          <cell r="Q30">
            <v>18001690</v>
          </cell>
          <cell r="R30">
            <v>0</v>
          </cell>
          <cell r="S30">
            <v>18001690</v>
          </cell>
          <cell r="T30">
            <v>1800169</v>
          </cell>
        </row>
        <row r="31">
          <cell r="F31">
            <v>19</v>
          </cell>
          <cell r="G31" t="str">
            <v>갤러리아광교점</v>
          </cell>
          <cell r="H31" t="str">
            <v>레노마갤러리아광교점</v>
          </cell>
          <cell r="I31" t="str">
            <v>124-36-14774</v>
          </cell>
          <cell r="J31" t="str">
            <v>이현주</v>
          </cell>
          <cell r="K31" t="str">
            <v xml:space="preserve">경기 수원시영통구 하동 871-1 </v>
          </cell>
          <cell r="L31" t="str">
            <v>도소매</v>
          </cell>
          <cell r="M31" t="str">
            <v>상품판매대리</v>
          </cell>
          <cell r="N31" t="str">
            <v>전자</v>
          </cell>
          <cell r="O31" t="str">
            <v>유동혁
과장</v>
          </cell>
          <cell r="Q31">
            <v>14278730</v>
          </cell>
          <cell r="R31">
            <v>0</v>
          </cell>
          <cell r="S31">
            <v>14278730</v>
          </cell>
          <cell r="T31">
            <v>1427873</v>
          </cell>
        </row>
        <row r="32">
          <cell r="F32">
            <v>20</v>
          </cell>
          <cell r="G32" t="str">
            <v>신세계본점</v>
          </cell>
          <cell r="H32" t="str">
            <v>레노마신세계본점</v>
          </cell>
          <cell r="I32" t="str">
            <v>123-31-96216</v>
          </cell>
          <cell r="J32" t="str">
            <v>김은주</v>
          </cell>
          <cell r="K32" t="str">
            <v xml:space="preserve">서울 중구 소공로 63 (충무로1가, 신세계백화점레노마) </v>
          </cell>
          <cell r="L32" t="str">
            <v>도소매</v>
          </cell>
          <cell r="M32" t="str">
            <v>상품판매대리</v>
          </cell>
          <cell r="N32" t="str">
            <v>전자</v>
          </cell>
          <cell r="O32" t="str">
            <v>안정우
팀장</v>
          </cell>
          <cell r="Q32">
            <v>14723420</v>
          </cell>
          <cell r="R32">
            <v>0</v>
          </cell>
          <cell r="S32">
            <v>14723420</v>
          </cell>
          <cell r="T32">
            <v>1472342</v>
          </cell>
        </row>
        <row r="33">
          <cell r="F33">
            <v>21</v>
          </cell>
          <cell r="G33" t="str">
            <v>롯데아울렛김해점</v>
          </cell>
          <cell r="H33" t="str">
            <v>레노마롯데아울렛김해점</v>
          </cell>
          <cell r="I33" t="str">
            <v>609-18-28722</v>
          </cell>
          <cell r="J33" t="str">
            <v>김점희</v>
          </cell>
          <cell r="K33" t="str">
            <v>경남 김해시 장유로 469 롯데프리미엄아울렛 김해점</v>
          </cell>
          <cell r="L33" t="str">
            <v>도소매</v>
          </cell>
          <cell r="M33" t="str">
            <v>상품판매대리</v>
          </cell>
          <cell r="N33" t="str">
            <v>전자</v>
          </cell>
          <cell r="O33" t="str">
            <v>김경훈
팀장</v>
          </cell>
          <cell r="Q33">
            <v>16185730</v>
          </cell>
          <cell r="R33">
            <v>0</v>
          </cell>
          <cell r="S33">
            <v>16185730</v>
          </cell>
          <cell r="T33">
            <v>1618573</v>
          </cell>
        </row>
        <row r="34">
          <cell r="F34">
            <v>22</v>
          </cell>
          <cell r="G34" t="str">
            <v>롯데아울렛이천점</v>
          </cell>
          <cell r="H34" t="str">
            <v>레노마롯데아울렛이천점</v>
          </cell>
          <cell r="I34" t="str">
            <v>483-20-01920</v>
          </cell>
          <cell r="J34" t="str">
            <v>최혜영</v>
          </cell>
          <cell r="K34" t="str">
            <v>경기도 이천시 호법면 프리미엄아울렛로 177-74(롯데프리미엄아울렛)</v>
          </cell>
          <cell r="L34" t="str">
            <v>도소매</v>
          </cell>
          <cell r="M34" t="str">
            <v>상품판매대리</v>
          </cell>
          <cell r="N34" t="str">
            <v>전자(의무아님)</v>
          </cell>
          <cell r="O34" t="str">
            <v>유동혁
과장</v>
          </cell>
          <cell r="Q34">
            <v>11685650</v>
          </cell>
          <cell r="R34">
            <v>0</v>
          </cell>
          <cell r="S34">
            <v>11685650</v>
          </cell>
          <cell r="T34">
            <v>1168565</v>
          </cell>
        </row>
        <row r="35">
          <cell r="F35">
            <v>23</v>
          </cell>
          <cell r="G35" t="str">
            <v>현대아울렛대전점</v>
          </cell>
          <cell r="H35" t="str">
            <v>레노마 현대아울렛대전점</v>
          </cell>
          <cell r="I35" t="str">
            <v>338-25-01019</v>
          </cell>
          <cell r="J35" t="str">
            <v>장은영</v>
          </cell>
          <cell r="K35" t="str">
            <v>대전광역시 유성구 테크중앙로123, 3층 레노마홈(용산동,현대프리미엄아울렛대전점)</v>
          </cell>
          <cell r="L35" t="str">
            <v>도소매</v>
          </cell>
          <cell r="M35" t="str">
            <v>상품판매대리</v>
          </cell>
          <cell r="N35" t="str">
            <v>전자</v>
          </cell>
          <cell r="O35" t="str">
            <v>원태윤
차장</v>
          </cell>
          <cell r="Q35">
            <v>19047970</v>
          </cell>
          <cell r="R35">
            <v>0</v>
          </cell>
          <cell r="S35">
            <v>19047970</v>
          </cell>
          <cell r="T35">
            <v>1904797</v>
          </cell>
        </row>
        <row r="36">
          <cell r="F36">
            <v>24</v>
          </cell>
          <cell r="G36" t="str">
            <v>현대아울렛남양주점</v>
          </cell>
          <cell r="H36" t="str">
            <v>레노마 현대아울렛남양주점</v>
          </cell>
          <cell r="I36" t="str">
            <v>793-35-01097</v>
          </cell>
          <cell r="J36" t="str">
            <v>김지현</v>
          </cell>
          <cell r="K36" t="str">
            <v>경기도 남양주시 다산순환로 50, A동315호(현대프리미엄아울렛 SPACE1)</v>
          </cell>
          <cell r="L36" t="str">
            <v>도소매</v>
          </cell>
          <cell r="M36" t="str">
            <v>상품판매대리</v>
          </cell>
          <cell r="N36" t="str">
            <v>전자</v>
          </cell>
          <cell r="O36" t="str">
            <v>유동혁
과장</v>
          </cell>
          <cell r="Q36">
            <v>16255560</v>
          </cell>
          <cell r="R36">
            <v>0</v>
          </cell>
          <cell r="S36">
            <v>16255560</v>
          </cell>
          <cell r="T36">
            <v>1625556</v>
          </cell>
        </row>
      </sheetData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FB7C-DA3D-44E0-A903-F1D60A64DC4F}">
  <sheetPr codeName="Sheet19">
    <tabColor theme="6" tint="-0.249977111117893"/>
    <pageSetUpPr fitToPage="1"/>
  </sheetPr>
  <dimension ref="A1:AH74"/>
  <sheetViews>
    <sheetView tabSelected="1" workbookViewId="0">
      <pane ySplit="7" topLeftCell="A8" activePane="bottomLeft" state="frozenSplit"/>
      <selection pane="bottomLeft" activeCell="F17" sqref="F17:Q18"/>
    </sheetView>
  </sheetViews>
  <sheetFormatPr defaultRowHeight="14.4" x14ac:dyDescent="0.25"/>
  <cols>
    <col min="1" max="34" width="2.59765625" customWidth="1"/>
  </cols>
  <sheetData>
    <row r="1" spans="1:3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" x14ac:dyDescent="0.25">
      <c r="A6" s="1"/>
      <c r="B6" s="109" t="s">
        <v>0</v>
      </c>
      <c r="C6" s="110"/>
      <c r="D6" s="110"/>
      <c r="E6" s="110"/>
      <c r="F6" s="110"/>
      <c r="G6" s="111" t="s">
        <v>1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2"/>
      <c r="AC6" s="112"/>
      <c r="AD6" s="112"/>
      <c r="AE6" s="112"/>
      <c r="AF6" s="112"/>
      <c r="AG6" s="112"/>
      <c r="AH6" s="1"/>
    </row>
    <row r="7" spans="1:34" x14ac:dyDescent="0.25">
      <c r="A7" s="1"/>
      <c r="B7" s="113" t="s">
        <v>2</v>
      </c>
      <c r="C7" s="114"/>
      <c r="D7" s="114"/>
      <c r="E7" s="114"/>
      <c r="F7" s="114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4"/>
      <c r="AC7" s="114"/>
      <c r="AD7" s="114"/>
      <c r="AE7" s="114"/>
      <c r="AF7" s="114"/>
      <c r="AG7" s="114"/>
      <c r="AH7" s="1"/>
    </row>
    <row r="8" spans="1:3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ht="15" thickBot="1" x14ac:dyDescent="0.3">
      <c r="A11" s="5"/>
      <c r="B11" s="6" t="s">
        <v>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115" t="s">
        <v>4</v>
      </c>
      <c r="AG11" s="115"/>
      <c r="AH11" s="7"/>
    </row>
    <row r="12" spans="1:34" x14ac:dyDescent="0.25">
      <c r="A12" s="5"/>
      <c r="B12" s="116" t="s">
        <v>5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20" t="s">
        <v>6</v>
      </c>
      <c r="N12" s="120"/>
      <c r="O12" s="120"/>
      <c r="P12" s="120"/>
      <c r="Q12" s="120"/>
      <c r="R12" s="120"/>
      <c r="S12" s="120"/>
      <c r="T12" s="120"/>
      <c r="U12" s="120"/>
      <c r="V12" s="120" t="s">
        <v>7</v>
      </c>
      <c r="W12" s="120"/>
      <c r="X12" s="120"/>
      <c r="Y12" s="122"/>
      <c r="Z12" s="123"/>
      <c r="AA12" s="123"/>
      <c r="AB12" s="8" t="s">
        <v>8</v>
      </c>
      <c r="AC12" s="124"/>
      <c r="AD12" s="123"/>
      <c r="AE12" s="123"/>
      <c r="AF12" s="123"/>
      <c r="AG12" s="9" t="s">
        <v>9</v>
      </c>
      <c r="AH12" s="10"/>
    </row>
    <row r="13" spans="1:34" ht="18" thickBot="1" x14ac:dyDescent="0.3">
      <c r="A13" s="5"/>
      <c r="B13" s="118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21"/>
      <c r="N13" s="121"/>
      <c r="O13" s="121"/>
      <c r="P13" s="121"/>
      <c r="Q13" s="121"/>
      <c r="R13" s="121"/>
      <c r="S13" s="121"/>
      <c r="T13" s="121"/>
      <c r="U13" s="121"/>
      <c r="V13" s="121" t="s">
        <v>10</v>
      </c>
      <c r="W13" s="121"/>
      <c r="X13" s="121"/>
      <c r="Y13" s="125">
        <f ca="1">TODAY()</f>
        <v>46202</v>
      </c>
      <c r="Z13" s="126"/>
      <c r="AA13" s="127"/>
      <c r="AB13" s="11" t="s">
        <v>11</v>
      </c>
      <c r="AC13" s="128">
        <v>1</v>
      </c>
      <c r="AD13" s="129"/>
      <c r="AE13" s="129"/>
      <c r="AF13" s="129"/>
      <c r="AG13" s="130"/>
      <c r="AH13" s="12"/>
    </row>
    <row r="14" spans="1:34" ht="26.4" thickBot="1" x14ac:dyDescent="0.3">
      <c r="A14" s="5"/>
      <c r="B14" s="202" t="s">
        <v>12</v>
      </c>
      <c r="C14" s="186" t="s">
        <v>13</v>
      </c>
      <c r="D14" s="187"/>
      <c r="E14" s="187"/>
      <c r="F14" s="205" t="e">
        <f>VLOOKUP(#REF!,'[1]매입 세금계산서 판매사원 정보'!$F:$T,4,0)</f>
        <v>#REF!</v>
      </c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7"/>
      <c r="R14" s="161" t="s">
        <v>14</v>
      </c>
      <c r="S14" s="165" t="s">
        <v>13</v>
      </c>
      <c r="T14" s="166"/>
      <c r="U14" s="166"/>
      <c r="V14" s="13" t="s">
        <v>15</v>
      </c>
      <c r="W14" s="13" t="s">
        <v>16</v>
      </c>
      <c r="X14" s="14" t="s">
        <v>16</v>
      </c>
      <c r="Y14" s="15" t="s">
        <v>11</v>
      </c>
      <c r="Z14" s="15" t="s">
        <v>17</v>
      </c>
      <c r="AA14" s="14" t="s">
        <v>16</v>
      </c>
      <c r="AB14" s="15" t="s">
        <v>11</v>
      </c>
      <c r="AC14" s="15" t="s">
        <v>17</v>
      </c>
      <c r="AD14" s="13" t="s">
        <v>18</v>
      </c>
      <c r="AE14" s="13" t="s">
        <v>15</v>
      </c>
      <c r="AF14" s="13" t="s">
        <v>18</v>
      </c>
      <c r="AG14" s="16" t="s">
        <v>19</v>
      </c>
      <c r="AH14" s="17"/>
    </row>
    <row r="15" spans="1:34" x14ac:dyDescent="0.25">
      <c r="A15" s="5"/>
      <c r="B15" s="202"/>
      <c r="C15" s="167" t="s">
        <v>20</v>
      </c>
      <c r="D15" s="168"/>
      <c r="E15" s="168"/>
      <c r="F15" s="169" t="e">
        <f>VLOOKUP(#REF!,'[1]매입 세금계산서 판매사원 정보'!$F:$T,3,0)</f>
        <v>#REF!</v>
      </c>
      <c r="G15" s="170"/>
      <c r="H15" s="170"/>
      <c r="I15" s="170"/>
      <c r="J15" s="170"/>
      <c r="K15" s="171"/>
      <c r="L15" s="175" t="s">
        <v>21</v>
      </c>
      <c r="M15" s="175"/>
      <c r="N15" s="177" t="e">
        <f>VLOOKUP(#REF!,'[1]매입 세금계산서 판매사원 정보'!$F:$T,5,0)</f>
        <v>#REF!</v>
      </c>
      <c r="O15" s="178"/>
      <c r="P15" s="178"/>
      <c r="Q15" s="145" t="s">
        <v>22</v>
      </c>
      <c r="R15" s="162"/>
      <c r="S15" s="147" t="s">
        <v>20</v>
      </c>
      <c r="T15" s="147"/>
      <c r="U15" s="147"/>
      <c r="V15" s="148" t="s">
        <v>23</v>
      </c>
      <c r="W15" s="149"/>
      <c r="X15" s="149"/>
      <c r="Y15" s="149"/>
      <c r="Z15" s="149"/>
      <c r="AA15" s="150"/>
      <c r="AB15" s="133" t="s">
        <v>21</v>
      </c>
      <c r="AC15" s="133"/>
      <c r="AD15" s="155" t="s">
        <v>24</v>
      </c>
      <c r="AE15" s="155"/>
      <c r="AF15" s="156"/>
      <c r="AG15" s="159" t="s">
        <v>22</v>
      </c>
      <c r="AH15" s="19"/>
    </row>
    <row r="16" spans="1:34" ht="15" thickBot="1" x14ac:dyDescent="0.3">
      <c r="A16" s="5"/>
      <c r="B16" s="202"/>
      <c r="C16" s="131" t="s">
        <v>25</v>
      </c>
      <c r="D16" s="132"/>
      <c r="E16" s="132"/>
      <c r="F16" s="172"/>
      <c r="G16" s="173"/>
      <c r="H16" s="173"/>
      <c r="I16" s="173"/>
      <c r="J16" s="173"/>
      <c r="K16" s="174"/>
      <c r="L16" s="176"/>
      <c r="M16" s="176"/>
      <c r="N16" s="179"/>
      <c r="O16" s="180"/>
      <c r="P16" s="180"/>
      <c r="Q16" s="146"/>
      <c r="R16" s="162"/>
      <c r="S16" s="133" t="s">
        <v>25</v>
      </c>
      <c r="T16" s="133"/>
      <c r="U16" s="133"/>
      <c r="V16" s="151"/>
      <c r="W16" s="152"/>
      <c r="X16" s="152"/>
      <c r="Y16" s="152"/>
      <c r="Z16" s="152"/>
      <c r="AA16" s="153"/>
      <c r="AB16" s="154"/>
      <c r="AC16" s="154"/>
      <c r="AD16" s="157"/>
      <c r="AE16" s="157"/>
      <c r="AF16" s="158"/>
      <c r="AG16" s="160"/>
      <c r="AH16" s="19"/>
    </row>
    <row r="17" spans="1:34" ht="15.6" x14ac:dyDescent="0.25">
      <c r="A17" s="5"/>
      <c r="B17" s="203"/>
      <c r="C17" s="134" t="s">
        <v>26</v>
      </c>
      <c r="D17" s="134"/>
      <c r="E17" s="134"/>
      <c r="F17" s="135" t="e">
        <f>VLOOKUP(#REF!,'[1]매입 세금계산서 판매사원 정보'!$F:$T,6,0)</f>
        <v>#REF!</v>
      </c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7"/>
      <c r="R17" s="163"/>
      <c r="S17" s="141" t="s">
        <v>26</v>
      </c>
      <c r="T17" s="141"/>
      <c r="U17" s="141"/>
      <c r="V17" s="142" t="s">
        <v>27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3"/>
      <c r="AH17" s="21"/>
    </row>
    <row r="18" spans="1:34" ht="15" customHeight="1" x14ac:dyDescent="0.25">
      <c r="A18" s="5"/>
      <c r="B18" s="203"/>
      <c r="C18" s="144" t="s">
        <v>28</v>
      </c>
      <c r="D18" s="144"/>
      <c r="E18" s="144"/>
      <c r="F18" s="138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  <c r="R18" s="163"/>
      <c r="S18" s="133" t="s">
        <v>28</v>
      </c>
      <c r="T18" s="133"/>
      <c r="U18" s="133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3"/>
      <c r="AH18" s="21"/>
    </row>
    <row r="19" spans="1:34" ht="15" thickBot="1" x14ac:dyDescent="0.3">
      <c r="A19" s="5"/>
      <c r="B19" s="204"/>
      <c r="C19" s="168" t="s">
        <v>29</v>
      </c>
      <c r="D19" s="168"/>
      <c r="E19" s="168"/>
      <c r="F19" s="194" t="e">
        <f>VLOOKUP(#REF!,'[1]매입 세금계산서 판매사원 정보'!$F:$T,7,0)</f>
        <v>#REF!</v>
      </c>
      <c r="G19" s="195"/>
      <c r="H19" s="195"/>
      <c r="I19" s="196"/>
      <c r="J19" s="197" t="s">
        <v>30</v>
      </c>
      <c r="K19" s="198"/>
      <c r="L19" s="194" t="e">
        <f>VLOOKUP(#REF!,'[1]매입 세금계산서 판매사원 정보'!$F:$T,8,0)</f>
        <v>#REF!</v>
      </c>
      <c r="M19" s="195"/>
      <c r="N19" s="195"/>
      <c r="O19" s="195"/>
      <c r="P19" s="195"/>
      <c r="Q19" s="196"/>
      <c r="R19" s="164"/>
      <c r="S19" s="141" t="s">
        <v>29</v>
      </c>
      <c r="T19" s="141"/>
      <c r="U19" s="141"/>
      <c r="V19" s="199" t="s">
        <v>31</v>
      </c>
      <c r="W19" s="200"/>
      <c r="X19" s="200"/>
      <c r="Y19" s="201"/>
      <c r="Z19" s="181" t="s">
        <v>30</v>
      </c>
      <c r="AA19" s="182"/>
      <c r="AB19" s="183" t="s">
        <v>32</v>
      </c>
      <c r="AC19" s="184"/>
      <c r="AD19" s="184"/>
      <c r="AE19" s="184"/>
      <c r="AF19" s="184"/>
      <c r="AG19" s="185"/>
      <c r="AH19" s="23"/>
    </row>
    <row r="20" spans="1:34" x14ac:dyDescent="0.25">
      <c r="A20" s="5"/>
      <c r="B20" s="186" t="s">
        <v>33</v>
      </c>
      <c r="C20" s="187"/>
      <c r="D20" s="187"/>
      <c r="E20" s="187"/>
      <c r="F20" s="187" t="s">
        <v>34</v>
      </c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8"/>
      <c r="R20" s="189" t="s">
        <v>35</v>
      </c>
      <c r="S20" s="190"/>
      <c r="T20" s="190"/>
      <c r="U20" s="190"/>
      <c r="V20" s="190"/>
      <c r="W20" s="190"/>
      <c r="X20" s="190"/>
      <c r="Y20" s="190"/>
      <c r="Z20" s="190"/>
      <c r="AA20" s="191"/>
      <c r="AB20" s="192" t="s">
        <v>36</v>
      </c>
      <c r="AC20" s="154"/>
      <c r="AD20" s="154"/>
      <c r="AE20" s="154"/>
      <c r="AF20" s="154"/>
      <c r="AG20" s="193"/>
      <c r="AH20" s="25"/>
    </row>
    <row r="21" spans="1:34" ht="15.6" x14ac:dyDescent="0.25">
      <c r="A21" s="5"/>
      <c r="B21" s="208" t="s">
        <v>37</v>
      </c>
      <c r="C21" s="175"/>
      <c r="D21" s="27" t="s">
        <v>38</v>
      </c>
      <c r="E21" s="27" t="s">
        <v>39</v>
      </c>
      <c r="F21" s="28" t="s">
        <v>40</v>
      </c>
      <c r="G21" s="18" t="s">
        <v>41</v>
      </c>
      <c r="H21" s="29" t="s">
        <v>42</v>
      </c>
      <c r="I21" s="26" t="s">
        <v>43</v>
      </c>
      <c r="J21" s="18" t="s">
        <v>44</v>
      </c>
      <c r="K21" s="29" t="s">
        <v>41</v>
      </c>
      <c r="L21" s="26" t="s">
        <v>42</v>
      </c>
      <c r="M21" s="18" t="s">
        <v>45</v>
      </c>
      <c r="N21" s="29" t="s">
        <v>44</v>
      </c>
      <c r="O21" s="26" t="s">
        <v>41</v>
      </c>
      <c r="P21" s="18" t="s">
        <v>42</v>
      </c>
      <c r="Q21" s="29" t="s">
        <v>39</v>
      </c>
      <c r="R21" s="30" t="s">
        <v>42</v>
      </c>
      <c r="S21" s="31" t="s">
        <v>43</v>
      </c>
      <c r="T21" s="20" t="s">
        <v>44</v>
      </c>
      <c r="U21" s="32" t="s">
        <v>41</v>
      </c>
      <c r="V21" s="31" t="s">
        <v>42</v>
      </c>
      <c r="W21" s="20" t="s">
        <v>45</v>
      </c>
      <c r="X21" s="32" t="s">
        <v>44</v>
      </c>
      <c r="Y21" s="31" t="s">
        <v>41</v>
      </c>
      <c r="Z21" s="20" t="s">
        <v>42</v>
      </c>
      <c r="AA21" s="24" t="s">
        <v>39</v>
      </c>
      <c r="AB21" s="209"/>
      <c r="AC21" s="210"/>
      <c r="AD21" s="210"/>
      <c r="AE21" s="210"/>
      <c r="AF21" s="210"/>
      <c r="AG21" s="211"/>
      <c r="AH21" s="33"/>
    </row>
    <row r="22" spans="1:34" ht="18" thickBot="1" x14ac:dyDescent="0.3">
      <c r="A22" s="5"/>
      <c r="B22" s="213" t="e">
        <f>#REF!</f>
        <v>#REF!</v>
      </c>
      <c r="C22" s="214"/>
      <c r="D22" s="34" t="e">
        <f>#REF!</f>
        <v>#REF!</v>
      </c>
      <c r="E22" s="34" t="e">
        <f>#REF!</f>
        <v>#REF!</v>
      </c>
      <c r="F22" s="35">
        <f>COUNTBLANK(G22:Q22)</f>
        <v>11</v>
      </c>
      <c r="G22" s="36" t="str">
        <f>IF(ISERROR(MID(SUM($T$24:$Y$27),LEN(SUM($T$24:$Y$27))-COUNTA(G21:$Q$21)+1,1)),"",MID(SUM($T$24:$Y$27),LEN(SUM($T$24:$Y$27))-COUNTA(G21:$Q$21)+1,1))</f>
        <v/>
      </c>
      <c r="H22" s="37" t="str">
        <f>IF(ISERROR(MID(SUM($T$24:$Y$27),LEN(SUM($T$24:$Y$27))-COUNTA(H21:$Q$21)+1,1)),"",MID(SUM($T$24:$Y$27),LEN(SUM($T$24:$Y$27))-COUNTA(H21:$Q$21)+1,1))</f>
        <v/>
      </c>
      <c r="I22" s="38" t="str">
        <f>IF(ISERROR(MID(SUM($T$24:$Y$27),LEN(SUM($T$24:$Y$27))-COUNTA(I21:$Q$21)+1,1)),"",MID(SUM($T$24:$Y$27),LEN(SUM($T$24:$Y$27))-COUNTA(I21:$Q$21)+1,1))</f>
        <v/>
      </c>
      <c r="J22" s="36" t="str">
        <f>IF(ISERROR(MID(SUM($T$24:$Y$27),LEN(SUM($T$24:$Y$27))-COUNTA(J21:$Q$21)+1,1)),"",MID(SUM($T$24:$Y$27),LEN(SUM($T$24:$Y$27))-COUNTA(J21:$Q$21)+1,1))</f>
        <v/>
      </c>
      <c r="K22" s="37" t="str">
        <f>IF(ISERROR(MID(SUM($T$24:$Y$27),LEN(SUM($T$24:$Y$27))-COUNTA(K21:$Q$21)+1,1)),"",MID(SUM($T$24:$Y$27),LEN(SUM($T$24:$Y$27))-COUNTA(K21:$Q$21)+1,1))</f>
        <v/>
      </c>
      <c r="L22" s="38" t="str">
        <f>IF(ISERROR(MID(SUM($T$24:$Y$27),LEN(SUM($T$24:$Y$27))-COUNTA(L21:$Q$21)+1,1)),"",MID(SUM($T$24:$Y$27),LEN(SUM($T$24:$Y$27))-COUNTA(L21:$Q$21)+1,1))</f>
        <v/>
      </c>
      <c r="M22" s="36" t="str">
        <f>IF(ISERROR(MID(SUM($T$24:$Y$27),LEN(SUM($T$24:$Y$27))-COUNTA(M21:$Q$21)+1,1)),"",MID(SUM($T$24:$Y$27),LEN(SUM($T$24:$Y$27))-COUNTA(M21:$Q$21)+1,1))</f>
        <v/>
      </c>
      <c r="N22" s="37" t="str">
        <f>IF(ISERROR(MID(SUM($T$24:$Y$27),LEN(SUM($T$24:$Y$27))-COUNTA(N21:$Q$21)+1,1)),"",MID(SUM($T$24:$Y$27),LEN(SUM($T$24:$Y$27))-COUNTA(N21:$Q$21)+1,1))</f>
        <v/>
      </c>
      <c r="O22" s="38" t="str">
        <f>IF(ISERROR(MID(SUM($T$24:$Y$27),LEN(SUM($T$24:$Y$27))-COUNTA(O21:$Q$21)+1,1)),"",MID(SUM($T$24:$Y$27),LEN(SUM($T$24:$Y$27))-COUNTA(O21:$Q$21)+1,1))</f>
        <v/>
      </c>
      <c r="P22" s="39" t="str">
        <f>IF(ISERROR(MID(SUM($T$24:$Y$27),LEN(SUM($T$24:$Y$27))-COUNTA(P21:$Q$21)+1,1)),"",MID(SUM($T$24:$Y$27),LEN(SUM($T$24:$Y$27))-COUNTA(P21:$Q$21)+1,1))</f>
        <v/>
      </c>
      <c r="Q22" s="37" t="str">
        <f>IF(ISERROR(MID(SUM($T$24:$Y$27),LEN(SUM($T$24:$Y$27))-COUNTA(Q21:$Q$21)+1,1)),"",MID(SUM($T$24:$Y$27),LEN(SUM($T$24:$Y$27))-COUNTA(Q21:$Q$21)+1,1))</f>
        <v/>
      </c>
      <c r="R22" s="40" t="str">
        <f>IF(ISERROR(MID(SUM($Z$24:$AC$27),LEN(SUM($Z$24:$AC$27))-COUNTA(R21:$AA$21)+1,1)),"",MID(SUM($Z$24:$AC$27),LEN(SUM($Z$24:$AC$27))-COUNTA(R21:$AA$21)+1,1))</f>
        <v/>
      </c>
      <c r="S22" s="38" t="str">
        <f>IF(ISERROR(MID(SUM($Z$24:$AC$27),LEN(SUM($Z$24:$AC$27))-COUNTA(S21:$AA$21)+1,1)),"",MID(SUM($Z$24:$AC$27),LEN(SUM($Z$24:$AC$27))-COUNTA(S21:$AA$21)+1,1))</f>
        <v/>
      </c>
      <c r="T22" s="36" t="str">
        <f>IF(ISERROR(MID(SUM($Z$24:$AC$27),LEN(SUM($Z$24:$AC$27))-COUNTA(T21:$AA$21)+1,1)),"",MID(SUM($Z$24:$AC$27),LEN(SUM($Z$24:$AC$27))-COUNTA(T21:$AA$21)+1,1))</f>
        <v/>
      </c>
      <c r="U22" s="37" t="str">
        <f>IF(ISERROR(MID(SUM($Z$24:$AC$27),LEN(SUM($Z$24:$AC$27))-COUNTA(U21:$AA$21)+1,1)),"",MID(SUM($Z$24:$AC$27),LEN(SUM($Z$24:$AC$27))-COUNTA(U21:$AA$21)+1,1))</f>
        <v/>
      </c>
      <c r="V22" s="38" t="str">
        <f>IF(ISERROR(MID(SUM($Z$24:$AC$27),LEN(SUM($Z$24:$AC$27))-COUNTA(V21:$AA$21)+1,1)),"",MID(SUM($Z$24:$AC$27),LEN(SUM($Z$24:$AC$27))-COUNTA(V21:$AA$21)+1,1))</f>
        <v/>
      </c>
      <c r="W22" s="36" t="str">
        <f>IF(ISERROR(MID(SUM($Z$24:$AC$27),LEN(SUM($Z$24:$AC$27))-COUNTA(W21:$AA$21)+1,1)),"",MID(SUM($Z$24:$AC$27),LEN(SUM($Z$24:$AC$27))-COUNTA(W21:$AA$21)+1,1))</f>
        <v/>
      </c>
      <c r="X22" s="37" t="str">
        <f>IF(ISERROR(MID(SUM($Z$24:$AC$27),LEN(SUM($Z$24:$AC$27))-COUNTA(X21:$AA$21)+1,1)),"",MID(SUM($Z$24:$AC$27),LEN(SUM($Z$24:$AC$27))-COUNTA(X21:$AA$21)+1,1))</f>
        <v/>
      </c>
      <c r="Y22" s="38" t="str">
        <f>IF(ISERROR(MID(SUM($Z$24:$AC$27),LEN(SUM($Z$24:$AC$27))-COUNTA(Y21:$AA$21)+1,1)),"",MID(SUM($Z$24:$AC$27),LEN(SUM($Z$24:$AC$27))-COUNTA(Y21:$AA$21)+1,1))</f>
        <v/>
      </c>
      <c r="Z22" s="41" t="str">
        <f>IF(ISERROR(MID(SUM($Z$24:$AC$27),LEN(SUM($Z$24:$AC$27))-COUNTA(Z21:$AA$21)+1,1)),"",MID(SUM($Z$24:$AC$27),LEN(SUM($Z$24:$AC$27))-COUNTA(Z21:$AA$21)+1,1))</f>
        <v/>
      </c>
      <c r="AA22" s="42" t="str">
        <f>IF(ISERROR(MID(SUM($Z$24:$AC$27),LEN(SUM($Z$24:$AC$27))-COUNTA(AA21:$AA$21)+1,1)),"",MID(SUM($Z$24:$AC$27),LEN(SUM($Z$24:$AC$27))-COUNTA(AA21:$AA$21)+1,1))</f>
        <v/>
      </c>
      <c r="AB22" s="212"/>
      <c r="AC22" s="210"/>
      <c r="AD22" s="210"/>
      <c r="AE22" s="210"/>
      <c r="AF22" s="210"/>
      <c r="AG22" s="211"/>
      <c r="AH22" s="33"/>
    </row>
    <row r="23" spans="1:34" x14ac:dyDescent="0.25">
      <c r="A23" s="5"/>
      <c r="B23" s="43" t="s">
        <v>38</v>
      </c>
      <c r="C23" s="22" t="s">
        <v>39</v>
      </c>
      <c r="D23" s="144" t="s">
        <v>46</v>
      </c>
      <c r="E23" s="144"/>
      <c r="F23" s="144"/>
      <c r="G23" s="144"/>
      <c r="H23" s="144"/>
      <c r="I23" s="144"/>
      <c r="J23" s="144"/>
      <c r="K23" s="144" t="s">
        <v>47</v>
      </c>
      <c r="L23" s="144"/>
      <c r="M23" s="144"/>
      <c r="N23" s="144" t="s">
        <v>48</v>
      </c>
      <c r="O23" s="144"/>
      <c r="P23" s="144"/>
      <c r="Q23" s="144" t="s">
        <v>49</v>
      </c>
      <c r="R23" s="144"/>
      <c r="S23" s="144"/>
      <c r="T23" s="144" t="s">
        <v>50</v>
      </c>
      <c r="U23" s="144"/>
      <c r="V23" s="144"/>
      <c r="W23" s="144"/>
      <c r="X23" s="144"/>
      <c r="Y23" s="144"/>
      <c r="Z23" s="144" t="s">
        <v>51</v>
      </c>
      <c r="AA23" s="144"/>
      <c r="AB23" s="175"/>
      <c r="AC23" s="175"/>
      <c r="AD23" s="175" t="s">
        <v>36</v>
      </c>
      <c r="AE23" s="175"/>
      <c r="AF23" s="175"/>
      <c r="AG23" s="215"/>
      <c r="AH23" s="44"/>
    </row>
    <row r="24" spans="1:34" ht="15.6" x14ac:dyDescent="0.25">
      <c r="A24" s="5"/>
      <c r="B24" s="45" t="e">
        <f>D22</f>
        <v>#REF!</v>
      </c>
      <c r="C24" s="46" t="e">
        <f>E22</f>
        <v>#REF!</v>
      </c>
      <c r="D24" s="218" t="s">
        <v>52</v>
      </c>
      <c r="E24" s="218"/>
      <c r="F24" s="218"/>
      <c r="G24" s="218"/>
      <c r="H24" s="218"/>
      <c r="I24" s="218"/>
      <c r="J24" s="218"/>
      <c r="K24" s="219"/>
      <c r="L24" s="220"/>
      <c r="M24" s="220"/>
      <c r="N24" s="223"/>
      <c r="O24" s="224"/>
      <c r="P24" s="225"/>
      <c r="Q24" s="221"/>
      <c r="R24" s="221"/>
      <c r="S24" s="221"/>
      <c r="T24" s="221" t="e">
        <f>VLOOKUP(#REF!,'[1]매입 세금계산서 판매사원 정보'!$F:$T,14,0)</f>
        <v>#REF!</v>
      </c>
      <c r="U24" s="221"/>
      <c r="V24" s="221"/>
      <c r="W24" s="221"/>
      <c r="X24" s="221"/>
      <c r="Y24" s="221"/>
      <c r="Z24" s="222" t="e">
        <f>VLOOKUP(#REF!,'[1]매입 세금계산서 판매사원 정보'!$F:$T,15,0)</f>
        <v>#REF!</v>
      </c>
      <c r="AA24" s="222"/>
      <c r="AB24" s="222"/>
      <c r="AC24" s="222"/>
      <c r="AD24" s="216"/>
      <c r="AE24" s="216"/>
      <c r="AF24" s="216"/>
      <c r="AG24" s="217"/>
      <c r="AH24" s="47"/>
    </row>
    <row r="25" spans="1:34" ht="15.6" x14ac:dyDescent="0.25">
      <c r="A25" s="5"/>
      <c r="B25" s="45"/>
      <c r="C25" s="46"/>
      <c r="D25" s="218"/>
      <c r="E25" s="218"/>
      <c r="F25" s="218"/>
      <c r="G25" s="218"/>
      <c r="H25" s="218"/>
      <c r="I25" s="218"/>
      <c r="J25" s="218"/>
      <c r="K25" s="219"/>
      <c r="L25" s="220"/>
      <c r="M25" s="220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2"/>
      <c r="AA25" s="222"/>
      <c r="AB25" s="222"/>
      <c r="AC25" s="222"/>
      <c r="AD25" s="216"/>
      <c r="AE25" s="216"/>
      <c r="AF25" s="216"/>
      <c r="AG25" s="217"/>
      <c r="AH25" s="47"/>
    </row>
    <row r="26" spans="1:34" ht="15.6" x14ac:dyDescent="0.25">
      <c r="A26" s="5"/>
      <c r="B26" s="45"/>
      <c r="C26" s="46"/>
      <c r="D26" s="218"/>
      <c r="E26" s="218"/>
      <c r="F26" s="218"/>
      <c r="G26" s="218"/>
      <c r="H26" s="218"/>
      <c r="I26" s="218"/>
      <c r="J26" s="218"/>
      <c r="K26" s="219"/>
      <c r="L26" s="220"/>
      <c r="M26" s="220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2"/>
      <c r="AA26" s="222"/>
      <c r="AB26" s="222"/>
      <c r="AC26" s="222"/>
      <c r="AD26" s="216"/>
      <c r="AE26" s="216"/>
      <c r="AF26" s="216"/>
      <c r="AG26" s="217"/>
      <c r="AH26" s="47"/>
    </row>
    <row r="27" spans="1:34" ht="16.2" thickBot="1" x14ac:dyDescent="0.3">
      <c r="A27" s="5"/>
      <c r="B27" s="45"/>
      <c r="C27" s="46"/>
      <c r="D27" s="218"/>
      <c r="E27" s="218"/>
      <c r="F27" s="218"/>
      <c r="G27" s="218"/>
      <c r="H27" s="218"/>
      <c r="I27" s="218"/>
      <c r="J27" s="218"/>
      <c r="K27" s="219"/>
      <c r="L27" s="220"/>
      <c r="M27" s="220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2"/>
      <c r="AA27" s="222"/>
      <c r="AB27" s="222"/>
      <c r="AC27" s="222"/>
      <c r="AD27" s="226"/>
      <c r="AE27" s="226"/>
      <c r="AF27" s="226"/>
      <c r="AG27" s="227"/>
      <c r="AH27" s="47"/>
    </row>
    <row r="28" spans="1:34" x14ac:dyDescent="0.25">
      <c r="A28" s="5"/>
      <c r="B28" s="236" t="s">
        <v>53</v>
      </c>
      <c r="C28" s="237"/>
      <c r="D28" s="237"/>
      <c r="E28" s="237"/>
      <c r="F28" s="237"/>
      <c r="G28" s="237" t="s">
        <v>54</v>
      </c>
      <c r="H28" s="237"/>
      <c r="I28" s="237"/>
      <c r="J28" s="237"/>
      <c r="K28" s="237"/>
      <c r="L28" s="237" t="s">
        <v>55</v>
      </c>
      <c r="M28" s="237"/>
      <c r="N28" s="237"/>
      <c r="O28" s="237"/>
      <c r="P28" s="237"/>
      <c r="Q28" s="237" t="s">
        <v>56</v>
      </c>
      <c r="R28" s="237"/>
      <c r="S28" s="237"/>
      <c r="T28" s="237"/>
      <c r="U28" s="237"/>
      <c r="V28" s="237" t="s">
        <v>57</v>
      </c>
      <c r="W28" s="237"/>
      <c r="X28" s="237"/>
      <c r="Y28" s="237"/>
      <c r="Z28" s="237"/>
      <c r="AA28" s="238" t="s">
        <v>58</v>
      </c>
      <c r="AB28" s="239"/>
      <c r="AC28" s="239"/>
      <c r="AD28" s="239"/>
      <c r="AE28" s="228" t="s">
        <v>59</v>
      </c>
      <c r="AF28" s="228"/>
      <c r="AG28" s="230" t="s">
        <v>60</v>
      </c>
      <c r="AH28" s="48"/>
    </row>
    <row r="29" spans="1:34" ht="16.2" thickBot="1" x14ac:dyDescent="0.3">
      <c r="A29" s="5"/>
      <c r="B29" s="232" t="e">
        <f>T24+Z24</f>
        <v>#REF!</v>
      </c>
      <c r="C29" s="233"/>
      <c r="D29" s="233"/>
      <c r="E29" s="233"/>
      <c r="F29" s="233"/>
      <c r="G29" s="234"/>
      <c r="H29" s="235"/>
      <c r="I29" s="235"/>
      <c r="J29" s="235"/>
      <c r="K29" s="235"/>
      <c r="L29" s="234"/>
      <c r="M29" s="235"/>
      <c r="N29" s="235"/>
      <c r="O29" s="235"/>
      <c r="P29" s="235"/>
      <c r="Q29" s="234"/>
      <c r="R29" s="235"/>
      <c r="S29" s="235"/>
      <c r="T29" s="235"/>
      <c r="U29" s="235"/>
      <c r="V29" s="234"/>
      <c r="W29" s="235"/>
      <c r="X29" s="235"/>
      <c r="Y29" s="235"/>
      <c r="Z29" s="235"/>
      <c r="AA29" s="240"/>
      <c r="AB29" s="241"/>
      <c r="AC29" s="241"/>
      <c r="AD29" s="241"/>
      <c r="AE29" s="229"/>
      <c r="AF29" s="229"/>
      <c r="AG29" s="231"/>
      <c r="AH29" s="48"/>
    </row>
    <row r="30" spans="1:34" x14ac:dyDescent="0.25">
      <c r="A30" s="5"/>
      <c r="B30" s="242" t="s">
        <v>61</v>
      </c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3" t="s">
        <v>62</v>
      </c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49"/>
    </row>
    <row r="31" spans="1:34" x14ac:dyDescent="0.25">
      <c r="A31" s="5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1"/>
    </row>
    <row r="32" spans="1:34" x14ac:dyDescent="0.25">
      <c r="A32" s="5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244"/>
      <c r="AG32" s="244"/>
      <c r="AH32" s="53"/>
    </row>
    <row r="33" spans="1:34" ht="15" thickBot="1" x14ac:dyDescent="0.3">
      <c r="A33" s="5"/>
      <c r="B33" s="54" t="s">
        <v>3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245" t="s">
        <v>63</v>
      </c>
      <c r="AG33" s="245"/>
      <c r="AH33" s="53"/>
    </row>
    <row r="34" spans="1:34" ht="17.399999999999999" x14ac:dyDescent="0.25">
      <c r="A34" s="5"/>
      <c r="B34" s="246" t="s">
        <v>5</v>
      </c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252" t="s">
        <v>64</v>
      </c>
      <c r="N34" s="253"/>
      <c r="O34" s="253"/>
      <c r="P34" s="253"/>
      <c r="Q34" s="253"/>
      <c r="R34" s="253"/>
      <c r="S34" s="253"/>
      <c r="T34" s="253"/>
      <c r="U34" s="254"/>
      <c r="V34" s="259" t="s">
        <v>7</v>
      </c>
      <c r="W34" s="260"/>
      <c r="X34" s="260"/>
      <c r="Y34" s="261">
        <v>0</v>
      </c>
      <c r="Z34" s="261"/>
      <c r="AA34" s="262"/>
      <c r="AB34" s="55" t="s">
        <v>8</v>
      </c>
      <c r="AC34" s="261">
        <v>0</v>
      </c>
      <c r="AD34" s="261"/>
      <c r="AE34" s="261"/>
      <c r="AF34" s="262"/>
      <c r="AG34" s="56" t="s">
        <v>9</v>
      </c>
      <c r="AH34" s="57"/>
    </row>
    <row r="35" spans="1:34" ht="18" thickBot="1" x14ac:dyDescent="0.3">
      <c r="A35" s="5"/>
      <c r="B35" s="249"/>
      <c r="C35" s="250"/>
      <c r="D35" s="250"/>
      <c r="E35" s="250"/>
      <c r="F35" s="250"/>
      <c r="G35" s="250"/>
      <c r="H35" s="250"/>
      <c r="I35" s="250"/>
      <c r="J35" s="250"/>
      <c r="K35" s="250"/>
      <c r="L35" s="251"/>
      <c r="M35" s="255"/>
      <c r="N35" s="256"/>
      <c r="O35" s="256"/>
      <c r="P35" s="256"/>
      <c r="Q35" s="256"/>
      <c r="R35" s="257"/>
      <c r="S35" s="256"/>
      <c r="T35" s="256"/>
      <c r="U35" s="258"/>
      <c r="V35" s="263" t="s">
        <v>10</v>
      </c>
      <c r="W35" s="264"/>
      <c r="X35" s="264"/>
      <c r="Y35" s="265">
        <f ca="1">Y13</f>
        <v>46202</v>
      </c>
      <c r="Z35" s="266"/>
      <c r="AA35" s="267"/>
      <c r="AB35" s="59" t="s">
        <v>11</v>
      </c>
      <c r="AC35" s="268">
        <f>AC13</f>
        <v>1</v>
      </c>
      <c r="AD35" s="269"/>
      <c r="AE35" s="269"/>
      <c r="AF35" s="269"/>
      <c r="AG35" s="270"/>
      <c r="AH35" s="12"/>
    </row>
    <row r="36" spans="1:34" ht="26.4" thickBot="1" x14ac:dyDescent="0.3">
      <c r="A36" s="5"/>
      <c r="B36" s="271" t="s">
        <v>12</v>
      </c>
      <c r="C36" s="274" t="s">
        <v>13</v>
      </c>
      <c r="D36" s="253"/>
      <c r="E36" s="253"/>
      <c r="F36" s="275" t="e">
        <f>F14</f>
        <v>#REF!</v>
      </c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7"/>
      <c r="R36" s="278" t="s">
        <v>14</v>
      </c>
      <c r="S36" s="282" t="s">
        <v>13</v>
      </c>
      <c r="T36" s="283"/>
      <c r="U36" s="283"/>
      <c r="V36" s="60" t="str">
        <f>V14</f>
        <v>2</v>
      </c>
      <c r="W36" s="60" t="str">
        <f>W14</f>
        <v>1</v>
      </c>
      <c r="X36" s="61" t="str">
        <f>X14</f>
        <v>1</v>
      </c>
      <c r="Y36" s="62" t="s">
        <v>11</v>
      </c>
      <c r="Z36" s="63" t="str">
        <f>Z14</f>
        <v>8</v>
      </c>
      <c r="AA36" s="61" t="str">
        <f>AA14</f>
        <v>1</v>
      </c>
      <c r="AB36" s="62" t="s">
        <v>11</v>
      </c>
      <c r="AC36" s="63" t="str">
        <f>AC14</f>
        <v>8</v>
      </c>
      <c r="AD36" s="60" t="str">
        <f>AD14</f>
        <v>3</v>
      </c>
      <c r="AE36" s="60" t="str">
        <f>AE14</f>
        <v>2</v>
      </c>
      <c r="AF36" s="60" t="str">
        <f>AF14</f>
        <v>3</v>
      </c>
      <c r="AG36" s="64" t="str">
        <f>AG14</f>
        <v>6</v>
      </c>
      <c r="AH36" s="17"/>
    </row>
    <row r="37" spans="1:34" x14ac:dyDescent="0.25">
      <c r="A37" s="5"/>
      <c r="B37" s="271"/>
      <c r="C37" s="284" t="s">
        <v>20</v>
      </c>
      <c r="D37" s="256"/>
      <c r="E37" s="256"/>
      <c r="F37" s="285" t="e">
        <f>F15</f>
        <v>#REF!</v>
      </c>
      <c r="G37" s="286"/>
      <c r="H37" s="286"/>
      <c r="I37" s="286"/>
      <c r="J37" s="286"/>
      <c r="K37" s="287"/>
      <c r="L37" s="257" t="s">
        <v>21</v>
      </c>
      <c r="M37" s="257"/>
      <c r="N37" s="302" t="e">
        <f>N15</f>
        <v>#REF!</v>
      </c>
      <c r="O37" s="302"/>
      <c r="P37" s="303"/>
      <c r="Q37" s="293" t="s">
        <v>65</v>
      </c>
      <c r="R37" s="279"/>
      <c r="S37" s="264" t="s">
        <v>20</v>
      </c>
      <c r="T37" s="264"/>
      <c r="U37" s="264"/>
      <c r="V37" s="307" t="str">
        <f>V15</f>
        <v>㈜더코지네스트컴퍼니</v>
      </c>
      <c r="W37" s="308"/>
      <c r="X37" s="308"/>
      <c r="Y37" s="308"/>
      <c r="Z37" s="308"/>
      <c r="AA37" s="309"/>
      <c r="AB37" s="296" t="s">
        <v>21</v>
      </c>
      <c r="AC37" s="296"/>
      <c r="AD37" s="313" t="str">
        <f>AD15</f>
        <v>김창수</v>
      </c>
      <c r="AE37" s="314"/>
      <c r="AF37" s="314"/>
      <c r="AG37" s="292" t="s">
        <v>65</v>
      </c>
      <c r="AH37" s="66"/>
    </row>
    <row r="38" spans="1:34" ht="15" thickBot="1" x14ac:dyDescent="0.3">
      <c r="A38" s="5"/>
      <c r="B38" s="271"/>
      <c r="C38" s="294" t="s">
        <v>25</v>
      </c>
      <c r="D38" s="295"/>
      <c r="E38" s="295"/>
      <c r="F38" s="288"/>
      <c r="G38" s="289"/>
      <c r="H38" s="289"/>
      <c r="I38" s="289"/>
      <c r="J38" s="289"/>
      <c r="K38" s="290"/>
      <c r="L38" s="291"/>
      <c r="M38" s="291"/>
      <c r="N38" s="304"/>
      <c r="O38" s="304"/>
      <c r="P38" s="305"/>
      <c r="Q38" s="306"/>
      <c r="R38" s="279"/>
      <c r="S38" s="296" t="s">
        <v>25</v>
      </c>
      <c r="T38" s="296"/>
      <c r="U38" s="296"/>
      <c r="V38" s="310"/>
      <c r="W38" s="311"/>
      <c r="X38" s="311"/>
      <c r="Y38" s="311"/>
      <c r="Z38" s="311"/>
      <c r="AA38" s="312"/>
      <c r="AB38" s="257"/>
      <c r="AC38" s="257"/>
      <c r="AD38" s="315"/>
      <c r="AE38" s="316"/>
      <c r="AF38" s="316"/>
      <c r="AG38" s="293"/>
      <c r="AH38" s="66"/>
    </row>
    <row r="39" spans="1:34" ht="15.6" x14ac:dyDescent="0.25">
      <c r="A39" s="5"/>
      <c r="B39" s="272"/>
      <c r="C39" s="264" t="s">
        <v>26</v>
      </c>
      <c r="D39" s="264"/>
      <c r="E39" s="264"/>
      <c r="F39" s="297" t="e">
        <f>F17</f>
        <v>#REF!</v>
      </c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80"/>
      <c r="S39" s="256" t="s">
        <v>26</v>
      </c>
      <c r="T39" s="256"/>
      <c r="U39" s="256"/>
      <c r="V39" s="298" t="str">
        <f>V17</f>
        <v>서울시 강남구 논현2동 59-8</v>
      </c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9"/>
      <c r="AH39" s="21"/>
    </row>
    <row r="40" spans="1:34" ht="15.6" x14ac:dyDescent="0.25">
      <c r="A40" s="5"/>
      <c r="B40" s="272"/>
      <c r="C40" s="296" t="s">
        <v>28</v>
      </c>
      <c r="D40" s="296"/>
      <c r="E40" s="296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80"/>
      <c r="S40" s="296" t="s">
        <v>28</v>
      </c>
      <c r="T40" s="296"/>
      <c r="U40" s="296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1"/>
      <c r="AH40" s="21"/>
    </row>
    <row r="41" spans="1:34" ht="15" thickBot="1" x14ac:dyDescent="0.3">
      <c r="A41" s="5"/>
      <c r="B41" s="273"/>
      <c r="C41" s="256" t="s">
        <v>29</v>
      </c>
      <c r="D41" s="256"/>
      <c r="E41" s="256"/>
      <c r="F41" s="323" t="e">
        <f>F19</f>
        <v>#REF!</v>
      </c>
      <c r="G41" s="324"/>
      <c r="H41" s="324"/>
      <c r="I41" s="325"/>
      <c r="J41" s="326" t="s">
        <v>30</v>
      </c>
      <c r="K41" s="327"/>
      <c r="L41" s="323" t="e">
        <f>L19</f>
        <v>#REF!</v>
      </c>
      <c r="M41" s="324"/>
      <c r="N41" s="324"/>
      <c r="O41" s="324"/>
      <c r="P41" s="324"/>
      <c r="Q41" s="325"/>
      <c r="R41" s="281"/>
      <c r="S41" s="256" t="s">
        <v>29</v>
      </c>
      <c r="T41" s="256"/>
      <c r="U41" s="258"/>
      <c r="V41" s="323" t="str">
        <f>V19</f>
        <v>제조,도소매</v>
      </c>
      <c r="W41" s="324"/>
      <c r="X41" s="324"/>
      <c r="Y41" s="325"/>
      <c r="Z41" s="291" t="s">
        <v>30</v>
      </c>
      <c r="AA41" s="291"/>
      <c r="AB41" s="317" t="str">
        <f>AB19</f>
        <v>침구 및 관련제품</v>
      </c>
      <c r="AC41" s="318"/>
      <c r="AD41" s="318"/>
      <c r="AE41" s="318"/>
      <c r="AF41" s="318"/>
      <c r="AG41" s="319"/>
      <c r="AH41" s="23"/>
    </row>
    <row r="42" spans="1:34" x14ac:dyDescent="0.25">
      <c r="A42" s="5"/>
      <c r="B42" s="274" t="s">
        <v>33</v>
      </c>
      <c r="C42" s="253"/>
      <c r="D42" s="253"/>
      <c r="E42" s="253"/>
      <c r="F42" s="253" t="s">
        <v>34</v>
      </c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4"/>
      <c r="R42" s="320" t="s">
        <v>35</v>
      </c>
      <c r="S42" s="253"/>
      <c r="T42" s="253"/>
      <c r="U42" s="253"/>
      <c r="V42" s="296"/>
      <c r="W42" s="296"/>
      <c r="X42" s="296"/>
      <c r="Y42" s="296"/>
      <c r="Z42" s="296"/>
      <c r="AA42" s="321"/>
      <c r="AB42" s="322" t="s">
        <v>36</v>
      </c>
      <c r="AC42" s="296"/>
      <c r="AD42" s="296"/>
      <c r="AE42" s="296"/>
      <c r="AF42" s="296"/>
      <c r="AG42" s="321"/>
      <c r="AH42" s="68"/>
    </row>
    <row r="43" spans="1:34" ht="15.6" x14ac:dyDescent="0.25">
      <c r="A43" s="5"/>
      <c r="B43" s="328" t="s">
        <v>37</v>
      </c>
      <c r="C43" s="257"/>
      <c r="D43" s="69" t="s">
        <v>38</v>
      </c>
      <c r="E43" s="69" t="s">
        <v>39</v>
      </c>
      <c r="F43" s="70" t="s">
        <v>40</v>
      </c>
      <c r="G43" s="58" t="s">
        <v>41</v>
      </c>
      <c r="H43" s="58" t="s">
        <v>42</v>
      </c>
      <c r="I43" s="58" t="s">
        <v>43</v>
      </c>
      <c r="J43" s="58" t="s">
        <v>44</v>
      </c>
      <c r="K43" s="58" t="s">
        <v>41</v>
      </c>
      <c r="L43" s="58" t="s">
        <v>42</v>
      </c>
      <c r="M43" s="58" t="s">
        <v>45</v>
      </c>
      <c r="N43" s="58" t="s">
        <v>44</v>
      </c>
      <c r="O43" s="58" t="s">
        <v>41</v>
      </c>
      <c r="P43" s="58" t="s">
        <v>42</v>
      </c>
      <c r="Q43" s="71" t="s">
        <v>39</v>
      </c>
      <c r="R43" s="72" t="s">
        <v>42</v>
      </c>
      <c r="S43" s="58" t="s">
        <v>43</v>
      </c>
      <c r="T43" s="58" t="s">
        <v>44</v>
      </c>
      <c r="U43" s="58" t="s">
        <v>41</v>
      </c>
      <c r="V43" s="58" t="s">
        <v>42</v>
      </c>
      <c r="W43" s="58" t="s">
        <v>45</v>
      </c>
      <c r="X43" s="58" t="s">
        <v>44</v>
      </c>
      <c r="Y43" s="58" t="s">
        <v>41</v>
      </c>
      <c r="Z43" s="58" t="s">
        <v>42</v>
      </c>
      <c r="AA43" s="73" t="s">
        <v>39</v>
      </c>
      <c r="AB43" s="329">
        <v>0</v>
      </c>
      <c r="AC43" s="330"/>
      <c r="AD43" s="330"/>
      <c r="AE43" s="330"/>
      <c r="AF43" s="330"/>
      <c r="AG43" s="331"/>
      <c r="AH43" s="74"/>
    </row>
    <row r="44" spans="1:34" ht="18" thickBot="1" x14ac:dyDescent="0.3">
      <c r="A44" s="5"/>
      <c r="B44" s="332" t="e">
        <f>B22</f>
        <v>#REF!</v>
      </c>
      <c r="C44" s="333"/>
      <c r="D44" s="75" t="e">
        <f>D22</f>
        <v>#REF!</v>
      </c>
      <c r="E44" s="75" t="e">
        <f t="shared" ref="E44:AA44" si="0">E22</f>
        <v>#REF!</v>
      </c>
      <c r="F44" s="67">
        <f t="shared" si="0"/>
        <v>11</v>
      </c>
      <c r="G44" s="76" t="str">
        <f t="shared" si="0"/>
        <v/>
      </c>
      <c r="H44" s="76" t="str">
        <f t="shared" si="0"/>
        <v/>
      </c>
      <c r="I44" s="76" t="str">
        <f t="shared" si="0"/>
        <v/>
      </c>
      <c r="J44" s="76" t="str">
        <f t="shared" si="0"/>
        <v/>
      </c>
      <c r="K44" s="76" t="str">
        <f t="shared" si="0"/>
        <v/>
      </c>
      <c r="L44" s="76" t="str">
        <f t="shared" si="0"/>
        <v/>
      </c>
      <c r="M44" s="76" t="str">
        <f t="shared" si="0"/>
        <v/>
      </c>
      <c r="N44" s="76" t="str">
        <f t="shared" si="0"/>
        <v/>
      </c>
      <c r="O44" s="76" t="str">
        <f t="shared" si="0"/>
        <v/>
      </c>
      <c r="P44" s="76" t="str">
        <f t="shared" si="0"/>
        <v/>
      </c>
      <c r="Q44" s="77" t="str">
        <f t="shared" si="0"/>
        <v/>
      </c>
      <c r="R44" s="78" t="str">
        <f t="shared" si="0"/>
        <v/>
      </c>
      <c r="S44" s="76" t="str">
        <f t="shared" si="0"/>
        <v/>
      </c>
      <c r="T44" s="76" t="str">
        <f t="shared" si="0"/>
        <v/>
      </c>
      <c r="U44" s="76" t="str">
        <f t="shared" si="0"/>
        <v/>
      </c>
      <c r="V44" s="76" t="str">
        <f t="shared" si="0"/>
        <v/>
      </c>
      <c r="W44" s="76" t="str">
        <f t="shared" si="0"/>
        <v/>
      </c>
      <c r="X44" s="76" t="str">
        <f t="shared" si="0"/>
        <v/>
      </c>
      <c r="Y44" s="76" t="str">
        <f t="shared" si="0"/>
        <v/>
      </c>
      <c r="Z44" s="76" t="str">
        <f t="shared" si="0"/>
        <v/>
      </c>
      <c r="AA44" s="79" t="str">
        <f t="shared" si="0"/>
        <v/>
      </c>
      <c r="AB44" s="329"/>
      <c r="AC44" s="330"/>
      <c r="AD44" s="330"/>
      <c r="AE44" s="330"/>
      <c r="AF44" s="330"/>
      <c r="AG44" s="331"/>
      <c r="AH44" s="74"/>
    </row>
    <row r="45" spans="1:34" x14ac:dyDescent="0.25">
      <c r="A45" s="5"/>
      <c r="B45" s="80" t="s">
        <v>38</v>
      </c>
      <c r="C45" s="65" t="s">
        <v>39</v>
      </c>
      <c r="D45" s="296" t="s">
        <v>46</v>
      </c>
      <c r="E45" s="296"/>
      <c r="F45" s="296"/>
      <c r="G45" s="296"/>
      <c r="H45" s="296"/>
      <c r="I45" s="296"/>
      <c r="J45" s="296"/>
      <c r="K45" s="296" t="s">
        <v>47</v>
      </c>
      <c r="L45" s="296"/>
      <c r="M45" s="296"/>
      <c r="N45" s="296" t="s">
        <v>48</v>
      </c>
      <c r="O45" s="296"/>
      <c r="P45" s="296"/>
      <c r="Q45" s="296" t="s">
        <v>49</v>
      </c>
      <c r="R45" s="296"/>
      <c r="S45" s="296"/>
      <c r="T45" s="296" t="s">
        <v>50</v>
      </c>
      <c r="U45" s="296"/>
      <c r="V45" s="296"/>
      <c r="W45" s="296"/>
      <c r="X45" s="296"/>
      <c r="Y45" s="296"/>
      <c r="Z45" s="296" t="s">
        <v>51</v>
      </c>
      <c r="AA45" s="296"/>
      <c r="AB45" s="257"/>
      <c r="AC45" s="257"/>
      <c r="AD45" s="257" t="s">
        <v>36</v>
      </c>
      <c r="AE45" s="257"/>
      <c r="AF45" s="257"/>
      <c r="AG45" s="334"/>
      <c r="AH45" s="68"/>
    </row>
    <row r="46" spans="1:34" ht="15.6" x14ac:dyDescent="0.25">
      <c r="A46" s="5"/>
      <c r="B46" s="81">
        <v>0</v>
      </c>
      <c r="C46" s="82">
        <v>0</v>
      </c>
      <c r="D46" s="337" t="str">
        <f>D24</f>
        <v>판매수수료</v>
      </c>
      <c r="E46" s="337"/>
      <c r="F46" s="337"/>
      <c r="G46" s="337"/>
      <c r="H46" s="337"/>
      <c r="I46" s="337"/>
      <c r="J46" s="337"/>
      <c r="K46" s="335">
        <v>0</v>
      </c>
      <c r="L46" s="335"/>
      <c r="M46" s="335"/>
      <c r="N46" s="338">
        <v>0</v>
      </c>
      <c r="O46" s="338"/>
      <c r="P46" s="338"/>
      <c r="Q46" s="338">
        <v>0</v>
      </c>
      <c r="R46" s="338"/>
      <c r="S46" s="338"/>
      <c r="T46" s="338" t="e">
        <f>T24</f>
        <v>#REF!</v>
      </c>
      <c r="U46" s="338"/>
      <c r="V46" s="338"/>
      <c r="W46" s="338"/>
      <c r="X46" s="338"/>
      <c r="Y46" s="338"/>
      <c r="Z46" s="338" t="e">
        <f>Z24</f>
        <v>#REF!</v>
      </c>
      <c r="AA46" s="338"/>
      <c r="AB46" s="338"/>
      <c r="AC46" s="338"/>
      <c r="AD46" s="335">
        <v>0</v>
      </c>
      <c r="AE46" s="335"/>
      <c r="AF46" s="335"/>
      <c r="AG46" s="336"/>
      <c r="AH46" s="83"/>
    </row>
    <row r="47" spans="1:34" ht="15.6" x14ac:dyDescent="0.25">
      <c r="A47" s="5"/>
      <c r="B47" s="81">
        <v>0</v>
      </c>
      <c r="C47" s="82">
        <v>0</v>
      </c>
      <c r="D47" s="337">
        <f>D25</f>
        <v>0</v>
      </c>
      <c r="E47" s="337"/>
      <c r="F47" s="337"/>
      <c r="G47" s="337"/>
      <c r="H47" s="337"/>
      <c r="I47" s="337"/>
      <c r="J47" s="337"/>
      <c r="K47" s="335">
        <v>0</v>
      </c>
      <c r="L47" s="335"/>
      <c r="M47" s="335"/>
      <c r="N47" s="338">
        <v>0</v>
      </c>
      <c r="O47" s="338"/>
      <c r="P47" s="338"/>
      <c r="Q47" s="338">
        <v>0</v>
      </c>
      <c r="R47" s="338"/>
      <c r="S47" s="338"/>
      <c r="T47" s="338">
        <f>T25</f>
        <v>0</v>
      </c>
      <c r="U47" s="338"/>
      <c r="V47" s="338"/>
      <c r="W47" s="338"/>
      <c r="X47" s="338"/>
      <c r="Y47" s="338"/>
      <c r="Z47" s="338">
        <f>Z25</f>
        <v>0</v>
      </c>
      <c r="AA47" s="338"/>
      <c r="AB47" s="338"/>
      <c r="AC47" s="338"/>
      <c r="AD47" s="335">
        <v>0</v>
      </c>
      <c r="AE47" s="335"/>
      <c r="AF47" s="335"/>
      <c r="AG47" s="336"/>
      <c r="AH47" s="83"/>
    </row>
    <row r="48" spans="1:34" ht="15.6" x14ac:dyDescent="0.25">
      <c r="A48" s="5"/>
      <c r="B48" s="81">
        <v>0</v>
      </c>
      <c r="C48" s="82">
        <v>0</v>
      </c>
      <c r="D48" s="337">
        <f>D26</f>
        <v>0</v>
      </c>
      <c r="E48" s="337"/>
      <c r="F48" s="337"/>
      <c r="G48" s="337"/>
      <c r="H48" s="337"/>
      <c r="I48" s="337"/>
      <c r="J48" s="337"/>
      <c r="K48" s="335">
        <v>0</v>
      </c>
      <c r="L48" s="335"/>
      <c r="M48" s="335"/>
      <c r="N48" s="338">
        <v>0</v>
      </c>
      <c r="O48" s="338"/>
      <c r="P48" s="338"/>
      <c r="Q48" s="338">
        <v>0</v>
      </c>
      <c r="R48" s="338"/>
      <c r="S48" s="338"/>
      <c r="T48" s="338">
        <f>T26</f>
        <v>0</v>
      </c>
      <c r="U48" s="338"/>
      <c r="V48" s="338"/>
      <c r="W48" s="338"/>
      <c r="X48" s="338"/>
      <c r="Y48" s="338"/>
      <c r="Z48" s="338">
        <f>Z26</f>
        <v>0</v>
      </c>
      <c r="AA48" s="338"/>
      <c r="AB48" s="338"/>
      <c r="AC48" s="338"/>
      <c r="AD48" s="335">
        <v>0</v>
      </c>
      <c r="AE48" s="335"/>
      <c r="AF48" s="335"/>
      <c r="AG48" s="336"/>
      <c r="AH48" s="83"/>
    </row>
    <row r="49" spans="1:34" ht="16.2" thickBot="1" x14ac:dyDescent="0.3">
      <c r="A49" s="5"/>
      <c r="B49" s="84">
        <v>0</v>
      </c>
      <c r="C49" s="85">
        <v>0</v>
      </c>
      <c r="D49" s="339">
        <f>D27</f>
        <v>0</v>
      </c>
      <c r="E49" s="339"/>
      <c r="F49" s="339"/>
      <c r="G49" s="339"/>
      <c r="H49" s="339"/>
      <c r="I49" s="339"/>
      <c r="J49" s="339"/>
      <c r="K49" s="340">
        <v>0</v>
      </c>
      <c r="L49" s="340"/>
      <c r="M49" s="340"/>
      <c r="N49" s="341">
        <v>0</v>
      </c>
      <c r="O49" s="341"/>
      <c r="P49" s="341"/>
      <c r="Q49" s="341">
        <v>0</v>
      </c>
      <c r="R49" s="341"/>
      <c r="S49" s="341"/>
      <c r="T49" s="341">
        <f>T27</f>
        <v>0</v>
      </c>
      <c r="U49" s="341"/>
      <c r="V49" s="341"/>
      <c r="W49" s="341"/>
      <c r="X49" s="341"/>
      <c r="Y49" s="341"/>
      <c r="Z49" s="341">
        <f>Z27</f>
        <v>0</v>
      </c>
      <c r="AA49" s="341"/>
      <c r="AB49" s="341"/>
      <c r="AC49" s="341"/>
      <c r="AD49" s="340">
        <v>0</v>
      </c>
      <c r="AE49" s="340"/>
      <c r="AF49" s="340"/>
      <c r="AG49" s="342"/>
      <c r="AH49" s="83"/>
    </row>
    <row r="50" spans="1:34" x14ac:dyDescent="0.25">
      <c r="A50" s="5"/>
      <c r="B50" s="274" t="s">
        <v>53</v>
      </c>
      <c r="C50" s="253"/>
      <c r="D50" s="253"/>
      <c r="E50" s="253"/>
      <c r="F50" s="253"/>
      <c r="G50" s="253" t="s">
        <v>54</v>
      </c>
      <c r="H50" s="253"/>
      <c r="I50" s="253"/>
      <c r="J50" s="253"/>
      <c r="K50" s="253"/>
      <c r="L50" s="253" t="s">
        <v>55</v>
      </c>
      <c r="M50" s="253"/>
      <c r="N50" s="253"/>
      <c r="O50" s="253"/>
      <c r="P50" s="253"/>
      <c r="Q50" s="253" t="s">
        <v>56</v>
      </c>
      <c r="R50" s="253"/>
      <c r="S50" s="253"/>
      <c r="T50" s="253"/>
      <c r="U50" s="253"/>
      <c r="V50" s="253" t="s">
        <v>57</v>
      </c>
      <c r="W50" s="253"/>
      <c r="X50" s="253"/>
      <c r="Y50" s="253"/>
      <c r="Z50" s="253"/>
      <c r="AA50" s="354" t="s">
        <v>58</v>
      </c>
      <c r="AB50" s="355"/>
      <c r="AC50" s="355"/>
      <c r="AD50" s="355"/>
      <c r="AE50" s="345" t="str">
        <f>AE28</f>
        <v>청구</v>
      </c>
      <c r="AF50" s="346"/>
      <c r="AG50" s="349" t="s">
        <v>60</v>
      </c>
      <c r="AH50" s="57"/>
    </row>
    <row r="51" spans="1:34" ht="16.2" thickBot="1" x14ac:dyDescent="0.3">
      <c r="A51" s="5"/>
      <c r="B51" s="351" t="e">
        <f>B29</f>
        <v>#REF!</v>
      </c>
      <c r="C51" s="352"/>
      <c r="D51" s="352"/>
      <c r="E51" s="352"/>
      <c r="F51" s="352"/>
      <c r="G51" s="353">
        <v>0</v>
      </c>
      <c r="H51" s="353"/>
      <c r="I51" s="353"/>
      <c r="J51" s="353"/>
      <c r="K51" s="353"/>
      <c r="L51" s="353">
        <v>0</v>
      </c>
      <c r="M51" s="353"/>
      <c r="N51" s="353"/>
      <c r="O51" s="353"/>
      <c r="P51" s="353"/>
      <c r="Q51" s="353">
        <v>0</v>
      </c>
      <c r="R51" s="353"/>
      <c r="S51" s="353"/>
      <c r="T51" s="353"/>
      <c r="U51" s="353"/>
      <c r="V51" s="353">
        <v>0</v>
      </c>
      <c r="W51" s="353"/>
      <c r="X51" s="353"/>
      <c r="Y51" s="353"/>
      <c r="Z51" s="353"/>
      <c r="AA51" s="356"/>
      <c r="AB51" s="357"/>
      <c r="AC51" s="357"/>
      <c r="AD51" s="357"/>
      <c r="AE51" s="347"/>
      <c r="AF51" s="348"/>
      <c r="AG51" s="350"/>
      <c r="AH51" s="57"/>
    </row>
    <row r="52" spans="1:34" x14ac:dyDescent="0.25">
      <c r="A52" s="5"/>
      <c r="B52" s="343" t="s">
        <v>61</v>
      </c>
      <c r="C52" s="343"/>
      <c r="D52" s="343"/>
      <c r="E52" s="343"/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Q52" s="343"/>
      <c r="R52" s="344" t="s">
        <v>62</v>
      </c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86"/>
    </row>
    <row r="53" spans="1:34" x14ac:dyDescent="0.25">
      <c r="A53" s="87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9"/>
    </row>
    <row r="54" spans="1:3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</sheetData>
  <mergeCells count="200">
    <mergeCell ref="B52:Q52"/>
    <mergeCell ref="R52:AG52"/>
    <mergeCell ref="AE50:AF51"/>
    <mergeCell ref="AG50:AG51"/>
    <mergeCell ref="B51:F51"/>
    <mergeCell ref="G51:K51"/>
    <mergeCell ref="L51:P51"/>
    <mergeCell ref="Q51:U51"/>
    <mergeCell ref="V51:Z51"/>
    <mergeCell ref="B50:F50"/>
    <mergeCell ref="G50:K50"/>
    <mergeCell ref="L50:P50"/>
    <mergeCell ref="Q50:U50"/>
    <mergeCell ref="V50:Z50"/>
    <mergeCell ref="AA50:AD51"/>
    <mergeCell ref="AD48:AG48"/>
    <mergeCell ref="D49:J49"/>
    <mergeCell ref="K49:M49"/>
    <mergeCell ref="N49:P49"/>
    <mergeCell ref="Q49:S49"/>
    <mergeCell ref="T49:Y49"/>
    <mergeCell ref="Z49:AC49"/>
    <mergeCell ref="AD49:AG49"/>
    <mergeCell ref="D48:J48"/>
    <mergeCell ref="K48:M48"/>
    <mergeCell ref="N48:P48"/>
    <mergeCell ref="Q48:S48"/>
    <mergeCell ref="T48:Y48"/>
    <mergeCell ref="Z48:AC48"/>
    <mergeCell ref="AD46:AG46"/>
    <mergeCell ref="D47:J47"/>
    <mergeCell ref="K47:M47"/>
    <mergeCell ref="N47:P47"/>
    <mergeCell ref="Q47:S47"/>
    <mergeCell ref="T47:Y47"/>
    <mergeCell ref="Z47:AC47"/>
    <mergeCell ref="AD47:AG47"/>
    <mergeCell ref="D46:J46"/>
    <mergeCell ref="K46:M46"/>
    <mergeCell ref="N46:P46"/>
    <mergeCell ref="Q46:S46"/>
    <mergeCell ref="T46:Y46"/>
    <mergeCell ref="Z46:AC46"/>
    <mergeCell ref="B43:C43"/>
    <mergeCell ref="AB43:AG44"/>
    <mergeCell ref="B44:C44"/>
    <mergeCell ref="D45:J45"/>
    <mergeCell ref="K45:M45"/>
    <mergeCell ref="N45:P45"/>
    <mergeCell ref="Q45:S45"/>
    <mergeCell ref="T45:Y45"/>
    <mergeCell ref="Z45:AC45"/>
    <mergeCell ref="AD45:AG45"/>
    <mergeCell ref="AB41:AG41"/>
    <mergeCell ref="B42:E42"/>
    <mergeCell ref="F42:Q42"/>
    <mergeCell ref="R42:AA42"/>
    <mergeCell ref="AB42:AG42"/>
    <mergeCell ref="C41:E41"/>
    <mergeCell ref="F41:I41"/>
    <mergeCell ref="J41:K41"/>
    <mergeCell ref="L41:Q41"/>
    <mergeCell ref="S41:U41"/>
    <mergeCell ref="V41:Y41"/>
    <mergeCell ref="B36:B41"/>
    <mergeCell ref="C36:E36"/>
    <mergeCell ref="F36:Q36"/>
    <mergeCell ref="R36:R41"/>
    <mergeCell ref="S36:U36"/>
    <mergeCell ref="C37:E37"/>
    <mergeCell ref="F37:K38"/>
    <mergeCell ref="L37:M38"/>
    <mergeCell ref="AG37:AG38"/>
    <mergeCell ref="C38:E38"/>
    <mergeCell ref="S38:U38"/>
    <mergeCell ref="C39:E39"/>
    <mergeCell ref="F39:Q40"/>
    <mergeCell ref="S39:U39"/>
    <mergeCell ref="V39:AG40"/>
    <mergeCell ref="C40:E40"/>
    <mergeCell ref="S40:U40"/>
    <mergeCell ref="N37:P38"/>
    <mergeCell ref="Q37:Q38"/>
    <mergeCell ref="S37:U37"/>
    <mergeCell ref="V37:AA38"/>
    <mergeCell ref="AB37:AC38"/>
    <mergeCell ref="AD37:AF38"/>
    <mergeCell ref="Z41:AA41"/>
    <mergeCell ref="B30:Q30"/>
    <mergeCell ref="R30:AG30"/>
    <mergeCell ref="AF32:AG32"/>
    <mergeCell ref="AF33:AG33"/>
    <mergeCell ref="B34:L35"/>
    <mergeCell ref="M34:U35"/>
    <mergeCell ref="V34:X34"/>
    <mergeCell ref="Y34:AA34"/>
    <mergeCell ref="AC34:AF34"/>
    <mergeCell ref="V35:X35"/>
    <mergeCell ref="Y35:AA35"/>
    <mergeCell ref="AC35:AG35"/>
    <mergeCell ref="AE28:AF29"/>
    <mergeCell ref="AG28:AG29"/>
    <mergeCell ref="B29:F29"/>
    <mergeCell ref="G29:K29"/>
    <mergeCell ref="L29:P29"/>
    <mergeCell ref="Q29:U29"/>
    <mergeCell ref="V29:Z29"/>
    <mergeCell ref="B28:F28"/>
    <mergeCell ref="G28:K28"/>
    <mergeCell ref="L28:P28"/>
    <mergeCell ref="Q28:U28"/>
    <mergeCell ref="V28:Z28"/>
    <mergeCell ref="AA28:AD29"/>
    <mergeCell ref="AD26:AG26"/>
    <mergeCell ref="D27:J27"/>
    <mergeCell ref="K27:M27"/>
    <mergeCell ref="N27:P27"/>
    <mergeCell ref="Q27:S27"/>
    <mergeCell ref="T27:Y27"/>
    <mergeCell ref="Z27:AC27"/>
    <mergeCell ref="AD27:AG27"/>
    <mergeCell ref="D26:J26"/>
    <mergeCell ref="K26:M26"/>
    <mergeCell ref="N26:P26"/>
    <mergeCell ref="Q26:S26"/>
    <mergeCell ref="T26:Y26"/>
    <mergeCell ref="Z26:AC26"/>
    <mergeCell ref="AD24:AG24"/>
    <mergeCell ref="D25:J25"/>
    <mergeCell ref="K25:M25"/>
    <mergeCell ref="N25:P25"/>
    <mergeCell ref="Q25:S25"/>
    <mergeCell ref="T25:Y25"/>
    <mergeCell ref="Z25:AC25"/>
    <mergeCell ref="AD25:AG25"/>
    <mergeCell ref="D24:J24"/>
    <mergeCell ref="K24:M24"/>
    <mergeCell ref="N24:P24"/>
    <mergeCell ref="Q24:S24"/>
    <mergeCell ref="T24:Y24"/>
    <mergeCell ref="Z24:AC24"/>
    <mergeCell ref="B21:C21"/>
    <mergeCell ref="AB21:AG22"/>
    <mergeCell ref="B22:C22"/>
    <mergeCell ref="D23:J23"/>
    <mergeCell ref="K23:M23"/>
    <mergeCell ref="N23:P23"/>
    <mergeCell ref="Q23:S23"/>
    <mergeCell ref="T23:Y23"/>
    <mergeCell ref="Z23:AC23"/>
    <mergeCell ref="AD23:AG23"/>
    <mergeCell ref="B20:E20"/>
    <mergeCell ref="F20:Q20"/>
    <mergeCell ref="R20:AA20"/>
    <mergeCell ref="AB20:AG20"/>
    <mergeCell ref="C19:E19"/>
    <mergeCell ref="F19:I19"/>
    <mergeCell ref="J19:K19"/>
    <mergeCell ref="L19:Q19"/>
    <mergeCell ref="S19:U19"/>
    <mergeCell ref="V19:Y19"/>
    <mergeCell ref="B14:B19"/>
    <mergeCell ref="C14:E14"/>
    <mergeCell ref="F14:Q14"/>
    <mergeCell ref="C16:E16"/>
    <mergeCell ref="S16:U16"/>
    <mergeCell ref="C17:E17"/>
    <mergeCell ref="F17:Q18"/>
    <mergeCell ref="S17:U17"/>
    <mergeCell ref="V17:AG18"/>
    <mergeCell ref="C18:E18"/>
    <mergeCell ref="S18:U18"/>
    <mergeCell ref="Q15:Q16"/>
    <mergeCell ref="S15:U15"/>
    <mergeCell ref="V15:AA16"/>
    <mergeCell ref="AB15:AC16"/>
    <mergeCell ref="AD15:AF16"/>
    <mergeCell ref="AG15:AG16"/>
    <mergeCell ref="R14:R19"/>
    <mergeCell ref="S14:U14"/>
    <mergeCell ref="C15:E15"/>
    <mergeCell ref="F15:K16"/>
    <mergeCell ref="L15:M16"/>
    <mergeCell ref="N15:P16"/>
    <mergeCell ref="Z19:AA19"/>
    <mergeCell ref="AB19:AG19"/>
    <mergeCell ref="B6:F6"/>
    <mergeCell ref="G6:AA7"/>
    <mergeCell ref="AB6:AG6"/>
    <mergeCell ref="B7:F7"/>
    <mergeCell ref="AB7:AG7"/>
    <mergeCell ref="AF11:AG11"/>
    <mergeCell ref="B12:L13"/>
    <mergeCell ref="M12:U13"/>
    <mergeCell ref="V12:X12"/>
    <mergeCell ref="Y12:AA12"/>
    <mergeCell ref="AC12:AF12"/>
    <mergeCell ref="V13:X13"/>
    <mergeCell ref="Y13:AA13"/>
    <mergeCell ref="AC13:AG13"/>
  </mergeCells>
  <phoneticPr fontId="1" type="noConversion"/>
  <printOptions horizontalCentered="1" verticalCentered="1"/>
  <pageMargins left="0.19685039370078741" right="0.19685039370078741" top="0.59055118110236227" bottom="0.59055118110236227" header="0.31496062992125984" footer="0.31496062992125984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E8C3-209D-4A39-AF3F-4CDEDFD41AB3}">
  <sheetPr codeName="Sheet18">
    <tabColor theme="6" tint="-0.249977111117893"/>
  </sheetPr>
  <dimension ref="A1:P289"/>
  <sheetViews>
    <sheetView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I16" sqref="I16"/>
    </sheetView>
  </sheetViews>
  <sheetFormatPr defaultRowHeight="14.4" outlineLevelCol="1" x14ac:dyDescent="0.25"/>
  <cols>
    <col min="1" max="1" width="4.19921875" customWidth="1"/>
    <col min="2" max="2" width="7.59765625" customWidth="1"/>
    <col min="3" max="3" width="22.296875" bestFit="1" customWidth="1"/>
    <col min="4" max="4" width="15.19921875" customWidth="1"/>
    <col min="5" max="5" width="5.69921875" bestFit="1" customWidth="1"/>
    <col min="6" max="6" width="35.69921875" customWidth="1" outlineLevel="1"/>
    <col min="7" max="7" width="8.796875" customWidth="1" outlineLevel="1"/>
    <col min="8" max="8" width="12.69921875" customWidth="1" outlineLevel="1"/>
    <col min="9" max="9" width="11.09765625" customWidth="1" outlineLevel="1"/>
    <col min="10" max="10" width="11.19921875" customWidth="1" outlineLevel="1"/>
    <col min="11" max="11" width="2.8984375" customWidth="1" outlineLevel="1"/>
    <col min="12" max="12" width="11.8984375" customWidth="1"/>
    <col min="13" max="13" width="11.19921875" bestFit="1" customWidth="1"/>
    <col min="14" max="14" width="10.5" customWidth="1"/>
    <col min="15" max="15" width="13.69921875" bestFit="1" customWidth="1"/>
    <col min="16" max="16" width="13.69921875" customWidth="1"/>
  </cols>
  <sheetData>
    <row r="1" spans="1:16" ht="25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90" t="s">
        <v>66</v>
      </c>
      <c r="M1" s="90" t="s">
        <v>67</v>
      </c>
      <c r="N1" s="90" t="s">
        <v>68</v>
      </c>
      <c r="O1" s="90" t="s">
        <v>69</v>
      </c>
      <c r="P1" s="90"/>
    </row>
    <row r="2" spans="1:16" ht="25.2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91">
        <f>SUM(L6:L29)</f>
        <v>297690570</v>
      </c>
      <c r="M2" s="91">
        <f t="shared" ref="M2:O2" si="0">SUM(M6:M29)</f>
        <v>297690570</v>
      </c>
      <c r="N2" s="91">
        <f t="shared" si="0"/>
        <v>29769057</v>
      </c>
      <c r="O2" s="91">
        <f t="shared" si="0"/>
        <v>327459627</v>
      </c>
      <c r="P2" s="91"/>
    </row>
    <row r="3" spans="1:16" ht="31.2" customHeight="1" x14ac:dyDescent="0.25">
      <c r="A3" s="1"/>
      <c r="B3" s="92" t="s">
        <v>70</v>
      </c>
      <c r="C3" s="92"/>
      <c r="D3" s="93"/>
      <c r="E3" s="93"/>
      <c r="F3" s="93"/>
      <c r="G3" s="93"/>
      <c r="H3" s="93"/>
      <c r="I3" s="93"/>
      <c r="J3" s="93"/>
      <c r="K3" s="1"/>
      <c r="L3" s="1"/>
      <c r="M3" s="1"/>
      <c r="N3" s="1"/>
      <c r="O3" s="1"/>
      <c r="P3" s="1"/>
    </row>
    <row r="4" spans="1:16" ht="31.2" customHeight="1" thickBot="1" x14ac:dyDescent="0.3">
      <c r="A4" s="1"/>
      <c r="B4" s="94" t="s">
        <v>71</v>
      </c>
      <c r="C4" s="94" t="s">
        <v>72</v>
      </c>
      <c r="D4" s="94" t="s">
        <v>73</v>
      </c>
      <c r="E4" s="94" t="s">
        <v>74</v>
      </c>
      <c r="F4" s="94" t="s">
        <v>75</v>
      </c>
      <c r="G4" s="94" t="s">
        <v>76</v>
      </c>
      <c r="H4" s="94" t="s">
        <v>77</v>
      </c>
      <c r="I4" s="94" t="s">
        <v>78</v>
      </c>
      <c r="J4" s="94" t="s">
        <v>193</v>
      </c>
      <c r="K4" s="1"/>
      <c r="L4" s="90" t="s">
        <v>79</v>
      </c>
      <c r="M4" s="90" t="s">
        <v>67</v>
      </c>
      <c r="N4" s="90" t="s">
        <v>68</v>
      </c>
      <c r="O4" s="90" t="s">
        <v>69</v>
      </c>
      <c r="P4" s="90" t="s">
        <v>80</v>
      </c>
    </row>
    <row r="5" spans="1:16" ht="20.25" customHeight="1" thickBot="1" x14ac:dyDescent="0.3">
      <c r="A5" s="1"/>
      <c r="B5" s="107" t="s">
        <v>14</v>
      </c>
      <c r="C5" s="108" t="s">
        <v>81</v>
      </c>
      <c r="D5" s="95" t="s">
        <v>82</v>
      </c>
      <c r="E5" s="95" t="s">
        <v>83</v>
      </c>
      <c r="F5" s="96" t="s">
        <v>84</v>
      </c>
      <c r="G5" s="95" t="s">
        <v>31</v>
      </c>
      <c r="H5" s="95" t="s">
        <v>32</v>
      </c>
      <c r="I5" s="95" t="s">
        <v>85</v>
      </c>
      <c r="J5" s="95"/>
      <c r="K5" s="1"/>
      <c r="L5" s="97"/>
      <c r="M5" s="97"/>
      <c r="N5" s="97"/>
      <c r="O5" s="97"/>
      <c r="P5" s="97"/>
    </row>
    <row r="6" spans="1:16" ht="20.25" customHeight="1" x14ac:dyDescent="0.25">
      <c r="A6" s="1"/>
      <c r="B6" s="98">
        <v>1</v>
      </c>
      <c r="C6" s="99" t="s">
        <v>86</v>
      </c>
      <c r="D6" s="98" t="s">
        <v>87</v>
      </c>
      <c r="E6" s="98" t="s">
        <v>88</v>
      </c>
      <c r="F6" s="100" t="s">
        <v>89</v>
      </c>
      <c r="G6" s="98" t="s">
        <v>90</v>
      </c>
      <c r="H6" s="98" t="s">
        <v>91</v>
      </c>
      <c r="I6" s="98" t="s">
        <v>92</v>
      </c>
      <c r="J6" s="98" t="s">
        <v>93</v>
      </c>
      <c r="K6" s="1"/>
      <c r="L6" s="101">
        <v>7856750</v>
      </c>
      <c r="M6" s="102">
        <v>7856750</v>
      </c>
      <c r="N6" s="101">
        <v>785675</v>
      </c>
      <c r="O6" s="101">
        <v>8642425</v>
      </c>
      <c r="P6" s="101"/>
    </row>
    <row r="7" spans="1:16" ht="20.25" customHeight="1" x14ac:dyDescent="0.25">
      <c r="A7" s="1"/>
      <c r="B7" s="103">
        <v>2</v>
      </c>
      <c r="C7" s="104" t="s">
        <v>94</v>
      </c>
      <c r="D7" s="103" t="s">
        <v>95</v>
      </c>
      <c r="E7" s="103" t="s">
        <v>96</v>
      </c>
      <c r="F7" s="105" t="s">
        <v>97</v>
      </c>
      <c r="G7" s="103" t="s">
        <v>90</v>
      </c>
      <c r="H7" s="103" t="s">
        <v>91</v>
      </c>
      <c r="I7" s="103" t="s">
        <v>98</v>
      </c>
      <c r="J7" s="103" t="s">
        <v>99</v>
      </c>
      <c r="K7" s="1"/>
      <c r="L7" s="101">
        <v>10994100</v>
      </c>
      <c r="M7" s="102">
        <v>10994100</v>
      </c>
      <c r="N7" s="101">
        <v>1099410</v>
      </c>
      <c r="O7" s="101">
        <v>12093510</v>
      </c>
      <c r="P7" s="101"/>
    </row>
    <row r="8" spans="1:16" ht="20.25" customHeight="1" x14ac:dyDescent="0.25">
      <c r="A8" s="1"/>
      <c r="B8" s="103">
        <v>3</v>
      </c>
      <c r="C8" s="104" t="s">
        <v>100</v>
      </c>
      <c r="D8" s="103" t="s">
        <v>101</v>
      </c>
      <c r="E8" s="103" t="s">
        <v>102</v>
      </c>
      <c r="F8" s="105" t="s">
        <v>103</v>
      </c>
      <c r="G8" s="103" t="s">
        <v>90</v>
      </c>
      <c r="H8" s="103" t="s">
        <v>91</v>
      </c>
      <c r="I8" s="103"/>
      <c r="J8" s="103" t="s">
        <v>104</v>
      </c>
      <c r="K8" s="1"/>
      <c r="L8" s="101">
        <v>6242180</v>
      </c>
      <c r="M8" s="102">
        <v>6242180</v>
      </c>
      <c r="N8" s="101">
        <v>624218</v>
      </c>
      <c r="O8" s="101">
        <v>6866398</v>
      </c>
      <c r="P8" s="101"/>
    </row>
    <row r="9" spans="1:16" ht="20.25" customHeight="1" x14ac:dyDescent="0.25">
      <c r="A9" s="1"/>
      <c r="B9" s="103">
        <v>4</v>
      </c>
      <c r="C9" s="104" t="s">
        <v>105</v>
      </c>
      <c r="D9" s="103" t="s">
        <v>106</v>
      </c>
      <c r="E9" s="103" t="s">
        <v>107</v>
      </c>
      <c r="F9" s="105" t="s">
        <v>108</v>
      </c>
      <c r="G9" s="103" t="s">
        <v>90</v>
      </c>
      <c r="H9" s="103" t="s">
        <v>91</v>
      </c>
      <c r="I9" s="103"/>
      <c r="J9" s="103" t="s">
        <v>99</v>
      </c>
      <c r="K9" s="1"/>
      <c r="L9" s="101">
        <v>5974690</v>
      </c>
      <c r="M9" s="102">
        <v>5974690</v>
      </c>
      <c r="N9" s="101">
        <v>597469</v>
      </c>
      <c r="O9" s="101">
        <v>6572159</v>
      </c>
      <c r="P9" s="101"/>
    </row>
    <row r="10" spans="1:16" ht="20.25" customHeight="1" x14ac:dyDescent="0.25">
      <c r="A10" s="1"/>
      <c r="B10" s="103">
        <v>5</v>
      </c>
      <c r="C10" s="104" t="s">
        <v>109</v>
      </c>
      <c r="D10" s="103" t="s">
        <v>110</v>
      </c>
      <c r="E10" s="103" t="s">
        <v>111</v>
      </c>
      <c r="F10" s="105" t="s">
        <v>112</v>
      </c>
      <c r="G10" s="103" t="s">
        <v>90</v>
      </c>
      <c r="H10" s="103" t="s">
        <v>113</v>
      </c>
      <c r="I10" s="103"/>
      <c r="J10" s="103" t="s">
        <v>104</v>
      </c>
      <c r="K10" s="1"/>
      <c r="L10" s="101">
        <v>6969510</v>
      </c>
      <c r="M10" s="102">
        <v>6969510</v>
      </c>
      <c r="N10" s="101">
        <v>696951</v>
      </c>
      <c r="O10" s="101">
        <v>7666461</v>
      </c>
      <c r="P10" s="101"/>
    </row>
    <row r="11" spans="1:16" ht="20.25" customHeight="1" x14ac:dyDescent="0.25">
      <c r="A11" s="1"/>
      <c r="B11" s="103">
        <v>6</v>
      </c>
      <c r="C11" s="104" t="s">
        <v>114</v>
      </c>
      <c r="D11" s="103" t="s">
        <v>115</v>
      </c>
      <c r="E11" s="103" t="s">
        <v>116</v>
      </c>
      <c r="F11" s="105" t="s">
        <v>117</v>
      </c>
      <c r="G11" s="103" t="s">
        <v>90</v>
      </c>
      <c r="H11" s="103" t="s">
        <v>91</v>
      </c>
      <c r="I11" s="103" t="s">
        <v>98</v>
      </c>
      <c r="J11" s="103" t="s">
        <v>99</v>
      </c>
      <c r="K11" s="1"/>
      <c r="L11" s="101">
        <v>6860760</v>
      </c>
      <c r="M11" s="102">
        <v>6860760</v>
      </c>
      <c r="N11" s="101">
        <v>686076</v>
      </c>
      <c r="O11" s="101">
        <v>7546836</v>
      </c>
      <c r="P11" s="101"/>
    </row>
    <row r="12" spans="1:16" ht="20.25" customHeight="1" x14ac:dyDescent="0.25">
      <c r="A12" s="1"/>
      <c r="B12" s="103">
        <v>7</v>
      </c>
      <c r="C12" s="104" t="s">
        <v>118</v>
      </c>
      <c r="D12" s="103" t="s">
        <v>119</v>
      </c>
      <c r="E12" s="103" t="s">
        <v>120</v>
      </c>
      <c r="F12" s="105" t="s">
        <v>121</v>
      </c>
      <c r="G12" s="103" t="s">
        <v>90</v>
      </c>
      <c r="H12" s="103" t="s">
        <v>91</v>
      </c>
      <c r="I12" s="103" t="s">
        <v>98</v>
      </c>
      <c r="J12" s="103" t="s">
        <v>99</v>
      </c>
      <c r="K12" s="1"/>
      <c r="L12" s="101">
        <v>11789340</v>
      </c>
      <c r="M12" s="102">
        <v>11789340</v>
      </c>
      <c r="N12" s="101">
        <v>1178934</v>
      </c>
      <c r="O12" s="101">
        <v>12968274</v>
      </c>
      <c r="P12" s="101"/>
    </row>
    <row r="13" spans="1:16" ht="20.25" customHeight="1" x14ac:dyDescent="0.25">
      <c r="A13" s="1"/>
      <c r="B13" s="103">
        <v>8</v>
      </c>
      <c r="C13" s="104" t="s">
        <v>122</v>
      </c>
      <c r="D13" s="103" t="s">
        <v>123</v>
      </c>
      <c r="E13" s="103" t="s">
        <v>124</v>
      </c>
      <c r="F13" s="105" t="s">
        <v>125</v>
      </c>
      <c r="G13" s="103" t="s">
        <v>90</v>
      </c>
      <c r="H13" s="103" t="s">
        <v>91</v>
      </c>
      <c r="I13" s="103" t="s">
        <v>92</v>
      </c>
      <c r="J13" s="103" t="s">
        <v>99</v>
      </c>
      <c r="K13" s="1"/>
      <c r="L13" s="101">
        <v>6603010</v>
      </c>
      <c r="M13" s="102">
        <v>6603010</v>
      </c>
      <c r="N13" s="101">
        <v>660301</v>
      </c>
      <c r="O13" s="101">
        <v>7263311</v>
      </c>
      <c r="P13" s="101"/>
    </row>
    <row r="14" spans="1:16" ht="20.25" customHeight="1" x14ac:dyDescent="0.25">
      <c r="A14" s="1"/>
      <c r="B14" s="103">
        <v>9</v>
      </c>
      <c r="C14" s="104" t="s">
        <v>126</v>
      </c>
      <c r="D14" s="103" t="s">
        <v>127</v>
      </c>
      <c r="E14" s="103" t="s">
        <v>128</v>
      </c>
      <c r="F14" s="105" t="s">
        <v>129</v>
      </c>
      <c r="G14" s="103" t="s">
        <v>90</v>
      </c>
      <c r="H14" s="103" t="s">
        <v>91</v>
      </c>
      <c r="I14" s="103"/>
      <c r="J14" s="103" t="s">
        <v>99</v>
      </c>
      <c r="K14" s="1"/>
      <c r="L14" s="101">
        <v>8690980</v>
      </c>
      <c r="M14" s="102">
        <v>8690980</v>
      </c>
      <c r="N14" s="101">
        <v>869098</v>
      </c>
      <c r="O14" s="101">
        <v>9560078</v>
      </c>
      <c r="P14" s="106"/>
    </row>
    <row r="15" spans="1:16" ht="20.25" customHeight="1" x14ac:dyDescent="0.25">
      <c r="A15" s="1"/>
      <c r="B15" s="103">
        <v>10</v>
      </c>
      <c r="C15" s="104" t="s">
        <v>130</v>
      </c>
      <c r="D15" s="103" t="s">
        <v>131</v>
      </c>
      <c r="E15" s="103" t="s">
        <v>132</v>
      </c>
      <c r="F15" s="105" t="s">
        <v>133</v>
      </c>
      <c r="G15" s="103" t="s">
        <v>90</v>
      </c>
      <c r="H15" s="103" t="s">
        <v>91</v>
      </c>
      <c r="I15" s="103" t="s">
        <v>98</v>
      </c>
      <c r="J15" s="103" t="s">
        <v>99</v>
      </c>
      <c r="K15" s="1"/>
      <c r="L15" s="101">
        <v>14525190</v>
      </c>
      <c r="M15" s="102">
        <v>14525190</v>
      </c>
      <c r="N15" s="101">
        <v>1452519</v>
      </c>
      <c r="O15" s="101">
        <v>15977709</v>
      </c>
      <c r="P15" s="106"/>
    </row>
    <row r="16" spans="1:16" ht="20.25" customHeight="1" x14ac:dyDescent="0.25">
      <c r="A16" s="1"/>
      <c r="B16" s="103">
        <v>11</v>
      </c>
      <c r="C16" s="104" t="s">
        <v>134</v>
      </c>
      <c r="D16" s="103" t="s">
        <v>135</v>
      </c>
      <c r="E16" s="103" t="s">
        <v>136</v>
      </c>
      <c r="F16" s="105" t="s">
        <v>137</v>
      </c>
      <c r="G16" s="103" t="s">
        <v>90</v>
      </c>
      <c r="H16" s="103" t="s">
        <v>91</v>
      </c>
      <c r="I16" s="103" t="s">
        <v>92</v>
      </c>
      <c r="J16" s="103" t="s">
        <v>99</v>
      </c>
      <c r="K16" s="1"/>
      <c r="L16" s="101">
        <v>19559420</v>
      </c>
      <c r="M16" s="102">
        <v>19559420</v>
      </c>
      <c r="N16" s="101">
        <v>1955942</v>
      </c>
      <c r="O16" s="101">
        <v>21515362</v>
      </c>
      <c r="P16" s="101"/>
    </row>
    <row r="17" spans="1:16" ht="20.25" customHeight="1" x14ac:dyDescent="0.25">
      <c r="A17" s="1"/>
      <c r="B17" s="103">
        <v>12</v>
      </c>
      <c r="C17" s="104" t="s">
        <v>138</v>
      </c>
      <c r="D17" s="103" t="s">
        <v>139</v>
      </c>
      <c r="E17" s="103" t="s">
        <v>140</v>
      </c>
      <c r="F17" s="105" t="s">
        <v>141</v>
      </c>
      <c r="G17" s="103" t="s">
        <v>90</v>
      </c>
      <c r="H17" s="103" t="s">
        <v>91</v>
      </c>
      <c r="I17" s="103" t="s">
        <v>98</v>
      </c>
      <c r="J17" s="103" t="s">
        <v>99</v>
      </c>
      <c r="K17" s="1"/>
      <c r="L17" s="101">
        <v>16622460</v>
      </c>
      <c r="M17" s="102">
        <v>16622460</v>
      </c>
      <c r="N17" s="101">
        <v>1662246</v>
      </c>
      <c r="O17" s="101">
        <v>18284706</v>
      </c>
      <c r="P17" s="101"/>
    </row>
    <row r="18" spans="1:16" ht="20.25" customHeight="1" x14ac:dyDescent="0.25">
      <c r="A18" s="1"/>
      <c r="B18" s="103">
        <v>13</v>
      </c>
      <c r="C18" s="104" t="s">
        <v>142</v>
      </c>
      <c r="D18" s="103" t="s">
        <v>143</v>
      </c>
      <c r="E18" s="103" t="s">
        <v>144</v>
      </c>
      <c r="F18" s="105" t="s">
        <v>145</v>
      </c>
      <c r="G18" s="103" t="s">
        <v>90</v>
      </c>
      <c r="H18" s="103" t="s">
        <v>91</v>
      </c>
      <c r="I18" s="103" t="s">
        <v>98</v>
      </c>
      <c r="J18" s="103" t="s">
        <v>93</v>
      </c>
      <c r="K18" s="1"/>
      <c r="L18" s="101">
        <v>14090850</v>
      </c>
      <c r="M18" s="102">
        <v>14090850</v>
      </c>
      <c r="N18" s="101">
        <v>1409085</v>
      </c>
      <c r="O18" s="101">
        <v>15499935</v>
      </c>
      <c r="P18" s="101"/>
    </row>
    <row r="19" spans="1:16" ht="20.25" customHeight="1" x14ac:dyDescent="0.25">
      <c r="A19" s="1"/>
      <c r="B19" s="103">
        <v>14</v>
      </c>
      <c r="C19" s="104" t="s">
        <v>146</v>
      </c>
      <c r="D19" s="103" t="s">
        <v>147</v>
      </c>
      <c r="E19" s="103" t="s">
        <v>148</v>
      </c>
      <c r="F19" s="105" t="s">
        <v>149</v>
      </c>
      <c r="G19" s="103" t="s">
        <v>90</v>
      </c>
      <c r="H19" s="103" t="s">
        <v>91</v>
      </c>
      <c r="I19" s="103" t="s">
        <v>98</v>
      </c>
      <c r="J19" s="103" t="s">
        <v>104</v>
      </c>
      <c r="K19" s="1"/>
      <c r="L19" s="101">
        <v>10782430</v>
      </c>
      <c r="M19" s="102">
        <v>10782430</v>
      </c>
      <c r="N19" s="101">
        <v>1078243</v>
      </c>
      <c r="O19" s="101">
        <v>11860673</v>
      </c>
      <c r="P19" s="101"/>
    </row>
    <row r="20" spans="1:16" ht="20.25" customHeight="1" x14ac:dyDescent="0.25">
      <c r="A20" s="1"/>
      <c r="B20" s="103">
        <v>15</v>
      </c>
      <c r="C20" s="104" t="s">
        <v>150</v>
      </c>
      <c r="D20" s="103" t="s">
        <v>151</v>
      </c>
      <c r="E20" s="103" t="s">
        <v>152</v>
      </c>
      <c r="F20" s="105" t="s">
        <v>153</v>
      </c>
      <c r="G20" s="103" t="s">
        <v>90</v>
      </c>
      <c r="H20" s="103" t="s">
        <v>91</v>
      </c>
      <c r="I20" s="103" t="s">
        <v>98</v>
      </c>
      <c r="J20" s="103" t="s">
        <v>93</v>
      </c>
      <c r="K20" s="1"/>
      <c r="L20" s="101">
        <v>13826010</v>
      </c>
      <c r="M20" s="102">
        <v>13826010</v>
      </c>
      <c r="N20" s="101">
        <v>1382601</v>
      </c>
      <c r="O20" s="101">
        <v>15208611</v>
      </c>
      <c r="P20" s="101"/>
    </row>
    <row r="21" spans="1:16" ht="20.25" customHeight="1" x14ac:dyDescent="0.25">
      <c r="A21" s="1"/>
      <c r="B21" s="103">
        <v>16</v>
      </c>
      <c r="C21" s="104" t="s">
        <v>154</v>
      </c>
      <c r="D21" s="103" t="s">
        <v>155</v>
      </c>
      <c r="E21" s="103" t="s">
        <v>156</v>
      </c>
      <c r="F21" s="105" t="s">
        <v>157</v>
      </c>
      <c r="G21" s="103" t="s">
        <v>90</v>
      </c>
      <c r="H21" s="103" t="s">
        <v>91</v>
      </c>
      <c r="I21" s="103" t="s">
        <v>98</v>
      </c>
      <c r="J21" s="103" t="s">
        <v>99</v>
      </c>
      <c r="K21" s="1"/>
      <c r="L21" s="101">
        <v>19080390</v>
      </c>
      <c r="M21" s="102">
        <v>19080390</v>
      </c>
      <c r="N21" s="101">
        <v>1908039</v>
      </c>
      <c r="O21" s="101">
        <v>20988429</v>
      </c>
      <c r="P21" s="101"/>
    </row>
    <row r="22" spans="1:16" ht="20.25" customHeight="1" x14ac:dyDescent="0.25">
      <c r="A22" s="1"/>
      <c r="B22" s="103">
        <v>17</v>
      </c>
      <c r="C22" s="104" t="s">
        <v>158</v>
      </c>
      <c r="D22" s="103" t="s">
        <v>159</v>
      </c>
      <c r="E22" s="103" t="s">
        <v>160</v>
      </c>
      <c r="F22" s="105" t="s">
        <v>161</v>
      </c>
      <c r="G22" s="103" t="s">
        <v>90</v>
      </c>
      <c r="H22" s="103" t="s">
        <v>91</v>
      </c>
      <c r="I22" s="103"/>
      <c r="J22" s="103" t="s">
        <v>99</v>
      </c>
      <c r="K22" s="1"/>
      <c r="L22" s="101">
        <v>7043750</v>
      </c>
      <c r="M22" s="102">
        <v>7043750</v>
      </c>
      <c r="N22" s="101">
        <v>704375</v>
      </c>
      <c r="O22" s="101">
        <v>7748125</v>
      </c>
      <c r="P22" s="101"/>
    </row>
    <row r="23" spans="1:16" ht="20.25" customHeight="1" x14ac:dyDescent="0.25">
      <c r="A23" s="1"/>
      <c r="B23" s="103">
        <v>18</v>
      </c>
      <c r="C23" s="104" t="s">
        <v>162</v>
      </c>
      <c r="D23" s="103" t="s">
        <v>163</v>
      </c>
      <c r="E23" s="103" t="s">
        <v>164</v>
      </c>
      <c r="F23" s="105" t="s">
        <v>165</v>
      </c>
      <c r="G23" s="103" t="s">
        <v>90</v>
      </c>
      <c r="H23" s="103" t="s">
        <v>91</v>
      </c>
      <c r="I23" s="103"/>
      <c r="J23" s="103" t="s">
        <v>99</v>
      </c>
      <c r="K23" s="1"/>
      <c r="L23" s="101">
        <v>18001690</v>
      </c>
      <c r="M23" s="102">
        <v>18001690</v>
      </c>
      <c r="N23" s="101">
        <v>1800169</v>
      </c>
      <c r="O23" s="101">
        <v>19801859</v>
      </c>
      <c r="P23" s="101"/>
    </row>
    <row r="24" spans="1:16" ht="20.25" customHeight="1" x14ac:dyDescent="0.25">
      <c r="A24" s="1"/>
      <c r="B24" s="103">
        <v>19</v>
      </c>
      <c r="C24" s="104" t="s">
        <v>166</v>
      </c>
      <c r="D24" s="103" t="s">
        <v>167</v>
      </c>
      <c r="E24" s="103" t="s">
        <v>168</v>
      </c>
      <c r="F24" s="105" t="s">
        <v>169</v>
      </c>
      <c r="G24" s="103" t="s">
        <v>90</v>
      </c>
      <c r="H24" s="103" t="s">
        <v>91</v>
      </c>
      <c r="I24" s="103" t="s">
        <v>98</v>
      </c>
      <c r="J24" s="103" t="s">
        <v>93</v>
      </c>
      <c r="K24" s="1"/>
      <c r="L24" s="101">
        <v>14278730</v>
      </c>
      <c r="M24" s="102">
        <v>14278730</v>
      </c>
      <c r="N24" s="101">
        <v>1427873</v>
      </c>
      <c r="O24" s="101">
        <v>15706603</v>
      </c>
      <c r="P24" s="101"/>
    </row>
    <row r="25" spans="1:16" ht="20.25" customHeight="1" x14ac:dyDescent="0.25">
      <c r="A25" s="1"/>
      <c r="B25" s="103">
        <v>20</v>
      </c>
      <c r="C25" s="104" t="s">
        <v>170</v>
      </c>
      <c r="D25" s="103" t="s">
        <v>171</v>
      </c>
      <c r="E25" s="103" t="s">
        <v>172</v>
      </c>
      <c r="F25" s="105" t="s">
        <v>173</v>
      </c>
      <c r="G25" s="103" t="s">
        <v>90</v>
      </c>
      <c r="H25" s="103" t="s">
        <v>91</v>
      </c>
      <c r="I25" s="103" t="s">
        <v>98</v>
      </c>
      <c r="J25" s="103" t="s">
        <v>99</v>
      </c>
      <c r="K25" s="1"/>
      <c r="L25" s="101">
        <v>14723420</v>
      </c>
      <c r="M25" s="102">
        <v>14723420</v>
      </c>
      <c r="N25" s="101">
        <v>1472342</v>
      </c>
      <c r="O25" s="101">
        <v>16195762</v>
      </c>
      <c r="P25" s="101"/>
    </row>
    <row r="26" spans="1:16" ht="20.25" customHeight="1" x14ac:dyDescent="0.25">
      <c r="A26" s="1"/>
      <c r="B26" s="103">
        <v>21</v>
      </c>
      <c r="C26" s="104" t="s">
        <v>174</v>
      </c>
      <c r="D26" s="103" t="s">
        <v>175</v>
      </c>
      <c r="E26" s="103" t="s">
        <v>176</v>
      </c>
      <c r="F26" s="105" t="s">
        <v>177</v>
      </c>
      <c r="G26" s="103" t="s">
        <v>90</v>
      </c>
      <c r="H26" s="103" t="s">
        <v>91</v>
      </c>
      <c r="I26" s="103" t="s">
        <v>98</v>
      </c>
      <c r="J26" s="103" t="s">
        <v>178</v>
      </c>
      <c r="K26" s="1"/>
      <c r="L26" s="101">
        <v>16185730</v>
      </c>
      <c r="M26" s="102">
        <v>16185730</v>
      </c>
      <c r="N26" s="101">
        <v>1618573</v>
      </c>
      <c r="O26" s="101">
        <v>17804303</v>
      </c>
      <c r="P26" s="101"/>
    </row>
    <row r="27" spans="1:16" ht="20.25" customHeight="1" x14ac:dyDescent="0.25">
      <c r="A27" s="1"/>
      <c r="B27" s="103">
        <v>22</v>
      </c>
      <c r="C27" s="104" t="s">
        <v>179</v>
      </c>
      <c r="D27" s="103" t="s">
        <v>180</v>
      </c>
      <c r="E27" s="103" t="s">
        <v>181</v>
      </c>
      <c r="F27" s="105" t="s">
        <v>182</v>
      </c>
      <c r="G27" s="103" t="s">
        <v>90</v>
      </c>
      <c r="H27" s="103" t="s">
        <v>91</v>
      </c>
      <c r="I27" s="103" t="s">
        <v>92</v>
      </c>
      <c r="J27" s="103" t="s">
        <v>93</v>
      </c>
      <c r="K27" s="1"/>
      <c r="L27" s="101">
        <v>11685650</v>
      </c>
      <c r="M27" s="102">
        <v>11685650</v>
      </c>
      <c r="N27" s="101">
        <v>1168565</v>
      </c>
      <c r="O27" s="101">
        <v>12854215</v>
      </c>
      <c r="P27" s="101"/>
    </row>
    <row r="28" spans="1:16" ht="20.25" customHeight="1" x14ac:dyDescent="0.25">
      <c r="A28" s="1"/>
      <c r="B28" s="103">
        <v>23</v>
      </c>
      <c r="C28" s="104" t="s">
        <v>183</v>
      </c>
      <c r="D28" s="103" t="s">
        <v>184</v>
      </c>
      <c r="E28" s="103" t="s">
        <v>185</v>
      </c>
      <c r="F28" s="105" t="s">
        <v>186</v>
      </c>
      <c r="G28" s="103" t="s">
        <v>187</v>
      </c>
      <c r="H28" s="103" t="s">
        <v>91</v>
      </c>
      <c r="I28" s="103" t="s">
        <v>98</v>
      </c>
      <c r="J28" s="103" t="s">
        <v>188</v>
      </c>
      <c r="K28" s="1"/>
      <c r="L28" s="101">
        <v>19047970</v>
      </c>
      <c r="M28" s="102">
        <v>19047970</v>
      </c>
      <c r="N28" s="101">
        <v>1904797</v>
      </c>
      <c r="O28" s="101">
        <v>20952767</v>
      </c>
      <c r="P28" s="101"/>
    </row>
    <row r="29" spans="1:16" ht="20.25" customHeight="1" x14ac:dyDescent="0.25">
      <c r="A29" s="1"/>
      <c r="B29" s="103">
        <v>24</v>
      </c>
      <c r="C29" s="104" t="s">
        <v>189</v>
      </c>
      <c r="D29" s="103" t="s">
        <v>190</v>
      </c>
      <c r="E29" s="103" t="s">
        <v>191</v>
      </c>
      <c r="F29" s="105" t="s">
        <v>192</v>
      </c>
      <c r="G29" s="103" t="s">
        <v>90</v>
      </c>
      <c r="H29" s="103" t="s">
        <v>91</v>
      </c>
      <c r="I29" s="103" t="s">
        <v>98</v>
      </c>
      <c r="J29" s="103" t="s">
        <v>93</v>
      </c>
      <c r="K29" s="1"/>
      <c r="L29" s="101">
        <v>16255560</v>
      </c>
      <c r="M29" s="102">
        <v>16255560</v>
      </c>
      <c r="N29" s="101">
        <v>1625556</v>
      </c>
      <c r="O29" s="101">
        <v>17881116</v>
      </c>
      <c r="P29" s="101"/>
    </row>
    <row r="30" spans="1:16" ht="20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0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0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3:16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</sheetData>
  <autoFilter ref="B4:J29" xr:uid="{00000000-0009-0000-0000-000012000000}"/>
  <phoneticPr fontId="1" type="noConversion"/>
  <pageMargins left="0.17" right="0.17" top="0.17" bottom="0.17" header="0.17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세금계산서(출력)</vt:lpstr>
      <vt:lpstr>매입세금계산서_list</vt:lpstr>
      <vt:lpstr>매입세금계산서_list!Print_Area</vt:lpstr>
      <vt:lpstr>'세금계산서(출력)'!Print_Area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cp:lastPrinted>2026-06-29T08:29:41Z</cp:lastPrinted>
  <dcterms:created xsi:type="dcterms:W3CDTF">2026-06-29T05:11:19Z</dcterms:created>
  <dcterms:modified xsi:type="dcterms:W3CDTF">2026-06-29T08:30:56Z</dcterms:modified>
</cp:coreProperties>
</file>