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zmang\Documents\결산\판매수수료\판매수수료_자동계산_시스템\salary_system\templates\"/>
    </mc:Choice>
  </mc:AlternateContent>
  <xr:revisionPtr revIDLastSave="0" documentId="13_ncr:1_{A14EA31B-4C16-4481-9055-A003C0524C67}" xr6:coauthVersionLast="47" xr6:coauthVersionMax="47" xr10:uidLastSave="{00000000-0000-0000-0000-000000000000}"/>
  <bookViews>
    <workbookView xWindow="-108" yWindow="-108" windowWidth="23256" windowHeight="12528" xr2:uid="{B7942335-2042-4A72-959E-D3D4533754A3}"/>
  </bookViews>
  <sheets>
    <sheet name="집계_판매수수료지급내역서" sheetId="1" r:id="rId1"/>
  </sheets>
  <definedNames>
    <definedName name="_xlnm.Print_Area" localSheetId="0">집계_판매수수료지급내역서!$B$2:$G$34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8" i="1" l="1"/>
  <c r="G19" i="1"/>
  <c r="G12" i="1"/>
  <c r="G21" i="1" s="1"/>
  <c r="G8" i="1"/>
  <c r="G23" i="1" l="1"/>
  <c r="G29" i="1" l="1"/>
</calcChain>
</file>

<file path=xl/sharedStrings.xml><?xml version="1.0" encoding="utf-8"?>
<sst xmlns="http://schemas.openxmlformats.org/spreadsheetml/2006/main" count="35" uniqueCount="34">
  <si>
    <t>매
출
액</t>
  </si>
  <si>
    <t>덜받음공제</t>
    <phoneticPr fontId="1" type="noConversion"/>
  </si>
  <si>
    <t>임의사은품·대체할인공제</t>
    <phoneticPr fontId="1" type="noConversion"/>
  </si>
  <si>
    <t>POS정정공제</t>
  </si>
  <si>
    <t>POS정정환급</t>
  </si>
  <si>
    <t>유통하자·재고loss공제</t>
  </si>
  <si>
    <t>정상</t>
  </si>
  <si>
    <t>행사</t>
  </si>
  <si>
    <t>합계</t>
  </si>
  <si>
    <t>전화요금공제</t>
  </si>
  <si>
    <t>직배비공제</t>
  </si>
  <si>
    <t>지급일자</t>
    <phoneticPr fontId="1" type="noConversion"/>
  </si>
  <si>
    <t>공
제</t>
    <phoneticPr fontId="1" type="noConversion"/>
  </si>
  <si>
    <t>기타공제</t>
    <phoneticPr fontId="1" type="noConversion"/>
  </si>
  <si>
    <t>기
타
공
제</t>
    <phoneticPr fontId="1" type="noConversion"/>
  </si>
  <si>
    <t>2026년 5월 판매수수료 내역 집계</t>
    <phoneticPr fontId="1" type="noConversion"/>
  </si>
  <si>
    <t>판매수수료</t>
    <phoneticPr fontId="1" type="noConversion"/>
  </si>
  <si>
    <t>근로소득</t>
    <phoneticPr fontId="1" type="noConversion"/>
  </si>
  <si>
    <t>중간관리</t>
    <phoneticPr fontId="1" type="noConversion"/>
  </si>
  <si>
    <r>
      <rPr>
        <b/>
        <sz val="13"/>
        <color rgb="FF000000"/>
        <rFont val="Segoe UI Symbol"/>
        <family val="1"/>
      </rPr>
      <t>①</t>
    </r>
    <r>
      <rPr>
        <b/>
        <sz val="13"/>
        <color rgb="FF000000"/>
        <rFont val="Microsoft NeoGothic"/>
        <family val="3"/>
        <charset val="129"/>
      </rPr>
      <t>판매수수료합계</t>
    </r>
    <phoneticPr fontId="1" type="noConversion"/>
  </si>
  <si>
    <r>
      <rPr>
        <b/>
        <sz val="13"/>
        <color rgb="FF000000"/>
        <rFont val="Segoe UI Symbol"/>
        <family val="1"/>
      </rPr>
      <t>②</t>
    </r>
    <r>
      <rPr>
        <b/>
        <sz val="13"/>
        <color rgb="FF000000"/>
        <rFont val="Microsoft NeoGothic"/>
        <family val="3"/>
        <charset val="129"/>
      </rPr>
      <t>지원금(직배비</t>
    </r>
    <r>
      <rPr>
        <b/>
        <sz val="13"/>
        <color rgb="FF000000"/>
        <rFont val="Calibri"/>
        <family val="3"/>
      </rPr>
      <t>·</t>
    </r>
    <r>
      <rPr>
        <b/>
        <sz val="13"/>
        <color rgb="FF000000"/>
        <rFont val="Microsoft NeoGothic"/>
        <family val="3"/>
        <charset val="129"/>
      </rPr>
      <t>경비)</t>
    </r>
    <phoneticPr fontId="1" type="noConversion"/>
  </si>
  <si>
    <r>
      <rPr>
        <b/>
        <sz val="13"/>
        <color rgb="FF000000"/>
        <rFont val="Segoe UI Symbol"/>
        <family val="1"/>
      </rPr>
      <t>③</t>
    </r>
    <r>
      <rPr>
        <b/>
        <sz val="13"/>
        <color rgb="FF000000"/>
        <rFont val="Microsoft NeoGothic"/>
        <family val="3"/>
        <charset val="129"/>
      </rPr>
      <t>공제합계</t>
    </r>
    <phoneticPr fontId="1" type="noConversion"/>
  </si>
  <si>
    <r>
      <rPr>
        <b/>
        <sz val="13"/>
        <color rgb="FF000000"/>
        <rFont val="Segoe UI Symbol"/>
        <family val="1"/>
      </rPr>
      <t>④</t>
    </r>
    <r>
      <rPr>
        <b/>
        <sz val="13"/>
        <color rgb="FF000000"/>
        <rFont val="Microsoft NeoGothic"/>
        <family val="3"/>
        <charset val="129"/>
      </rPr>
      <t>아르바이트비</t>
    </r>
    <phoneticPr fontId="1" type="noConversion"/>
  </si>
  <si>
    <t>세액공제(별도)</t>
    <phoneticPr fontId="1" type="noConversion"/>
  </si>
  <si>
    <r>
      <rPr>
        <b/>
        <sz val="13"/>
        <color rgb="FF000000"/>
        <rFont val="Segoe UI Symbol"/>
        <family val="3"/>
      </rPr>
      <t>⑤</t>
    </r>
    <r>
      <rPr>
        <b/>
        <sz val="13"/>
        <color rgb="FF000000"/>
        <rFont val="Microsoft NeoGothic"/>
        <family val="3"/>
        <charset val="129"/>
      </rPr>
      <t>공급가액(</t>
    </r>
    <r>
      <rPr>
        <b/>
        <sz val="13"/>
        <color rgb="FF000000"/>
        <rFont val="Segoe UI Symbol"/>
        <family val="1"/>
      </rPr>
      <t>①</t>
    </r>
    <r>
      <rPr>
        <b/>
        <sz val="13"/>
        <color rgb="FF000000"/>
        <rFont val="Microsoft NeoGothic"/>
        <family val="3"/>
      </rPr>
      <t>+</t>
    </r>
    <r>
      <rPr>
        <b/>
        <sz val="13"/>
        <color rgb="FF000000"/>
        <rFont val="Segoe UI Symbol"/>
        <family val="3"/>
      </rPr>
      <t>②</t>
    </r>
    <r>
      <rPr>
        <b/>
        <sz val="13"/>
        <color rgb="FF000000"/>
        <rFont val="Microsoft NeoGothic"/>
        <family val="3"/>
      </rPr>
      <t>-</t>
    </r>
    <r>
      <rPr>
        <b/>
        <sz val="13"/>
        <color rgb="FF000000"/>
        <rFont val="Segoe UI Symbol"/>
        <family val="3"/>
      </rPr>
      <t>③</t>
    </r>
    <r>
      <rPr>
        <b/>
        <sz val="13"/>
        <color rgb="FF000000"/>
        <rFont val="Microsoft NeoGothic"/>
        <family val="3"/>
      </rPr>
      <t>+</t>
    </r>
    <r>
      <rPr>
        <b/>
        <sz val="13"/>
        <color rgb="FF000000"/>
        <rFont val="Segoe UI Symbol"/>
        <family val="1"/>
      </rPr>
      <t>④</t>
    </r>
    <r>
      <rPr>
        <b/>
        <sz val="13"/>
        <color rgb="FF000000"/>
        <rFont val="Microsoft NeoGothic"/>
        <family val="3"/>
        <charset val="129"/>
      </rPr>
      <t>)</t>
    </r>
    <phoneticPr fontId="1" type="noConversion"/>
  </si>
  <si>
    <r>
      <rPr>
        <b/>
        <sz val="13"/>
        <color rgb="FF000000"/>
        <rFont val="Segoe UI Symbol"/>
        <family val="1"/>
      </rPr>
      <t>⑥</t>
    </r>
    <r>
      <rPr>
        <b/>
        <sz val="13"/>
        <color rgb="FF000000"/>
        <rFont val="Microsoft NeoGothic"/>
        <family val="3"/>
        <charset val="129"/>
      </rPr>
      <t>부가세액합계</t>
    </r>
    <phoneticPr fontId="1" type="noConversion"/>
  </si>
  <si>
    <r>
      <rPr>
        <b/>
        <sz val="13"/>
        <color rgb="FF000000"/>
        <rFont val="Segoe UI Symbol"/>
        <family val="1"/>
      </rPr>
      <t>⑦</t>
    </r>
    <r>
      <rPr>
        <b/>
        <sz val="13"/>
        <color rgb="FF000000"/>
        <rFont val="맑은 고딕"/>
        <family val="3"/>
        <charset val="129"/>
      </rPr>
      <t>총지급</t>
    </r>
    <r>
      <rPr>
        <b/>
        <sz val="13"/>
        <color rgb="FF000000"/>
        <rFont val="Microsoft NeoGothic"/>
        <family val="3"/>
        <charset val="129"/>
      </rPr>
      <t>액(</t>
    </r>
    <r>
      <rPr>
        <b/>
        <sz val="13"/>
        <color rgb="FF000000"/>
        <rFont val="Segoe UI Symbol"/>
        <family val="1"/>
      </rPr>
      <t>⑤</t>
    </r>
    <r>
      <rPr>
        <b/>
        <sz val="13"/>
        <color rgb="FF000000"/>
        <rFont val="Microsoft NeoGothic"/>
        <family val="3"/>
        <charset val="129"/>
      </rPr>
      <t>+</t>
    </r>
    <r>
      <rPr>
        <b/>
        <sz val="13"/>
        <color rgb="FF000000"/>
        <rFont val="Segoe UI Symbol"/>
        <family val="1"/>
      </rPr>
      <t>⑥</t>
    </r>
    <r>
      <rPr>
        <b/>
        <sz val="13"/>
        <color rgb="FF000000"/>
        <rFont val="Microsoft NeoGothic"/>
        <family val="3"/>
        <charset val="129"/>
      </rPr>
      <t>)</t>
    </r>
    <phoneticPr fontId="1" type="noConversion"/>
  </si>
  <si>
    <r>
      <rPr>
        <b/>
        <sz val="13"/>
        <color rgb="FF000000"/>
        <rFont val="Segoe UI Symbol"/>
        <family val="1"/>
      </rPr>
      <t>⑧</t>
    </r>
    <r>
      <rPr>
        <b/>
        <sz val="13"/>
        <color rgb="FF000000"/>
        <rFont val="Microsoft NeoGothic"/>
        <family val="3"/>
        <charset val="129"/>
      </rPr>
      <t>기타공제합계</t>
    </r>
    <phoneticPr fontId="1" type="noConversion"/>
  </si>
  <si>
    <r>
      <rPr>
        <b/>
        <sz val="13"/>
        <color rgb="FF000000"/>
        <rFont val="Segoe UI Symbol"/>
        <family val="3"/>
      </rPr>
      <t>⑨</t>
    </r>
    <r>
      <rPr>
        <b/>
        <sz val="13"/>
        <color rgb="FF000000"/>
        <rFont val="Microsoft NeoGothic"/>
        <family val="3"/>
        <charset val="129"/>
      </rPr>
      <t>송금액(</t>
    </r>
    <r>
      <rPr>
        <b/>
        <sz val="13"/>
        <color rgb="FF000000"/>
        <rFont val="Segoe UI Symbol"/>
        <family val="3"/>
      </rPr>
      <t>⑦−⑧</t>
    </r>
    <r>
      <rPr>
        <b/>
        <sz val="13"/>
        <color rgb="FF000000"/>
        <rFont val="Microsoft NeoGothic"/>
        <family val="3"/>
        <charset val="129"/>
      </rPr>
      <t>)</t>
    </r>
    <phoneticPr fontId="1" type="noConversion"/>
  </si>
  <si>
    <t>2. 구분</t>
    <phoneticPr fontId="1" type="noConversion"/>
  </si>
  <si>
    <t>백화점판매대행계약점</t>
    <phoneticPr fontId="1" type="noConversion"/>
  </si>
  <si>
    <t>본사지급</t>
    <phoneticPr fontId="1" type="noConversion"/>
  </si>
  <si>
    <t xml:space="preserve">- </t>
    <phoneticPr fontId="1" type="noConversion"/>
  </si>
  <si>
    <t xml:space="preserve"> 실송금액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</si>
</sst>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년&quot;\ m&quot;월&quot;\ d&quot;일&quot;;@"/>
    <numFmt numFmtId="177" formatCode="General&quot;매장&quot;"/>
  </numFmts>
  <fonts count="1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Microsoft NeoGothic"/>
      <family val="3"/>
      <charset val="129"/>
    </font>
    <font>
      <b/>
      <sz val="13"/>
      <color rgb="FF000000"/>
      <name val="Microsoft NeoGothic"/>
      <family val="3"/>
      <charset val="129"/>
    </font>
    <font>
      <sz val="13"/>
      <color theme="1"/>
      <name val="Microsoft NeoGothic"/>
      <family val="3"/>
      <charset val="129"/>
    </font>
    <font>
      <sz val="13"/>
      <color rgb="FF000000"/>
      <name val="Microsoft NeoGothic"/>
      <family val="3"/>
      <charset val="129"/>
    </font>
    <font>
      <b/>
      <sz val="13"/>
      <color rgb="FF000000"/>
      <name val="Microsoft NeoGothic"/>
      <family val="1"/>
      <charset val="129"/>
    </font>
    <font>
      <b/>
      <sz val="13"/>
      <color rgb="FF000000"/>
      <name val="Segoe UI Symbol"/>
      <family val="1"/>
    </font>
    <font>
      <b/>
      <sz val="13"/>
      <color rgb="FF000000"/>
      <name val="맑은 고딕"/>
      <family val="3"/>
      <charset val="129"/>
    </font>
    <font>
      <b/>
      <sz val="13"/>
      <color rgb="FF000000"/>
      <name val="Segoe UI Symbol"/>
      <family val="3"/>
    </font>
    <font>
      <b/>
      <u/>
      <sz val="16"/>
      <color rgb="FF000000"/>
      <name val="Microsoft NeoGothic"/>
      <family val="3"/>
      <charset val="129"/>
    </font>
    <font>
      <b/>
      <sz val="13"/>
      <color rgb="FF000000"/>
      <name val="Calibri"/>
      <family val="3"/>
    </font>
    <font>
      <b/>
      <sz val="13"/>
      <color rgb="FF000000"/>
      <name val="Microsoft NeoGothic"/>
      <family val="3"/>
    </font>
  </fonts>
  <fills count="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BDD7EE"/>
      </patternFill>
    </fill>
    <fill>
      <patternFill patternType="solid">
        <fgColor rgb="FFF4B460"/>
      </patternFill>
    </fill>
    <fill>
      <patternFill patternType="solid">
        <fgColor rgb="FFD9D9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4" fillId="0" borderId="0" xfId="0" applyFont="1"/>
    <xf numFmtId="3" fontId="3" fillId="0" borderId="5" xfId="0" applyNumberFormat="1" applyFont="1" applyBorder="1" applyAlignment="1">
      <alignment horizontal="right" vertical="center" indent="1"/>
    </xf>
    <xf numFmtId="3" fontId="3" fillId="0" borderId="8" xfId="0" applyNumberFormat="1" applyFont="1" applyBorder="1" applyAlignment="1">
      <alignment horizontal="right" vertical="center" indent="1"/>
    </xf>
    <xf numFmtId="3" fontId="3" fillId="0" borderId="11" xfId="0" applyNumberFormat="1" applyFont="1" applyBorder="1" applyAlignment="1">
      <alignment horizontal="right" vertical="center" indent="1"/>
    </xf>
    <xf numFmtId="0" fontId="4" fillId="0" borderId="0" xfId="0" applyFont="1" applyAlignment="1">
      <alignment horizontal="right" indent="1"/>
    </xf>
    <xf numFmtId="3" fontId="5" fillId="0" borderId="5" xfId="0" applyNumberFormat="1" applyFont="1" applyBorder="1" applyAlignment="1">
      <alignment horizontal="right" vertical="center" indent="1"/>
    </xf>
    <xf numFmtId="3" fontId="5" fillId="0" borderId="8" xfId="0" applyNumberFormat="1" applyFont="1" applyBorder="1" applyAlignment="1">
      <alignment horizontal="right" vertical="center" indent="1"/>
    </xf>
    <xf numFmtId="3" fontId="3" fillId="0" borderId="3" xfId="0" applyNumberFormat="1" applyFont="1" applyBorder="1" applyAlignment="1">
      <alignment horizontal="right" vertical="center" indent="1"/>
    </xf>
    <xf numFmtId="3" fontId="3" fillId="7" borderId="3" xfId="0" applyNumberFormat="1" applyFont="1" applyFill="1" applyBorder="1" applyAlignment="1">
      <alignment horizontal="right" vertical="center" indent="1"/>
    </xf>
    <xf numFmtId="3" fontId="3" fillId="5" borderId="3" xfId="0" applyNumberFormat="1" applyFont="1" applyFill="1" applyBorder="1" applyAlignment="1">
      <alignment horizontal="right" vertical="center" indent="1"/>
    </xf>
    <xf numFmtId="3" fontId="5" fillId="0" borderId="11" xfId="0" applyNumberFormat="1" applyFont="1" applyBorder="1" applyAlignment="1">
      <alignment horizontal="right" vertical="center" indent="1"/>
    </xf>
    <xf numFmtId="0" fontId="6" fillId="2" borderId="1" xfId="0" applyFont="1" applyFill="1" applyBorder="1" applyAlignment="1">
      <alignment horizontal="distributed" vertical="center" indent="2"/>
    </xf>
    <xf numFmtId="0" fontId="4" fillId="0" borderId="2" xfId="0" applyFont="1" applyBorder="1" applyAlignment="1">
      <alignment horizontal="distributed" indent="2"/>
    </xf>
    <xf numFmtId="0" fontId="5" fillId="4" borderId="7" xfId="0" applyFont="1" applyFill="1" applyBorder="1" applyAlignment="1">
      <alignment horizontal="distributed" vertical="center" indent="2"/>
    </xf>
    <xf numFmtId="0" fontId="5" fillId="4" borderId="12" xfId="0" applyFont="1" applyFill="1" applyBorder="1" applyAlignment="1">
      <alignment horizontal="distributed" vertical="center" indent="2"/>
    </xf>
    <xf numFmtId="0" fontId="10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/>
    </xf>
    <xf numFmtId="176" fontId="3" fillId="3" borderId="3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distributed" vertical="center" indent="2"/>
    </xf>
    <xf numFmtId="0" fontId="3" fillId="2" borderId="10" xfId="0" applyFont="1" applyFill="1" applyBorder="1" applyAlignment="1">
      <alignment horizontal="distributed" vertical="center" indent="2"/>
    </xf>
    <xf numFmtId="0" fontId="4" fillId="0" borderId="7" xfId="0" applyFont="1" applyBorder="1" applyAlignment="1">
      <alignment horizontal="distributed" indent="2"/>
    </xf>
    <xf numFmtId="0" fontId="2" fillId="0" borderId="0" xfId="0" applyFont="1"/>
    <xf numFmtId="0" fontId="5" fillId="6" borderId="10" xfId="0" applyFont="1" applyFill="1" applyBorder="1" applyAlignment="1">
      <alignment horizontal="distributed" vertical="center" indent="2"/>
    </xf>
    <xf numFmtId="0" fontId="5" fillId="0" borderId="10" xfId="0" applyFont="1" applyBorder="1" applyAlignment="1">
      <alignment horizontal="distributed" vertical="center" indent="2"/>
    </xf>
    <xf numFmtId="0" fontId="5" fillId="4" borderId="10" xfId="0" applyFont="1" applyFill="1" applyBorder="1" applyAlignment="1">
      <alignment horizontal="distributed" vertical="center" indent="2"/>
    </xf>
    <xf numFmtId="0" fontId="3" fillId="2" borderId="4" xfId="0" applyFont="1" applyFill="1" applyBorder="1" applyAlignment="1">
      <alignment horizontal="center" vertical="center"/>
    </xf>
    <xf numFmtId="0" fontId="4" fillId="0" borderId="6" xfId="0" applyFont="1" applyBorder="1" applyAlignment="1"/>
    <xf numFmtId="0" fontId="4" fillId="0" borderId="9" xfId="0" applyFont="1" applyBorder="1" applyAlignment="1"/>
    <xf numFmtId="3" fontId="4" fillId="0" borderId="0" xfId="0" applyNumberFormat="1" applyFont="1"/>
    <xf numFmtId="0" fontId="3" fillId="2" borderId="1" xfId="0" applyFont="1" applyFill="1" applyBorder="1" applyAlignment="1">
      <alignment horizontal="distributed" vertical="center" indent="2"/>
    </xf>
    <xf numFmtId="0" fontId="3" fillId="2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left" vertical="center" indent="1"/>
    </xf>
    <xf numFmtId="0" fontId="6" fillId="8" borderId="16" xfId="0" applyFont="1" applyFill="1" applyBorder="1" applyAlignment="1">
      <alignment horizontal="left" vertical="center" indent="1"/>
    </xf>
    <xf numFmtId="0" fontId="6" fillId="8" borderId="17" xfId="0" applyFont="1" applyFill="1" applyBorder="1" applyAlignment="1">
      <alignment horizontal="left" vertical="center" indent="1"/>
    </xf>
    <xf numFmtId="0" fontId="5" fillId="2" borderId="19" xfId="0" applyFont="1" applyFill="1" applyBorder="1" applyAlignment="1">
      <alignment horizontal="distributed" vertical="center" indent="1"/>
    </xf>
    <xf numFmtId="0" fontId="5" fillId="2" borderId="20" xfId="0" applyFont="1" applyFill="1" applyBorder="1" applyAlignment="1">
      <alignment horizontal="distributed" vertical="center" indent="1"/>
    </xf>
    <xf numFmtId="0" fontId="5" fillId="2" borderId="14" xfId="0" applyFont="1" applyFill="1" applyBorder="1" applyAlignment="1">
      <alignment horizontal="distributed" vertical="center" indent="1"/>
    </xf>
    <xf numFmtId="177" fontId="5" fillId="2" borderId="21" xfId="0" applyNumberFormat="1" applyFont="1" applyFill="1" applyBorder="1" applyAlignment="1">
      <alignment horizontal="center" vertical="center"/>
    </xf>
    <xf numFmtId="177" fontId="5" fillId="2" borderId="18" xfId="0" applyNumberFormat="1" applyFont="1" applyFill="1" applyBorder="1" applyAlignment="1">
      <alignment horizontal="center" vertical="center"/>
    </xf>
    <xf numFmtId="0" fontId="5" fillId="2" borderId="19" xfId="0" quotePrefix="1" applyFont="1" applyFill="1" applyBorder="1" applyAlignment="1">
      <alignment horizontal="right" vertical="center"/>
    </xf>
    <xf numFmtId="0" fontId="5" fillId="2" borderId="13" xfId="0" quotePrefix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9D9D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4643-EA47-45B8-A05D-0CE5A6182501}">
  <sheetPr>
    <pageSetUpPr fitToPage="1"/>
  </sheetPr>
  <dimension ref="B2:J34"/>
  <sheetViews>
    <sheetView showGridLines="0" tabSelected="1" workbookViewId="0">
      <pane xSplit="6" ySplit="5" topLeftCell="G6" activePane="bottomRight" state="frozen"/>
      <selection pane="topRight" activeCell="F1" sqref="F1"/>
      <selection pane="bottomLeft" activeCell="A6" sqref="A6"/>
      <selection pane="bottomRight" activeCell="B12" sqref="B12:F12"/>
    </sheetView>
  </sheetViews>
  <sheetFormatPr defaultRowHeight="19.95" customHeight="1" x14ac:dyDescent="0.35"/>
  <cols>
    <col min="1" max="1" width="8.796875" style="1"/>
    <col min="2" max="2" width="13.5" style="1" customWidth="1"/>
    <col min="3" max="6" width="10.5" style="1" customWidth="1"/>
    <col min="7" max="7" width="18.09765625" style="1" customWidth="1"/>
    <col min="8" max="8" width="8.796875" style="1"/>
    <col min="9" max="9" width="12.3984375" style="1" bestFit="1" customWidth="1"/>
    <col min="10" max="10" width="10.3984375" style="1" bestFit="1" customWidth="1"/>
    <col min="11" max="16384" width="8.796875" style="1"/>
  </cols>
  <sheetData>
    <row r="2" spans="2:7" ht="37.799999999999997" customHeight="1" x14ac:dyDescent="0.35">
      <c r="B2" s="17" t="s">
        <v>15</v>
      </c>
      <c r="C2" s="17"/>
      <c r="D2" s="17"/>
      <c r="E2" s="17"/>
      <c r="F2" s="17"/>
      <c r="G2" s="17"/>
    </row>
    <row r="3" spans="2:7" ht="10.050000000000001" customHeight="1" thickBot="1" x14ac:dyDescent="0.4">
      <c r="B3" s="25"/>
      <c r="C3" s="25"/>
      <c r="D3" s="25"/>
      <c r="E3" s="25"/>
      <c r="F3" s="25"/>
      <c r="G3" s="25"/>
    </row>
    <row r="4" spans="2:7" s="2" customFormat="1" ht="25.05" customHeight="1" thickBot="1" x14ac:dyDescent="0.5">
      <c r="B4" s="18" t="s">
        <v>11</v>
      </c>
      <c r="C4" s="19"/>
      <c r="D4" s="19"/>
      <c r="E4" s="20">
        <v>46183</v>
      </c>
      <c r="F4" s="20"/>
      <c r="G4" s="21"/>
    </row>
    <row r="5" spans="2:7" s="2" customFormat="1" ht="10.050000000000001" customHeight="1" thickBot="1" x14ac:dyDescent="0.5"/>
    <row r="6" spans="2:7" s="2" customFormat="1" ht="25.05" customHeight="1" x14ac:dyDescent="0.45">
      <c r="B6" s="29" t="s">
        <v>0</v>
      </c>
      <c r="C6" s="16" t="s">
        <v>6</v>
      </c>
      <c r="D6" s="16"/>
      <c r="E6" s="16"/>
      <c r="F6" s="16"/>
      <c r="G6" s="3">
        <v>44732970</v>
      </c>
    </row>
    <row r="7" spans="2:7" s="2" customFormat="1" ht="25.05" customHeight="1" x14ac:dyDescent="0.45">
      <c r="B7" s="30"/>
      <c r="C7" s="15" t="s">
        <v>7</v>
      </c>
      <c r="D7" s="15"/>
      <c r="E7" s="15"/>
      <c r="F7" s="15"/>
      <c r="G7" s="4">
        <v>4100552640</v>
      </c>
    </row>
    <row r="8" spans="2:7" s="2" customFormat="1" ht="25.05" customHeight="1" thickBot="1" x14ac:dyDescent="0.5">
      <c r="B8" s="31"/>
      <c r="C8" s="26" t="s">
        <v>8</v>
      </c>
      <c r="D8" s="26"/>
      <c r="E8" s="26"/>
      <c r="F8" s="26"/>
      <c r="G8" s="5">
        <f>SUM(G6:G7)</f>
        <v>4145285610</v>
      </c>
    </row>
    <row r="9" spans="2:7" s="2" customFormat="1" ht="12" customHeight="1" thickBot="1" x14ac:dyDescent="0.5">
      <c r="G9" s="6"/>
    </row>
    <row r="10" spans="2:7" s="2" customFormat="1" ht="25.05" customHeight="1" x14ac:dyDescent="0.45">
      <c r="B10" s="29" t="s">
        <v>16</v>
      </c>
      <c r="C10" s="16" t="s">
        <v>17</v>
      </c>
      <c r="D10" s="16"/>
      <c r="E10" s="16"/>
      <c r="F10" s="16"/>
      <c r="G10" s="7">
        <v>375448670</v>
      </c>
    </row>
    <row r="11" spans="2:7" s="2" customFormat="1" ht="25.05" customHeight="1" x14ac:dyDescent="0.45">
      <c r="B11" s="30"/>
      <c r="C11" s="15" t="s">
        <v>18</v>
      </c>
      <c r="D11" s="15"/>
      <c r="E11" s="15"/>
      <c r="F11" s="15"/>
      <c r="G11" s="4">
        <v>101909000</v>
      </c>
    </row>
    <row r="12" spans="2:7" s="2" customFormat="1" ht="25.05" customHeight="1" thickBot="1" x14ac:dyDescent="0.5">
      <c r="B12" s="22" t="s">
        <v>19</v>
      </c>
      <c r="C12" s="23"/>
      <c r="D12" s="23"/>
      <c r="E12" s="23"/>
      <c r="F12" s="23"/>
      <c r="G12" s="5">
        <f>SUM(G10:G11)</f>
        <v>477357670</v>
      </c>
    </row>
    <row r="13" spans="2:7" s="2" customFormat="1" ht="25.05" customHeight="1" thickBot="1" x14ac:dyDescent="0.5">
      <c r="B13" s="22" t="s">
        <v>20</v>
      </c>
      <c r="C13" s="23"/>
      <c r="D13" s="23"/>
      <c r="E13" s="23"/>
      <c r="F13" s="23"/>
      <c r="G13" s="5">
        <v>9111230</v>
      </c>
    </row>
    <row r="14" spans="2:7" s="2" customFormat="1" ht="25.05" customHeight="1" x14ac:dyDescent="0.45">
      <c r="B14" s="29" t="s">
        <v>12</v>
      </c>
      <c r="C14" s="16" t="s">
        <v>1</v>
      </c>
      <c r="D14" s="16"/>
      <c r="E14" s="16"/>
      <c r="F14" s="16"/>
      <c r="G14" s="3">
        <v>87830</v>
      </c>
    </row>
    <row r="15" spans="2:7" s="2" customFormat="1" ht="25.05" customHeight="1" x14ac:dyDescent="0.45">
      <c r="B15" s="34"/>
      <c r="C15" s="15" t="s">
        <v>2</v>
      </c>
      <c r="D15" s="24"/>
      <c r="E15" s="24"/>
      <c r="F15" s="24"/>
      <c r="G15" s="8">
        <v>160000</v>
      </c>
    </row>
    <row r="16" spans="2:7" s="2" customFormat="1" ht="25.05" customHeight="1" x14ac:dyDescent="0.45">
      <c r="B16" s="34"/>
      <c r="C16" s="15" t="s">
        <v>3</v>
      </c>
      <c r="D16" s="15"/>
      <c r="E16" s="15"/>
      <c r="F16" s="15"/>
      <c r="G16" s="4">
        <v>70000</v>
      </c>
    </row>
    <row r="17" spans="2:10" s="2" customFormat="1" ht="25.05" customHeight="1" x14ac:dyDescent="0.45">
      <c r="B17" s="34"/>
      <c r="C17" s="15" t="s">
        <v>4</v>
      </c>
      <c r="D17" s="15"/>
      <c r="E17" s="15"/>
      <c r="F17" s="15"/>
      <c r="G17" s="8">
        <v>-69600</v>
      </c>
    </row>
    <row r="18" spans="2:10" s="2" customFormat="1" ht="25.05" customHeight="1" thickBot="1" x14ac:dyDescent="0.5">
      <c r="B18" s="35"/>
      <c r="C18" s="28" t="s">
        <v>5</v>
      </c>
      <c r="D18" s="28"/>
      <c r="E18" s="28"/>
      <c r="F18" s="28"/>
      <c r="G18" s="12">
        <v>1567650</v>
      </c>
    </row>
    <row r="19" spans="2:10" s="2" customFormat="1" ht="25.05" customHeight="1" thickBot="1" x14ac:dyDescent="0.5">
      <c r="B19" s="13" t="s">
        <v>21</v>
      </c>
      <c r="C19" s="14"/>
      <c r="D19" s="14"/>
      <c r="E19" s="14"/>
      <c r="F19" s="14"/>
      <c r="G19" s="9">
        <f>SUM(G14:G18)</f>
        <v>1815880</v>
      </c>
    </row>
    <row r="20" spans="2:10" s="2" customFormat="1" ht="25.05" customHeight="1" thickBot="1" x14ac:dyDescent="0.5">
      <c r="B20" s="22" t="s">
        <v>22</v>
      </c>
      <c r="C20" s="23"/>
      <c r="D20" s="23"/>
      <c r="E20" s="23"/>
      <c r="F20" s="23"/>
      <c r="G20" s="5">
        <v>68215000</v>
      </c>
    </row>
    <row r="21" spans="2:10" s="2" customFormat="1" ht="25.05" customHeight="1" thickBot="1" x14ac:dyDescent="0.5">
      <c r="B21" s="33" t="s">
        <v>24</v>
      </c>
      <c r="C21" s="14"/>
      <c r="D21" s="14"/>
      <c r="E21" s="14"/>
      <c r="F21" s="14"/>
      <c r="G21" s="9">
        <f>+G12+G13-G19+G20</f>
        <v>552868020</v>
      </c>
      <c r="J21" s="32"/>
    </row>
    <row r="22" spans="2:10" s="2" customFormat="1" ht="25.05" customHeight="1" thickBot="1" x14ac:dyDescent="0.5">
      <c r="B22" s="13" t="s">
        <v>25</v>
      </c>
      <c r="C22" s="14"/>
      <c r="D22" s="14"/>
      <c r="E22" s="14"/>
      <c r="F22" s="14"/>
      <c r="G22" s="9">
        <v>29769057</v>
      </c>
    </row>
    <row r="23" spans="2:10" s="2" customFormat="1" ht="25.05" customHeight="1" thickBot="1" x14ac:dyDescent="0.5">
      <c r="B23" s="13" t="s">
        <v>26</v>
      </c>
      <c r="C23" s="14"/>
      <c r="D23" s="14"/>
      <c r="E23" s="14"/>
      <c r="F23" s="14"/>
      <c r="G23" s="10">
        <f>SUM(G21:G22)</f>
        <v>582637077</v>
      </c>
    </row>
    <row r="24" spans="2:10" s="2" customFormat="1" ht="25.05" customHeight="1" x14ac:dyDescent="0.45">
      <c r="B24" s="29" t="s">
        <v>14</v>
      </c>
      <c r="C24" s="16" t="s">
        <v>9</v>
      </c>
      <c r="D24" s="16"/>
      <c r="E24" s="16"/>
      <c r="F24" s="16"/>
      <c r="G24" s="7">
        <v>413590</v>
      </c>
    </row>
    <row r="25" spans="2:10" s="2" customFormat="1" ht="25.05" customHeight="1" x14ac:dyDescent="0.45">
      <c r="B25" s="34"/>
      <c r="C25" s="15" t="s">
        <v>10</v>
      </c>
      <c r="D25" s="15"/>
      <c r="E25" s="15"/>
      <c r="F25" s="15"/>
      <c r="G25" s="8">
        <v>3824810</v>
      </c>
    </row>
    <row r="26" spans="2:10" s="2" customFormat="1" ht="25.05" customHeight="1" x14ac:dyDescent="0.45">
      <c r="B26" s="34"/>
      <c r="C26" s="15" t="s">
        <v>13</v>
      </c>
      <c r="D26" s="15"/>
      <c r="E26" s="15"/>
      <c r="F26" s="15"/>
      <c r="G26" s="8"/>
    </row>
    <row r="27" spans="2:10" s="2" customFormat="1" ht="25.05" customHeight="1" thickBot="1" x14ac:dyDescent="0.5">
      <c r="B27" s="35"/>
      <c r="C27" s="27" t="s">
        <v>23</v>
      </c>
      <c r="D27" s="27"/>
      <c r="E27" s="27"/>
      <c r="F27" s="27"/>
      <c r="G27" s="12">
        <v>20186990</v>
      </c>
    </row>
    <row r="28" spans="2:10" s="2" customFormat="1" ht="25.05" customHeight="1" thickBot="1" x14ac:dyDescent="0.5">
      <c r="B28" s="13" t="s">
        <v>27</v>
      </c>
      <c r="C28" s="14"/>
      <c r="D28" s="14"/>
      <c r="E28" s="14"/>
      <c r="F28" s="14"/>
      <c r="G28" s="11">
        <f>SUM(G24:G27)</f>
        <v>24425390</v>
      </c>
    </row>
    <row r="29" spans="2:10" s="2" customFormat="1" ht="25.05" customHeight="1" thickBot="1" x14ac:dyDescent="0.5">
      <c r="B29" s="33" t="s">
        <v>28</v>
      </c>
      <c r="C29" s="14"/>
      <c r="D29" s="14"/>
      <c r="E29" s="14"/>
      <c r="F29" s="14"/>
      <c r="G29" s="11">
        <f>G23-G28</f>
        <v>558211687</v>
      </c>
    </row>
    <row r="30" spans="2:10" s="2" customFormat="1" ht="10.050000000000001" customHeight="1" thickBot="1" x14ac:dyDescent="0.5"/>
    <row r="31" spans="2:10" ht="19.95" customHeight="1" x14ac:dyDescent="0.35">
      <c r="B31" s="36" t="s">
        <v>29</v>
      </c>
      <c r="C31" s="37"/>
      <c r="D31" s="37"/>
      <c r="E31" s="37"/>
      <c r="F31" s="37"/>
      <c r="G31" s="38"/>
    </row>
    <row r="32" spans="2:10" ht="19.95" customHeight="1" x14ac:dyDescent="0.35">
      <c r="B32" s="39" t="s">
        <v>33</v>
      </c>
      <c r="C32" s="40"/>
      <c r="D32" s="40"/>
      <c r="E32" s="40"/>
      <c r="F32" s="42">
        <v>64</v>
      </c>
      <c r="G32" s="4">
        <v>558211687</v>
      </c>
    </row>
    <row r="33" spans="2:7" ht="19.95" customHeight="1" x14ac:dyDescent="0.35">
      <c r="B33" s="44" t="s">
        <v>32</v>
      </c>
      <c r="C33" s="40" t="s">
        <v>30</v>
      </c>
      <c r="D33" s="40"/>
      <c r="E33" s="40"/>
      <c r="F33" s="42">
        <v>24</v>
      </c>
      <c r="G33" s="8">
        <v>323221227</v>
      </c>
    </row>
    <row r="34" spans="2:7" ht="19.95" customHeight="1" thickBot="1" x14ac:dyDescent="0.4">
      <c r="B34" s="45" t="s">
        <v>32</v>
      </c>
      <c r="C34" s="41" t="s">
        <v>31</v>
      </c>
      <c r="D34" s="41"/>
      <c r="E34" s="41"/>
      <c r="F34" s="43">
        <v>40</v>
      </c>
      <c r="G34" s="12">
        <v>234990460</v>
      </c>
    </row>
  </sheetData>
  <mergeCells count="35">
    <mergeCell ref="C33:E33"/>
    <mergeCell ref="C34:E34"/>
    <mergeCell ref="B31:G31"/>
    <mergeCell ref="B32:E32"/>
    <mergeCell ref="C8:F8"/>
    <mergeCell ref="B14:B18"/>
    <mergeCell ref="C25:F25"/>
    <mergeCell ref="C27:F27"/>
    <mergeCell ref="C24:F24"/>
    <mergeCell ref="B22:F22"/>
    <mergeCell ref="B23:F23"/>
    <mergeCell ref="C18:F18"/>
    <mergeCell ref="B19:F19"/>
    <mergeCell ref="B21:F21"/>
    <mergeCell ref="C16:F16"/>
    <mergeCell ref="C17:F17"/>
    <mergeCell ref="B6:B8"/>
    <mergeCell ref="C6:F6"/>
    <mergeCell ref="C14:F14"/>
    <mergeCell ref="B2:G2"/>
    <mergeCell ref="B24:B27"/>
    <mergeCell ref="B28:F28"/>
    <mergeCell ref="B4:D4"/>
    <mergeCell ref="E4:G4"/>
    <mergeCell ref="B12:F12"/>
    <mergeCell ref="C7:F7"/>
    <mergeCell ref="C15:F15"/>
    <mergeCell ref="B3:G3"/>
    <mergeCell ref="B13:F13"/>
    <mergeCell ref="B20:F20"/>
    <mergeCell ref="B29:F29"/>
    <mergeCell ref="C26:F26"/>
    <mergeCell ref="B10:B11"/>
    <mergeCell ref="C10:F10"/>
    <mergeCell ref="C11:F11"/>
  </mergeCells>
  <phoneticPr fontId="1" type="noConversion"/>
  <printOptions horizontalCentered="1" verticalCentered="1"/>
  <pageMargins left="0.39370078740157483" right="0.39370078740157483" top="0.51181102362204722" bottom="0.51181102362204722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집계_판매수수료지급내역서</vt:lpstr>
      <vt:lpstr>집계_판매수수료지급내역서!Print_Area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azmang</dc:creator>
  <cp:lastModifiedBy>azmang</cp:lastModifiedBy>
  <cp:lastPrinted>2026-06-26T09:56:57Z</cp:lastPrinted>
  <dcterms:created xsi:type="dcterms:W3CDTF">2026-06-25T07:16:23Z</dcterms:created>
  <dcterms:modified xsi:type="dcterms:W3CDTF">2026-06-26T09:57:42Z</dcterms:modified>
</cp:coreProperties>
</file>