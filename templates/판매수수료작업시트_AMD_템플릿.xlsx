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nas\CN_AMD\판매수수료 관련자료\salary_system_claude\templates\"/>
    </mc:Choice>
  </mc:AlternateContent>
  <xr:revisionPtr revIDLastSave="0" documentId="13_ncr:1_{E266EAA9-C710-48CD-AEBF-167D528F2EC1}" xr6:coauthVersionLast="47" xr6:coauthVersionMax="47" xr10:uidLastSave="{00000000-0000-0000-0000-000000000000}"/>
  <bookViews>
    <workbookView xWindow="22932" yWindow="1644" windowWidth="23256" windowHeight="12576" xr2:uid="{00000000-000D-0000-FFFF-FFFF00000000}"/>
  </bookViews>
  <sheets>
    <sheet name="판매수수료작업시트(AMD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7" i="1" l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W4" i="1"/>
  <c r="V4" i="1"/>
  <c r="P4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D68" i="1"/>
</calcChain>
</file>

<file path=xl/sharedStrings.xml><?xml version="1.0" encoding="utf-8"?>
<sst xmlns="http://schemas.openxmlformats.org/spreadsheetml/2006/main" count="221" uniqueCount="221">
  <si>
    <t>판매수수료 작업시트 (AMD)  ▶  2026-06</t>
  </si>
  <si>
    <t>수수료</t>
  </si>
  <si>
    <t>지원금</t>
  </si>
  <si>
    <t>지급금액</t>
  </si>
  <si>
    <t>송금액</t>
  </si>
  <si>
    <t>매장명</t>
  </si>
  <si>
    <t>매출합계</t>
  </si>
  <si>
    <t>직배비+경비</t>
  </si>
  <si>
    <t>아르바이트비</t>
  </si>
  <si>
    <t>①공급가액</t>
  </si>
  <si>
    <t>②부가세</t>
  </si>
  <si>
    <t>③지급할
총액</t>
  </si>
  <si>
    <t>덜받음</t>
  </si>
  <si>
    <t>임의사은품
지급</t>
  </si>
  <si>
    <t>POS정정
요청공제</t>
  </si>
  <si>
    <t>POS정정
환급금</t>
  </si>
  <si>
    <t>유통하자
/LOSS</t>
  </si>
  <si>
    <t>전화요금
공제</t>
  </si>
  <si>
    <t>직배비공제
(V+)</t>
  </si>
  <si>
    <t>ⓗ송금액</t>
  </si>
  <si>
    <t>롯데잠실점</t>
  </si>
  <si>
    <t>조종숙</t>
  </si>
  <si>
    <t>롯데관악점</t>
  </si>
  <si>
    <t>백경님</t>
  </si>
  <si>
    <t>롯데광주점</t>
  </si>
  <si>
    <t>송미랑</t>
  </si>
  <si>
    <t>롯데강남점</t>
  </si>
  <si>
    <t>마선예</t>
  </si>
  <si>
    <t>롯데포항점</t>
  </si>
  <si>
    <t>박서영</t>
  </si>
  <si>
    <t>롯데울산점</t>
  </si>
  <si>
    <t>양미경</t>
  </si>
  <si>
    <t>롯데동래점</t>
  </si>
  <si>
    <t>최경진</t>
  </si>
  <si>
    <t>롯데창원점</t>
  </si>
  <si>
    <t>함미란</t>
  </si>
  <si>
    <t>롯데상인점</t>
  </si>
  <si>
    <t>이영옥</t>
  </si>
  <si>
    <t>롯데미아점</t>
  </si>
  <si>
    <t>차정희</t>
  </si>
  <si>
    <t>롯데구리점</t>
  </si>
  <si>
    <t>김주희</t>
  </si>
  <si>
    <t>롯데영등포점</t>
  </si>
  <si>
    <t>최종수</t>
  </si>
  <si>
    <t>롯데부산본점</t>
  </si>
  <si>
    <t>양현숙</t>
  </si>
  <si>
    <t>롯데평촌점</t>
  </si>
  <si>
    <t>최인영</t>
  </si>
  <si>
    <t>롯데안산점</t>
  </si>
  <si>
    <t>이경남</t>
  </si>
  <si>
    <t>롯데노원점</t>
  </si>
  <si>
    <t>임희선</t>
  </si>
  <si>
    <t>롯데광복점</t>
  </si>
  <si>
    <t>양선희</t>
  </si>
  <si>
    <t>롯데수원점</t>
  </si>
  <si>
    <t>장양옥</t>
  </si>
  <si>
    <t>롯데대구점</t>
  </si>
  <si>
    <t>황정애</t>
  </si>
  <si>
    <t>롯데전주점</t>
  </si>
  <si>
    <t>송은주</t>
  </si>
  <si>
    <t>롯데인천터미널점</t>
  </si>
  <si>
    <t>정광옥</t>
  </si>
  <si>
    <t>롯데동탄점</t>
  </si>
  <si>
    <t>최혜진</t>
  </si>
  <si>
    <t>현대천호점</t>
  </si>
  <si>
    <t>이은영</t>
  </si>
  <si>
    <t>현대울산점</t>
  </si>
  <si>
    <t>이현래</t>
  </si>
  <si>
    <t>현대미아점</t>
  </si>
  <si>
    <t>전혜정</t>
  </si>
  <si>
    <t>현대중동점</t>
  </si>
  <si>
    <t>이명희</t>
  </si>
  <si>
    <t>현대킨텍스점</t>
  </si>
  <si>
    <t>이희선</t>
  </si>
  <si>
    <t>현대대구점</t>
  </si>
  <si>
    <t>김종숙</t>
  </si>
  <si>
    <t>현대충청점</t>
  </si>
  <si>
    <t>송경아</t>
  </si>
  <si>
    <t>현대동구점</t>
  </si>
  <si>
    <t>백수연</t>
  </si>
  <si>
    <t>현대판교점</t>
  </si>
  <si>
    <t>김은영</t>
  </si>
  <si>
    <t>현대신촌점</t>
  </si>
  <si>
    <t>이은정</t>
  </si>
  <si>
    <t>신세계광주점</t>
  </si>
  <si>
    <t>김문희</t>
  </si>
  <si>
    <t>신세계마산점</t>
  </si>
  <si>
    <t>이윤옥</t>
  </si>
  <si>
    <t>신세계강남점</t>
  </si>
  <si>
    <t>유태하</t>
  </si>
  <si>
    <t>신세계경기점</t>
  </si>
  <si>
    <t>류영순</t>
  </si>
  <si>
    <t>신세계센텀점</t>
  </si>
  <si>
    <t>강은정</t>
  </si>
  <si>
    <t>신세계타임스퀘어점</t>
  </si>
  <si>
    <t>배향선</t>
  </si>
  <si>
    <t>신세계천안아산점</t>
  </si>
  <si>
    <t>김도희</t>
  </si>
  <si>
    <t>신세계의정부점</t>
  </si>
  <si>
    <t>강보인</t>
  </si>
  <si>
    <t>신세계김해점</t>
  </si>
  <si>
    <t>김경숙</t>
  </si>
  <si>
    <t>신세계스타필드하남점</t>
  </si>
  <si>
    <t>조정화</t>
  </si>
  <si>
    <t>신세계대구점</t>
  </si>
  <si>
    <t>진미현</t>
  </si>
  <si>
    <t>신세계대전점</t>
  </si>
  <si>
    <t>김수영</t>
  </si>
  <si>
    <t>갤러리아천안점</t>
  </si>
  <si>
    <t>김미옥</t>
  </si>
  <si>
    <t>갤러리아광교점</t>
  </si>
  <si>
    <t>이현주</t>
  </si>
  <si>
    <t>갤러리아진주점</t>
  </si>
  <si>
    <t>구영주</t>
  </si>
  <si>
    <t>갤러리아타임월드점</t>
  </si>
  <si>
    <t>김민주</t>
  </si>
  <si>
    <t>AK프라자분당점</t>
  </si>
  <si>
    <t>최미희자</t>
  </si>
  <si>
    <t>AK프라자수원점</t>
  </si>
  <si>
    <t>김병희</t>
  </si>
  <si>
    <t>신세계본점</t>
  </si>
  <si>
    <t>김은주</t>
  </si>
  <si>
    <t>롯데아울렛김해점</t>
  </si>
  <si>
    <t>김점희</t>
  </si>
  <si>
    <t>롯데아울렛이천점</t>
  </si>
  <si>
    <t>최혜영</t>
  </si>
  <si>
    <t>롯데아울렛광명점</t>
  </si>
  <si>
    <t>홍인숙</t>
  </si>
  <si>
    <t>롯데아울렛고양점</t>
  </si>
  <si>
    <t>윤효숙</t>
  </si>
  <si>
    <t>롯데아울렛광교점</t>
  </si>
  <si>
    <t>최금요</t>
  </si>
  <si>
    <t>롯데아울렛군산점</t>
  </si>
  <si>
    <t>지민숙</t>
  </si>
  <si>
    <t>롯데아울렛동부산점</t>
  </si>
  <si>
    <t>김헌정</t>
  </si>
  <si>
    <t>LF스퀘어양주점</t>
  </si>
  <si>
    <t>신영숙</t>
  </si>
  <si>
    <t>신세계아울렛파주점</t>
  </si>
  <si>
    <t>김나연</t>
  </si>
  <si>
    <t>현대아울렛대전점</t>
  </si>
  <si>
    <t>장은영</t>
  </si>
  <si>
    <t>현대아울렛남양주점</t>
  </si>
  <si>
    <t>김지현</t>
  </si>
  <si>
    <t>세액공제
(별도)</t>
    <phoneticPr fontId="7" type="noConversion"/>
  </si>
  <si>
    <t>매장
코드</t>
  </si>
  <si>
    <t>매니저</t>
  </si>
  <si>
    <t>00101</t>
  </si>
  <si>
    <t>00102</t>
  </si>
  <si>
    <t>00106</t>
  </si>
  <si>
    <t>00110</t>
  </si>
  <si>
    <t>00111</t>
  </si>
  <si>
    <t>00112</t>
  </si>
  <si>
    <t>00113</t>
  </si>
  <si>
    <t>00114</t>
  </si>
  <si>
    <t>00119</t>
  </si>
  <si>
    <t>00120</t>
  </si>
  <si>
    <t>00125</t>
  </si>
  <si>
    <t>00126</t>
  </si>
  <si>
    <t>00128</t>
  </si>
  <si>
    <t>00129</t>
  </si>
  <si>
    <t>00130</t>
  </si>
  <si>
    <t>00131</t>
  </si>
  <si>
    <t>00132</t>
  </si>
  <si>
    <t>00135</t>
  </si>
  <si>
    <t>00137</t>
  </si>
  <si>
    <t>00139</t>
  </si>
  <si>
    <t>00141</t>
  </si>
  <si>
    <t>00142</t>
  </si>
  <si>
    <t>00201</t>
  </si>
  <si>
    <t>00203</t>
  </si>
  <si>
    <t>00207</t>
  </si>
  <si>
    <t>현대압구정본점</t>
    <phoneticPr fontId="7" type="noConversion"/>
  </si>
  <si>
    <t>00208</t>
  </si>
  <si>
    <t>00210</t>
  </si>
  <si>
    <t>00212</t>
  </si>
  <si>
    <t>00213</t>
  </si>
  <si>
    <t>00214</t>
  </si>
  <si>
    <t>00218</t>
  </si>
  <si>
    <t>00219</t>
  </si>
  <si>
    <t>00222</t>
  </si>
  <si>
    <t>00301</t>
  </si>
  <si>
    <t>00303</t>
  </si>
  <si>
    <t>00304</t>
  </si>
  <si>
    <t>00306</t>
  </si>
  <si>
    <t>00307</t>
  </si>
  <si>
    <t>00308</t>
  </si>
  <si>
    <t>00309</t>
  </si>
  <si>
    <t>00310</t>
  </si>
  <si>
    <t>00311</t>
  </si>
  <si>
    <t>00313</t>
  </si>
  <si>
    <t>00314</t>
  </si>
  <si>
    <t>00315</t>
  </si>
  <si>
    <t>00503</t>
  </si>
  <si>
    <t>00504</t>
  </si>
  <si>
    <t>00505</t>
  </si>
  <si>
    <t>00506</t>
  </si>
  <si>
    <t>00601</t>
  </si>
  <si>
    <t>00603</t>
  </si>
  <si>
    <t>01305</t>
  </si>
  <si>
    <t>05002</t>
  </si>
  <si>
    <t>05003</t>
  </si>
  <si>
    <t>05004</t>
  </si>
  <si>
    <t>05005</t>
  </si>
  <si>
    <t>05006</t>
  </si>
  <si>
    <t>05007</t>
  </si>
  <si>
    <t>05009</t>
  </si>
  <si>
    <t>05014</t>
  </si>
  <si>
    <t>롯데아울렛서울역점</t>
  </si>
  <si>
    <t>05201</t>
  </si>
  <si>
    <t>05552</t>
  </si>
  <si>
    <t>05601</t>
  </si>
  <si>
    <t>05602</t>
  </si>
  <si>
    <t>합  계  (64개 매장)</t>
  </si>
  <si>
    <t>본사-M</t>
  </si>
  <si>
    <t>본사-S1</t>
  </si>
  <si>
    <t>중간관리수수료</t>
    <phoneticPr fontId="7" type="noConversion"/>
  </si>
  <si>
    <t>판매수수료
합계</t>
    <phoneticPr fontId="7" type="noConversion"/>
  </si>
  <si>
    <t>기타공제</t>
    <phoneticPr fontId="7" type="noConversion"/>
  </si>
  <si>
    <t>ⓕ기타공제합계</t>
    <phoneticPr fontId="7" type="noConversion"/>
  </si>
  <si>
    <t>공제항목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</si>
</sst>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276221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sz val="9"/>
      <color rgb="FF555555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9"/>
      <color theme="0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b/>
      <sz val="8"/>
      <name val="맑은 고딕"/>
      <family val="3"/>
      <charset val="129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EAA"/>
      </patternFill>
    </fill>
    <fill>
      <patternFill patternType="solid">
        <fgColor rgb="FF375623"/>
      </patternFill>
    </fill>
    <fill>
      <patternFill patternType="solid">
        <fgColor rgb="FF4472C4"/>
      </patternFill>
    </fill>
    <fill>
      <patternFill patternType="solid">
        <fgColor rgb="FF276221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70AD4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6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/>
    </xf>
    <xf numFmtId="3" fontId="3" fillId="7" borderId="5" xfId="0" applyNumberFormat="1" applyFont="1" applyFill="1" applyBorder="1" applyAlignment="1">
      <alignment horizontal="center" vertical="center"/>
    </xf>
    <xf numFmtId="3" fontId="4" fillId="8" borderId="5" xfId="0" applyNumberFormat="1" applyFont="1" applyFill="1" applyBorder="1" applyAlignment="1">
      <alignment horizontal="center" vertical="center"/>
    </xf>
    <xf numFmtId="3" fontId="5" fillId="9" borderId="6" xfId="0" applyNumberFormat="1" applyFont="1" applyFill="1" applyBorder="1" applyAlignment="1">
      <alignment horizontal="center" vertical="center"/>
    </xf>
    <xf numFmtId="3" fontId="3" fillId="10" borderId="5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 wrapText="1"/>
    </xf>
    <xf numFmtId="3" fontId="3" fillId="11" borderId="5" xfId="0" applyNumberFormat="1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 wrapText="1"/>
    </xf>
    <xf numFmtId="3" fontId="10" fillId="14" borderId="8" xfId="0" applyNumberFormat="1" applyFont="1" applyFill="1" applyBorder="1" applyAlignment="1">
      <alignment horizontal="center" vertical="center"/>
    </xf>
    <xf numFmtId="3" fontId="11" fillId="14" borderId="5" xfId="0" applyNumberFormat="1" applyFont="1" applyFill="1" applyBorder="1" applyAlignment="1">
      <alignment horizontal="center" vertical="center"/>
    </xf>
    <xf numFmtId="3" fontId="12" fillId="14" borderId="5" xfId="0" applyNumberFormat="1" applyFont="1" applyFill="1" applyBorder="1" applyAlignment="1">
      <alignment horizontal="center" vertical="center"/>
    </xf>
    <xf numFmtId="3" fontId="12" fillId="14" borderId="6" xfId="0" applyNumberFormat="1" applyFont="1" applyFill="1" applyBorder="1" applyAlignment="1">
      <alignment horizontal="center" vertical="center"/>
    </xf>
    <xf numFmtId="0" fontId="13" fillId="15" borderId="5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0" fillId="0" borderId="8" xfId="0" applyBorder="1"/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14" fillId="15" borderId="11" xfId="0" applyFont="1" applyFill="1" applyBorder="1" applyAlignment="1">
      <alignment horizontal="center"/>
    </xf>
    <xf numFmtId="0" fontId="14" fillId="15" borderId="12" xfId="0" applyFont="1" applyFill="1" applyBorder="1" applyAlignment="1">
      <alignment horizontal="center"/>
    </xf>
    <xf numFmtId="0" fontId="14" fillId="15" borderId="13" xfId="0" applyFont="1" applyFill="1" applyBorder="1" applyAlignment="1">
      <alignment horizontal="center"/>
    </xf>
    <xf numFmtId="0" fontId="15" fillId="16" borderId="11" xfId="0" applyFont="1" applyFill="1" applyBorder="1" applyAlignment="1">
      <alignment horizontal="center"/>
    </xf>
    <xf numFmtId="0" fontId="15" fillId="16" borderId="12" xfId="0" applyFont="1" applyFill="1" applyBorder="1" applyAlignment="1">
      <alignment horizontal="center"/>
    </xf>
    <xf numFmtId="0" fontId="15" fillId="16" borderId="13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 vertical="center"/>
    </xf>
    <xf numFmtId="0" fontId="0" fillId="13" borderId="2" xfId="0" applyFill="1" applyBorder="1"/>
    <xf numFmtId="0" fontId="2" fillId="4" borderId="2" xfId="0" applyFont="1" applyFill="1" applyBorder="1" applyAlignment="1">
      <alignment horizontal="center" vertical="center"/>
    </xf>
    <xf numFmtId="0" fontId="0" fillId="0" borderId="2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5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8" fillId="2" borderId="2" xfId="0" applyFont="1" applyFill="1" applyBorder="1" applyAlignment="1">
      <alignment horizontal="center" vertical="center"/>
    </xf>
    <xf numFmtId="0" fontId="0" fillId="0" borderId="5" xfId="0" applyBorder="1"/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1F3864"/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"/>
  <sheetViews>
    <sheetView showGridLines="0" tabSelected="1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P4" sqref="P4"/>
    </sheetView>
  </sheetViews>
  <sheetFormatPr defaultColWidth="5.09765625" defaultRowHeight="17.399999999999999" x14ac:dyDescent="0.4"/>
  <cols>
    <col min="1" max="1" width="5.19921875" bestFit="1" customWidth="1"/>
    <col min="2" max="2" width="16.796875" bestFit="1" customWidth="1"/>
    <col min="3" max="3" width="7.19921875" bestFit="1" customWidth="1"/>
    <col min="4" max="4" width="12.796875" bestFit="1" customWidth="1"/>
    <col min="5" max="6" width="7.3984375" bestFit="1" customWidth="1"/>
    <col min="7" max="7" width="6.3984375" bestFit="1" customWidth="1"/>
    <col min="8" max="8" width="12.796875" bestFit="1" customWidth="1"/>
    <col min="9" max="9" width="6.296875" bestFit="1" customWidth="1"/>
    <col min="10" max="10" width="7.3984375" bestFit="1" customWidth="1"/>
    <col min="11" max="15" width="7.3984375" customWidth="1"/>
    <col min="16" max="16" width="8.19921875" bestFit="1" customWidth="1"/>
    <col min="17" max="17" width="7.3984375" bestFit="1" customWidth="1"/>
    <col min="18" max="18" width="9.3984375" bestFit="1" customWidth="1"/>
    <col min="19" max="20" width="6.3984375" bestFit="1" customWidth="1"/>
    <col min="21" max="21" width="7.69921875" bestFit="1" customWidth="1"/>
    <col min="22" max="22" width="6.296875" bestFit="1" customWidth="1"/>
    <col min="23" max="23" width="9.3984375" bestFit="1" customWidth="1"/>
  </cols>
  <sheetData>
    <row r="1" spans="1:23" ht="28.05" customHeight="1" thickBot="1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2" spans="1:23" ht="13.95" customHeight="1" thickBot="1" x14ac:dyDescent="0.45">
      <c r="A2" s="41" t="s">
        <v>145</v>
      </c>
      <c r="B2" s="43" t="s">
        <v>5</v>
      </c>
      <c r="C2" s="43" t="s">
        <v>146</v>
      </c>
      <c r="D2" s="26" t="s">
        <v>6</v>
      </c>
      <c r="E2" s="34" t="s">
        <v>1</v>
      </c>
      <c r="F2" s="35"/>
      <c r="G2" s="35"/>
      <c r="H2" s="35"/>
      <c r="I2" s="36" t="s">
        <v>2</v>
      </c>
      <c r="J2" s="37"/>
      <c r="K2" s="31" t="s">
        <v>220</v>
      </c>
      <c r="L2" s="32"/>
      <c r="M2" s="32"/>
      <c r="N2" s="32"/>
      <c r="O2" s="33"/>
      <c r="P2" s="40" t="s">
        <v>3</v>
      </c>
      <c r="Q2" s="37"/>
      <c r="R2" s="37"/>
      <c r="S2" s="28" t="s">
        <v>218</v>
      </c>
      <c r="T2" s="29"/>
      <c r="U2" s="29"/>
      <c r="V2" s="30"/>
      <c r="W2" s="1" t="s">
        <v>4</v>
      </c>
    </row>
    <row r="3" spans="1:23" ht="30" customHeight="1" x14ac:dyDescent="0.4">
      <c r="A3" s="42"/>
      <c r="B3" s="44"/>
      <c r="C3" s="44"/>
      <c r="D3" s="27"/>
      <c r="E3" s="17" t="s">
        <v>214</v>
      </c>
      <c r="F3" s="15" t="s">
        <v>215</v>
      </c>
      <c r="G3" s="15" t="s">
        <v>216</v>
      </c>
      <c r="H3" s="15" t="s">
        <v>217</v>
      </c>
      <c r="I3" s="2" t="s">
        <v>7</v>
      </c>
      <c r="J3" s="2" t="s">
        <v>8</v>
      </c>
      <c r="K3" s="23" t="s">
        <v>12</v>
      </c>
      <c r="L3" s="23" t="s">
        <v>13</v>
      </c>
      <c r="M3" s="23" t="s">
        <v>14</v>
      </c>
      <c r="N3" s="23" t="s">
        <v>15</v>
      </c>
      <c r="O3" s="23" t="s">
        <v>16</v>
      </c>
      <c r="P3" s="3" t="s">
        <v>9</v>
      </c>
      <c r="Q3" s="3" t="s">
        <v>10</v>
      </c>
      <c r="R3" s="3" t="s">
        <v>11</v>
      </c>
      <c r="S3" s="22" t="s">
        <v>17</v>
      </c>
      <c r="T3" s="22" t="s">
        <v>144</v>
      </c>
      <c r="U3" s="22" t="s">
        <v>18</v>
      </c>
      <c r="V3" s="22" t="s">
        <v>219</v>
      </c>
      <c r="W3" s="4" t="s">
        <v>19</v>
      </c>
    </row>
    <row r="4" spans="1:23" ht="16.95" customHeight="1" x14ac:dyDescent="0.4">
      <c r="A4" s="10" t="s">
        <v>147</v>
      </c>
      <c r="B4" s="11" t="s">
        <v>20</v>
      </c>
      <c r="C4" s="5" t="s">
        <v>21</v>
      </c>
      <c r="D4" s="6">
        <v>100201320</v>
      </c>
      <c r="E4" s="6">
        <v>3000060</v>
      </c>
      <c r="F4" s="6">
        <v>2500050</v>
      </c>
      <c r="G4" s="6"/>
      <c r="H4" s="6">
        <f t="shared" ref="H4:H35" si="0">SUM(E4:G4)</f>
        <v>5500110</v>
      </c>
      <c r="I4" s="6">
        <v>421900</v>
      </c>
      <c r="J4" s="6">
        <v>2660000</v>
      </c>
      <c r="K4" s="6">
        <v>0</v>
      </c>
      <c r="L4" s="6">
        <v>0</v>
      </c>
      <c r="M4" s="6">
        <v>0</v>
      </c>
      <c r="N4" s="6">
        <v>630</v>
      </c>
      <c r="O4" s="6">
        <v>0</v>
      </c>
      <c r="P4" s="6">
        <f>SUM(H4:J4)-SUM(K4:M4,O4)+N4</f>
        <v>8582640</v>
      </c>
      <c r="Q4" s="6">
        <v>0</v>
      </c>
      <c r="R4" s="7">
        <f>SUM(P4:Q4)</f>
        <v>8582640</v>
      </c>
      <c r="S4" s="6">
        <v>0</v>
      </c>
      <c r="T4" s="6">
        <v>183070</v>
      </c>
      <c r="U4" s="6">
        <v>0</v>
      </c>
      <c r="V4" s="6">
        <f>SUM(S4:U4)</f>
        <v>183070</v>
      </c>
      <c r="W4" s="8">
        <f>R4-V4</f>
        <v>8399570</v>
      </c>
    </row>
    <row r="5" spans="1:23" ht="16.95" customHeight="1" x14ac:dyDescent="0.4">
      <c r="A5" s="12" t="s">
        <v>148</v>
      </c>
      <c r="B5" s="13" t="s">
        <v>22</v>
      </c>
      <c r="C5" s="14" t="s">
        <v>23</v>
      </c>
      <c r="D5" s="6">
        <v>0</v>
      </c>
      <c r="E5" s="9">
        <v>2646210</v>
      </c>
      <c r="F5" s="9">
        <v>2126750</v>
      </c>
      <c r="G5" s="6"/>
      <c r="H5" s="6">
        <f t="shared" si="0"/>
        <v>4772960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f t="shared" ref="P5:P67" si="1">SUM(H5:J5)-SUM(K5:M5,O5)+N5</f>
        <v>4772960</v>
      </c>
      <c r="Q5" s="6">
        <v>0</v>
      </c>
      <c r="R5" s="7">
        <f t="shared" ref="R5:R67" si="2">SUM(P5:Q5)</f>
        <v>4772960</v>
      </c>
      <c r="S5" s="6">
        <v>0</v>
      </c>
      <c r="T5" s="6">
        <v>0</v>
      </c>
      <c r="U5" s="6">
        <v>0</v>
      </c>
      <c r="V5" s="6">
        <f t="shared" ref="V5:V67" si="3">SUM(S5:U5)</f>
        <v>0</v>
      </c>
      <c r="W5" s="8">
        <f t="shared" ref="W5:W67" si="4">R5-V5</f>
        <v>4772960</v>
      </c>
    </row>
    <row r="6" spans="1:23" ht="16.95" customHeight="1" x14ac:dyDescent="0.4">
      <c r="A6" s="10" t="s">
        <v>149</v>
      </c>
      <c r="B6" s="11" t="s">
        <v>24</v>
      </c>
      <c r="C6" s="5" t="s">
        <v>25</v>
      </c>
      <c r="D6" s="9">
        <v>22763390</v>
      </c>
      <c r="E6" s="16">
        <v>0</v>
      </c>
      <c r="F6" s="16">
        <v>0</v>
      </c>
      <c r="G6" s="9"/>
      <c r="H6" s="6">
        <f t="shared" si="0"/>
        <v>0</v>
      </c>
      <c r="I6" s="9">
        <v>51300</v>
      </c>
      <c r="J6" s="9">
        <v>0</v>
      </c>
      <c r="K6" s="9">
        <v>0</v>
      </c>
      <c r="L6" s="9">
        <v>0</v>
      </c>
      <c r="M6" s="9">
        <v>0</v>
      </c>
      <c r="N6" s="9">
        <v>630</v>
      </c>
      <c r="O6" s="9">
        <v>0</v>
      </c>
      <c r="P6" s="9">
        <f t="shared" si="1"/>
        <v>51930</v>
      </c>
      <c r="Q6" s="9">
        <v>0</v>
      </c>
      <c r="R6" s="7">
        <f t="shared" si="2"/>
        <v>51930</v>
      </c>
      <c r="S6" s="9">
        <v>0</v>
      </c>
      <c r="T6" s="9">
        <v>0</v>
      </c>
      <c r="U6" s="9">
        <v>0</v>
      </c>
      <c r="V6" s="9">
        <f t="shared" si="3"/>
        <v>0</v>
      </c>
      <c r="W6" s="8">
        <f t="shared" si="4"/>
        <v>51930</v>
      </c>
    </row>
    <row r="7" spans="1:23" ht="16.95" customHeight="1" x14ac:dyDescent="0.4">
      <c r="A7" s="12" t="s">
        <v>150</v>
      </c>
      <c r="B7" s="13" t="s">
        <v>26</v>
      </c>
      <c r="C7" s="14" t="s">
        <v>27</v>
      </c>
      <c r="D7" s="9">
        <v>0</v>
      </c>
      <c r="E7" s="9">
        <v>2600140</v>
      </c>
      <c r="F7" s="9">
        <v>2200080</v>
      </c>
      <c r="G7" s="9"/>
      <c r="H7" s="6">
        <f t="shared" si="0"/>
        <v>4800220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f t="shared" si="1"/>
        <v>4800220</v>
      </c>
      <c r="Q7" s="9">
        <v>0</v>
      </c>
      <c r="R7" s="7">
        <f t="shared" si="2"/>
        <v>4800220</v>
      </c>
      <c r="S7" s="9">
        <v>0</v>
      </c>
      <c r="T7" s="9">
        <v>0</v>
      </c>
      <c r="U7" s="9">
        <v>0</v>
      </c>
      <c r="V7" s="9">
        <f t="shared" si="3"/>
        <v>0</v>
      </c>
      <c r="W7" s="8">
        <f t="shared" si="4"/>
        <v>4800220</v>
      </c>
    </row>
    <row r="8" spans="1:23" ht="16.95" customHeight="1" x14ac:dyDescent="0.4">
      <c r="A8" s="10" t="s">
        <v>151</v>
      </c>
      <c r="B8" s="11" t="s">
        <v>28</v>
      </c>
      <c r="C8" s="5" t="s">
        <v>29</v>
      </c>
      <c r="D8" s="6">
        <v>57336630</v>
      </c>
      <c r="E8" s="16">
        <v>0</v>
      </c>
      <c r="F8" s="16">
        <v>0</v>
      </c>
      <c r="G8" s="6"/>
      <c r="H8" s="6">
        <f t="shared" si="0"/>
        <v>0</v>
      </c>
      <c r="I8" s="6">
        <v>0</v>
      </c>
      <c r="J8" s="6">
        <v>0</v>
      </c>
      <c r="K8" s="6">
        <v>0</v>
      </c>
      <c r="L8" s="6">
        <v>10000</v>
      </c>
      <c r="M8" s="6">
        <v>0</v>
      </c>
      <c r="N8" s="6">
        <v>630</v>
      </c>
      <c r="O8" s="6">
        <v>0</v>
      </c>
      <c r="P8" s="6">
        <f t="shared" si="1"/>
        <v>-9370</v>
      </c>
      <c r="Q8" s="6">
        <v>787423</v>
      </c>
      <c r="R8" s="7">
        <f t="shared" si="2"/>
        <v>778053</v>
      </c>
      <c r="S8" s="6">
        <v>44680</v>
      </c>
      <c r="T8" s="6">
        <v>0</v>
      </c>
      <c r="U8" s="6">
        <v>98560</v>
      </c>
      <c r="V8" s="6">
        <f t="shared" si="3"/>
        <v>143240</v>
      </c>
      <c r="W8" s="8">
        <f t="shared" si="4"/>
        <v>634813</v>
      </c>
    </row>
    <row r="9" spans="1:23" ht="16.95" customHeight="1" x14ac:dyDescent="0.4">
      <c r="A9" s="12" t="s">
        <v>152</v>
      </c>
      <c r="B9" s="13" t="s">
        <v>30</v>
      </c>
      <c r="C9" s="14" t="s">
        <v>31</v>
      </c>
      <c r="D9" s="9">
        <v>40961060</v>
      </c>
      <c r="E9" s="16">
        <v>0</v>
      </c>
      <c r="F9" s="16">
        <v>0</v>
      </c>
      <c r="G9" s="9"/>
      <c r="H9" s="6">
        <f t="shared" si="0"/>
        <v>0</v>
      </c>
      <c r="I9" s="9">
        <v>178500</v>
      </c>
      <c r="J9" s="9">
        <v>720000</v>
      </c>
      <c r="K9" s="9">
        <v>0</v>
      </c>
      <c r="L9" s="9">
        <v>0</v>
      </c>
      <c r="M9" s="9">
        <v>0</v>
      </c>
      <c r="N9" s="9">
        <v>630</v>
      </c>
      <c r="O9" s="9">
        <v>0</v>
      </c>
      <c r="P9" s="9">
        <f t="shared" si="1"/>
        <v>899130</v>
      </c>
      <c r="Q9" s="9">
        <v>0</v>
      </c>
      <c r="R9" s="7">
        <f t="shared" si="2"/>
        <v>899130</v>
      </c>
      <c r="S9" s="9">
        <v>0</v>
      </c>
      <c r="T9" s="9">
        <v>6480</v>
      </c>
      <c r="U9" s="9">
        <v>0</v>
      </c>
      <c r="V9" s="9">
        <f t="shared" si="3"/>
        <v>6480</v>
      </c>
      <c r="W9" s="8">
        <f t="shared" si="4"/>
        <v>892650</v>
      </c>
    </row>
    <row r="10" spans="1:23" ht="16.95" customHeight="1" x14ac:dyDescent="0.4">
      <c r="A10" s="10" t="s">
        <v>153</v>
      </c>
      <c r="B10" s="11" t="s">
        <v>32</v>
      </c>
      <c r="C10" s="5" t="s">
        <v>33</v>
      </c>
      <c r="D10" s="9">
        <v>0</v>
      </c>
      <c r="E10" s="16">
        <v>0</v>
      </c>
      <c r="F10" s="16">
        <v>0</v>
      </c>
      <c r="G10" s="9"/>
      <c r="H10" s="6">
        <f t="shared" si="0"/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f t="shared" si="1"/>
        <v>0</v>
      </c>
      <c r="Q10" s="9">
        <v>0</v>
      </c>
      <c r="R10" s="7">
        <f t="shared" si="2"/>
        <v>0</v>
      </c>
      <c r="S10" s="9">
        <v>0</v>
      </c>
      <c r="T10" s="9">
        <v>0</v>
      </c>
      <c r="U10" s="9">
        <v>0</v>
      </c>
      <c r="V10" s="9">
        <f t="shared" si="3"/>
        <v>0</v>
      </c>
      <c r="W10" s="8">
        <f t="shared" si="4"/>
        <v>0</v>
      </c>
    </row>
    <row r="11" spans="1:23" ht="16.95" customHeight="1" x14ac:dyDescent="0.4">
      <c r="A11" s="12" t="s">
        <v>154</v>
      </c>
      <c r="B11" s="13" t="s">
        <v>34</v>
      </c>
      <c r="C11" s="14" t="s">
        <v>35</v>
      </c>
      <c r="D11" s="6">
        <v>61151450</v>
      </c>
      <c r="E11" s="16">
        <v>0</v>
      </c>
      <c r="F11" s="16">
        <v>0</v>
      </c>
      <c r="G11" s="6"/>
      <c r="H11" s="6">
        <f t="shared" si="0"/>
        <v>0</v>
      </c>
      <c r="I11" s="6">
        <v>0</v>
      </c>
      <c r="J11" s="6">
        <v>0</v>
      </c>
      <c r="K11" s="6">
        <v>3000</v>
      </c>
      <c r="L11" s="6">
        <v>0</v>
      </c>
      <c r="M11" s="6">
        <v>5000</v>
      </c>
      <c r="N11" s="6">
        <v>0</v>
      </c>
      <c r="O11" s="6">
        <v>0</v>
      </c>
      <c r="P11" s="6">
        <f t="shared" si="1"/>
        <v>-8000</v>
      </c>
      <c r="Q11" s="6">
        <v>915312</v>
      </c>
      <c r="R11" s="7">
        <f t="shared" si="2"/>
        <v>907312</v>
      </c>
      <c r="S11" s="6">
        <v>17990</v>
      </c>
      <c r="T11" s="6">
        <v>0</v>
      </c>
      <c r="U11" s="6">
        <v>0</v>
      </c>
      <c r="V11" s="6">
        <f t="shared" si="3"/>
        <v>17990</v>
      </c>
      <c r="W11" s="8">
        <f t="shared" si="4"/>
        <v>889322</v>
      </c>
    </row>
    <row r="12" spans="1:23" ht="16.95" customHeight="1" x14ac:dyDescent="0.4">
      <c r="A12" s="10" t="s">
        <v>155</v>
      </c>
      <c r="B12" s="11" t="s">
        <v>36</v>
      </c>
      <c r="C12" s="5" t="s">
        <v>37</v>
      </c>
      <c r="D12" s="9">
        <v>34346630</v>
      </c>
      <c r="E12" s="6">
        <v>2700240</v>
      </c>
      <c r="F12" s="6">
        <v>2200080</v>
      </c>
      <c r="G12" s="9"/>
      <c r="H12" s="6">
        <f t="shared" si="0"/>
        <v>4900320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630</v>
      </c>
      <c r="O12" s="9">
        <v>0</v>
      </c>
      <c r="P12" s="9">
        <f t="shared" si="1"/>
        <v>4900950</v>
      </c>
      <c r="Q12" s="9">
        <v>611900</v>
      </c>
      <c r="R12" s="7">
        <f t="shared" si="2"/>
        <v>5512850</v>
      </c>
      <c r="S12" s="9">
        <v>5950</v>
      </c>
      <c r="T12" s="9">
        <v>0</v>
      </c>
      <c r="U12" s="9">
        <v>0</v>
      </c>
      <c r="V12" s="9">
        <f t="shared" si="3"/>
        <v>5950</v>
      </c>
      <c r="W12" s="8">
        <f t="shared" si="4"/>
        <v>5506900</v>
      </c>
    </row>
    <row r="13" spans="1:23" ht="16.95" customHeight="1" x14ac:dyDescent="0.4">
      <c r="A13" s="12" t="s">
        <v>156</v>
      </c>
      <c r="B13" s="13" t="s">
        <v>38</v>
      </c>
      <c r="C13" s="14" t="s">
        <v>39</v>
      </c>
      <c r="D13" s="6">
        <v>24971050</v>
      </c>
      <c r="E13" s="9">
        <v>2620160</v>
      </c>
      <c r="F13" s="9">
        <v>0</v>
      </c>
      <c r="G13" s="6"/>
      <c r="H13" s="6">
        <f t="shared" si="0"/>
        <v>2620160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630</v>
      </c>
      <c r="O13" s="6">
        <v>0</v>
      </c>
      <c r="P13" s="6">
        <f t="shared" si="1"/>
        <v>2620790</v>
      </c>
      <c r="Q13" s="6">
        <v>472812</v>
      </c>
      <c r="R13" s="7">
        <f t="shared" si="2"/>
        <v>3093602</v>
      </c>
      <c r="S13" s="6">
        <v>7440</v>
      </c>
      <c r="T13" s="6">
        <v>0</v>
      </c>
      <c r="U13" s="6">
        <v>8030</v>
      </c>
      <c r="V13" s="6">
        <f t="shared" si="3"/>
        <v>15470</v>
      </c>
      <c r="W13" s="8">
        <f t="shared" si="4"/>
        <v>3078132</v>
      </c>
    </row>
    <row r="14" spans="1:23" ht="16.95" customHeight="1" x14ac:dyDescent="0.4">
      <c r="A14" s="10" t="s">
        <v>157</v>
      </c>
      <c r="B14" s="11" t="s">
        <v>40</v>
      </c>
      <c r="C14" s="5" t="s">
        <v>41</v>
      </c>
      <c r="D14" s="9">
        <v>73935390</v>
      </c>
      <c r="E14" s="6">
        <v>2625230</v>
      </c>
      <c r="F14" s="6">
        <v>2300160</v>
      </c>
      <c r="G14" s="9"/>
      <c r="H14" s="6">
        <f t="shared" si="0"/>
        <v>4925390</v>
      </c>
      <c r="I14" s="9">
        <v>254500</v>
      </c>
      <c r="J14" s="9">
        <v>0</v>
      </c>
      <c r="K14" s="9">
        <v>0</v>
      </c>
      <c r="L14" s="9">
        <v>0</v>
      </c>
      <c r="M14" s="9">
        <v>0</v>
      </c>
      <c r="N14" s="9">
        <v>630</v>
      </c>
      <c r="O14" s="9">
        <v>70500</v>
      </c>
      <c r="P14" s="9">
        <f t="shared" si="1"/>
        <v>5110020</v>
      </c>
      <c r="Q14" s="9">
        <v>979624</v>
      </c>
      <c r="R14" s="7">
        <f t="shared" si="2"/>
        <v>6089644</v>
      </c>
      <c r="S14" s="9">
        <v>14290</v>
      </c>
      <c r="T14" s="9">
        <v>0</v>
      </c>
      <c r="U14" s="9">
        <v>0</v>
      </c>
      <c r="V14" s="9">
        <f t="shared" si="3"/>
        <v>14290</v>
      </c>
      <c r="W14" s="8">
        <f t="shared" si="4"/>
        <v>6075354</v>
      </c>
    </row>
    <row r="15" spans="1:23" ht="16.95" customHeight="1" x14ac:dyDescent="0.4">
      <c r="A15" s="12" t="s">
        <v>158</v>
      </c>
      <c r="B15" s="13" t="s">
        <v>42</v>
      </c>
      <c r="C15" s="14" t="s">
        <v>43</v>
      </c>
      <c r="D15" s="6">
        <v>29106590</v>
      </c>
      <c r="E15" s="16">
        <v>0</v>
      </c>
      <c r="F15" s="16">
        <v>0</v>
      </c>
      <c r="G15" s="6"/>
      <c r="H15" s="6">
        <f t="shared" si="0"/>
        <v>0</v>
      </c>
      <c r="I15" s="6">
        <v>55000</v>
      </c>
      <c r="J15" s="6">
        <v>100000</v>
      </c>
      <c r="K15" s="6">
        <v>0</v>
      </c>
      <c r="L15" s="6">
        <v>0</v>
      </c>
      <c r="M15" s="6">
        <v>0</v>
      </c>
      <c r="N15" s="6">
        <v>630</v>
      </c>
      <c r="O15" s="6">
        <v>0</v>
      </c>
      <c r="P15" s="6">
        <f t="shared" si="1"/>
        <v>155630</v>
      </c>
      <c r="Q15" s="6">
        <v>0</v>
      </c>
      <c r="R15" s="7">
        <f t="shared" si="2"/>
        <v>155630</v>
      </c>
      <c r="S15" s="6">
        <v>0</v>
      </c>
      <c r="T15" s="6">
        <v>900</v>
      </c>
      <c r="U15" s="6">
        <v>0</v>
      </c>
      <c r="V15" s="6">
        <f t="shared" si="3"/>
        <v>900</v>
      </c>
      <c r="W15" s="8">
        <f t="shared" si="4"/>
        <v>154730</v>
      </c>
    </row>
    <row r="16" spans="1:23" ht="16.95" customHeight="1" x14ac:dyDescent="0.4">
      <c r="A16" s="10" t="s">
        <v>159</v>
      </c>
      <c r="B16" s="11" t="s">
        <v>44</v>
      </c>
      <c r="C16" s="5" t="s">
        <v>45</v>
      </c>
      <c r="D16" s="6">
        <v>0</v>
      </c>
      <c r="E16" s="6">
        <v>3200010</v>
      </c>
      <c r="F16" s="6">
        <v>2400110</v>
      </c>
      <c r="G16" s="6"/>
      <c r="H16" s="6">
        <f t="shared" si="0"/>
        <v>5600120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f t="shared" si="1"/>
        <v>5600120</v>
      </c>
      <c r="Q16" s="6">
        <v>0</v>
      </c>
      <c r="R16" s="7">
        <f t="shared" si="2"/>
        <v>5600120</v>
      </c>
      <c r="S16" s="6">
        <v>0</v>
      </c>
      <c r="T16" s="6">
        <v>0</v>
      </c>
      <c r="U16" s="6">
        <v>0</v>
      </c>
      <c r="V16" s="6">
        <f t="shared" si="3"/>
        <v>0</v>
      </c>
      <c r="W16" s="8">
        <f t="shared" si="4"/>
        <v>5600120</v>
      </c>
    </row>
    <row r="17" spans="1:23" ht="16.95" customHeight="1" x14ac:dyDescent="0.4">
      <c r="A17" s="12" t="s">
        <v>160</v>
      </c>
      <c r="B17" s="13" t="s">
        <v>46</v>
      </c>
      <c r="C17" s="14" t="s">
        <v>47</v>
      </c>
      <c r="D17" s="9">
        <v>18224800</v>
      </c>
      <c r="E17" s="16">
        <v>0</v>
      </c>
      <c r="F17" s="16">
        <v>0</v>
      </c>
      <c r="G17" s="9"/>
      <c r="H17" s="6">
        <f t="shared" si="0"/>
        <v>0</v>
      </c>
      <c r="I17" s="9">
        <v>128000</v>
      </c>
      <c r="J17" s="9">
        <v>1620000</v>
      </c>
      <c r="K17" s="9">
        <v>0</v>
      </c>
      <c r="L17" s="9">
        <v>0</v>
      </c>
      <c r="M17" s="9">
        <v>0</v>
      </c>
      <c r="N17" s="9">
        <v>630</v>
      </c>
      <c r="O17" s="9">
        <v>0</v>
      </c>
      <c r="P17" s="9">
        <f t="shared" si="1"/>
        <v>1748630</v>
      </c>
      <c r="Q17" s="9">
        <v>0</v>
      </c>
      <c r="R17" s="7">
        <f t="shared" si="2"/>
        <v>1748630</v>
      </c>
      <c r="S17" s="9">
        <v>0</v>
      </c>
      <c r="T17" s="9">
        <v>125670</v>
      </c>
      <c r="U17" s="9">
        <v>0</v>
      </c>
      <c r="V17" s="9">
        <f t="shared" si="3"/>
        <v>125670</v>
      </c>
      <c r="W17" s="8">
        <f t="shared" si="4"/>
        <v>1622960</v>
      </c>
    </row>
    <row r="18" spans="1:23" ht="16.95" customHeight="1" x14ac:dyDescent="0.4">
      <c r="A18" s="10" t="s">
        <v>161</v>
      </c>
      <c r="B18" s="11" t="s">
        <v>48</v>
      </c>
      <c r="C18" s="5" t="s">
        <v>49</v>
      </c>
      <c r="D18" s="6">
        <v>35904600</v>
      </c>
      <c r="E18" s="6">
        <v>3100150</v>
      </c>
      <c r="F18" s="6">
        <v>2126750</v>
      </c>
      <c r="G18" s="6"/>
      <c r="H18" s="6">
        <f t="shared" si="0"/>
        <v>5226900</v>
      </c>
      <c r="I18" s="6">
        <v>111000</v>
      </c>
      <c r="J18" s="6">
        <v>450000</v>
      </c>
      <c r="K18" s="6">
        <v>0</v>
      </c>
      <c r="L18" s="6">
        <v>0</v>
      </c>
      <c r="M18" s="6">
        <v>0</v>
      </c>
      <c r="N18" s="6">
        <v>630</v>
      </c>
      <c r="O18" s="6">
        <v>0</v>
      </c>
      <c r="P18" s="6">
        <f t="shared" si="1"/>
        <v>5788530</v>
      </c>
      <c r="Q18" s="6">
        <v>0</v>
      </c>
      <c r="R18" s="7">
        <f t="shared" si="2"/>
        <v>5788530</v>
      </c>
      <c r="S18" s="6">
        <v>0</v>
      </c>
      <c r="T18" s="6">
        <v>4050</v>
      </c>
      <c r="U18" s="6">
        <v>0</v>
      </c>
      <c r="V18" s="6">
        <f t="shared" si="3"/>
        <v>4050</v>
      </c>
      <c r="W18" s="8">
        <f t="shared" si="4"/>
        <v>5784480</v>
      </c>
    </row>
    <row r="19" spans="1:23" ht="16.95" customHeight="1" x14ac:dyDescent="0.4">
      <c r="A19" s="12" t="s">
        <v>162</v>
      </c>
      <c r="B19" s="13" t="s">
        <v>50</v>
      </c>
      <c r="C19" s="14" t="s">
        <v>51</v>
      </c>
      <c r="D19" s="6">
        <v>0</v>
      </c>
      <c r="E19" s="16">
        <v>0</v>
      </c>
      <c r="F19" s="16">
        <v>0</v>
      </c>
      <c r="G19" s="6"/>
      <c r="H19" s="6">
        <f t="shared" si="0"/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f t="shared" si="1"/>
        <v>0</v>
      </c>
      <c r="Q19" s="6">
        <v>0</v>
      </c>
      <c r="R19" s="7">
        <f t="shared" si="2"/>
        <v>0</v>
      </c>
      <c r="S19" s="6">
        <v>0</v>
      </c>
      <c r="T19" s="6">
        <v>0</v>
      </c>
      <c r="U19" s="6">
        <v>0</v>
      </c>
      <c r="V19" s="6">
        <f t="shared" si="3"/>
        <v>0</v>
      </c>
      <c r="W19" s="8">
        <f t="shared" si="4"/>
        <v>0</v>
      </c>
    </row>
    <row r="20" spans="1:23" ht="16.95" customHeight="1" x14ac:dyDescent="0.4">
      <c r="A20" s="10" t="s">
        <v>163</v>
      </c>
      <c r="B20" s="11" t="s">
        <v>52</v>
      </c>
      <c r="C20" s="5" t="s">
        <v>53</v>
      </c>
      <c r="D20" s="9">
        <v>47019600</v>
      </c>
      <c r="E20" s="6">
        <v>2800100</v>
      </c>
      <c r="F20" s="6">
        <v>2200080</v>
      </c>
      <c r="G20" s="9"/>
      <c r="H20" s="6">
        <f t="shared" si="0"/>
        <v>5000180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630</v>
      </c>
      <c r="O20" s="9">
        <v>0</v>
      </c>
      <c r="P20" s="9">
        <f t="shared" si="1"/>
        <v>5000810</v>
      </c>
      <c r="Q20" s="9">
        <v>697089</v>
      </c>
      <c r="R20" s="7">
        <f t="shared" si="2"/>
        <v>5697899</v>
      </c>
      <c r="S20" s="9">
        <v>13030</v>
      </c>
      <c r="T20" s="9">
        <v>0</v>
      </c>
      <c r="U20" s="9">
        <v>26125</v>
      </c>
      <c r="V20" s="9">
        <f t="shared" si="3"/>
        <v>39155</v>
      </c>
      <c r="W20" s="8">
        <f t="shared" si="4"/>
        <v>5658744</v>
      </c>
    </row>
    <row r="21" spans="1:23" ht="16.95" customHeight="1" x14ac:dyDescent="0.4">
      <c r="A21" s="12" t="s">
        <v>164</v>
      </c>
      <c r="B21" s="13" t="s">
        <v>54</v>
      </c>
      <c r="C21" s="14" t="s">
        <v>55</v>
      </c>
      <c r="D21" s="6">
        <v>92152870</v>
      </c>
      <c r="E21" s="9">
        <v>2652490</v>
      </c>
      <c r="F21" s="9">
        <v>2126750</v>
      </c>
      <c r="G21" s="6"/>
      <c r="H21" s="6">
        <f t="shared" si="0"/>
        <v>4779240</v>
      </c>
      <c r="I21" s="6">
        <v>197000</v>
      </c>
      <c r="J21" s="6">
        <v>3530000</v>
      </c>
      <c r="K21" s="6">
        <v>0</v>
      </c>
      <c r="L21" s="6">
        <v>0</v>
      </c>
      <c r="M21" s="6">
        <v>0</v>
      </c>
      <c r="N21" s="6">
        <v>630</v>
      </c>
      <c r="O21" s="6">
        <v>0</v>
      </c>
      <c r="P21" s="6">
        <f t="shared" si="1"/>
        <v>8506870</v>
      </c>
      <c r="Q21" s="6">
        <v>0</v>
      </c>
      <c r="R21" s="7">
        <f t="shared" si="2"/>
        <v>8506870</v>
      </c>
      <c r="S21" s="6">
        <v>0</v>
      </c>
      <c r="T21" s="6">
        <v>31770</v>
      </c>
      <c r="U21" s="6">
        <v>0</v>
      </c>
      <c r="V21" s="6">
        <f t="shared" si="3"/>
        <v>31770</v>
      </c>
      <c r="W21" s="8">
        <f t="shared" si="4"/>
        <v>8475100</v>
      </c>
    </row>
    <row r="22" spans="1:23" ht="16.95" customHeight="1" x14ac:dyDescent="0.4">
      <c r="A22" s="10" t="s">
        <v>165</v>
      </c>
      <c r="B22" s="11" t="s">
        <v>56</v>
      </c>
      <c r="C22" s="5" t="s">
        <v>57</v>
      </c>
      <c r="D22" s="6">
        <v>0</v>
      </c>
      <c r="E22" s="16">
        <v>0</v>
      </c>
      <c r="F22" s="16">
        <v>0</v>
      </c>
      <c r="G22" s="6"/>
      <c r="H22" s="6">
        <f t="shared" si="0"/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f t="shared" si="1"/>
        <v>0</v>
      </c>
      <c r="Q22" s="6">
        <v>0</v>
      </c>
      <c r="R22" s="7">
        <f t="shared" si="2"/>
        <v>0</v>
      </c>
      <c r="S22" s="6">
        <v>0</v>
      </c>
      <c r="T22" s="6">
        <v>0</v>
      </c>
      <c r="U22" s="6">
        <v>0</v>
      </c>
      <c r="V22" s="6">
        <f t="shared" si="3"/>
        <v>0</v>
      </c>
      <c r="W22" s="8">
        <f t="shared" si="4"/>
        <v>0</v>
      </c>
    </row>
    <row r="23" spans="1:23" ht="16.95" customHeight="1" x14ac:dyDescent="0.4">
      <c r="A23" s="12" t="s">
        <v>166</v>
      </c>
      <c r="B23" s="13" t="s">
        <v>58</v>
      </c>
      <c r="C23" s="14" t="s">
        <v>59</v>
      </c>
      <c r="D23" s="9">
        <v>72843200</v>
      </c>
      <c r="E23" s="9">
        <v>3000060</v>
      </c>
      <c r="F23" s="9">
        <v>2300200</v>
      </c>
      <c r="G23" s="9"/>
      <c r="H23" s="6">
        <f t="shared" si="0"/>
        <v>5300260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630</v>
      </c>
      <c r="O23" s="9">
        <v>0</v>
      </c>
      <c r="P23" s="9">
        <f t="shared" si="1"/>
        <v>5300890</v>
      </c>
      <c r="Q23" s="9">
        <v>995257</v>
      </c>
      <c r="R23" s="7">
        <f t="shared" si="2"/>
        <v>6296147</v>
      </c>
      <c r="S23" s="9">
        <v>18350</v>
      </c>
      <c r="T23" s="9">
        <v>0</v>
      </c>
      <c r="U23" s="9">
        <v>8030</v>
      </c>
      <c r="V23" s="9">
        <f t="shared" si="3"/>
        <v>26380</v>
      </c>
      <c r="W23" s="8">
        <f t="shared" si="4"/>
        <v>6269767</v>
      </c>
    </row>
    <row r="24" spans="1:23" ht="16.95" customHeight="1" x14ac:dyDescent="0.4">
      <c r="A24" s="10" t="s">
        <v>167</v>
      </c>
      <c r="B24" s="11" t="s">
        <v>60</v>
      </c>
      <c r="C24" s="5" t="s">
        <v>61</v>
      </c>
      <c r="D24" s="6">
        <v>33825210</v>
      </c>
      <c r="E24" s="6">
        <v>3675180</v>
      </c>
      <c r="F24" s="6">
        <v>2310090</v>
      </c>
      <c r="G24" s="6"/>
      <c r="H24" s="6">
        <f t="shared" si="0"/>
        <v>5985270</v>
      </c>
      <c r="I24" s="6">
        <v>108600</v>
      </c>
      <c r="J24" s="6">
        <v>630000</v>
      </c>
      <c r="K24" s="6">
        <v>0</v>
      </c>
      <c r="L24" s="6">
        <v>0</v>
      </c>
      <c r="M24" s="6">
        <v>0</v>
      </c>
      <c r="N24" s="6">
        <v>630</v>
      </c>
      <c r="O24" s="6">
        <v>0</v>
      </c>
      <c r="P24" s="6">
        <f t="shared" si="1"/>
        <v>6724500</v>
      </c>
      <c r="Q24" s="6">
        <v>0</v>
      </c>
      <c r="R24" s="7">
        <f t="shared" si="2"/>
        <v>6724500</v>
      </c>
      <c r="S24" s="6">
        <v>0</v>
      </c>
      <c r="T24" s="6">
        <v>5670</v>
      </c>
      <c r="U24" s="6">
        <v>0</v>
      </c>
      <c r="V24" s="6">
        <f t="shared" si="3"/>
        <v>5670</v>
      </c>
      <c r="W24" s="8">
        <f t="shared" si="4"/>
        <v>6718830</v>
      </c>
    </row>
    <row r="25" spans="1:23" ht="16.95" customHeight="1" x14ac:dyDescent="0.4">
      <c r="A25" s="12" t="s">
        <v>168</v>
      </c>
      <c r="B25" s="13" t="s">
        <v>62</v>
      </c>
      <c r="C25" s="14" t="s">
        <v>63</v>
      </c>
      <c r="D25" s="6">
        <v>0</v>
      </c>
      <c r="E25" s="9">
        <v>3200250</v>
      </c>
      <c r="F25" s="9">
        <v>2400320</v>
      </c>
      <c r="G25" s="6"/>
      <c r="H25" s="6">
        <f t="shared" si="0"/>
        <v>5600570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f t="shared" si="1"/>
        <v>5600570</v>
      </c>
      <c r="Q25" s="6">
        <v>0</v>
      </c>
      <c r="R25" s="7">
        <f t="shared" si="2"/>
        <v>5600570</v>
      </c>
      <c r="S25" s="6">
        <v>0</v>
      </c>
      <c r="T25" s="6">
        <v>0</v>
      </c>
      <c r="U25" s="6">
        <v>0</v>
      </c>
      <c r="V25" s="6">
        <f t="shared" si="3"/>
        <v>0</v>
      </c>
      <c r="W25" s="8">
        <f t="shared" si="4"/>
        <v>5600570</v>
      </c>
    </row>
    <row r="26" spans="1:23" ht="16.95" customHeight="1" x14ac:dyDescent="0.4">
      <c r="A26" s="10" t="s">
        <v>169</v>
      </c>
      <c r="B26" s="11" t="s">
        <v>64</v>
      </c>
      <c r="C26" s="5" t="s">
        <v>65</v>
      </c>
      <c r="D26" s="9">
        <v>58371960</v>
      </c>
      <c r="E26" s="6">
        <v>0</v>
      </c>
      <c r="F26" s="6">
        <v>0</v>
      </c>
      <c r="G26" s="9"/>
      <c r="H26" s="6">
        <f t="shared" si="0"/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630</v>
      </c>
      <c r="O26" s="9">
        <v>0</v>
      </c>
      <c r="P26" s="9">
        <f t="shared" si="1"/>
        <v>630</v>
      </c>
      <c r="Q26" s="9">
        <v>872740</v>
      </c>
      <c r="R26" s="7">
        <f t="shared" si="2"/>
        <v>873370</v>
      </c>
      <c r="S26" s="9">
        <v>18190</v>
      </c>
      <c r="T26" s="9">
        <v>0</v>
      </c>
      <c r="U26" s="9">
        <v>32120</v>
      </c>
      <c r="V26" s="9">
        <f t="shared" si="3"/>
        <v>50310</v>
      </c>
      <c r="W26" s="8">
        <f t="shared" si="4"/>
        <v>823060</v>
      </c>
    </row>
    <row r="27" spans="1:23" ht="16.95" customHeight="1" x14ac:dyDescent="0.4">
      <c r="A27" s="12" t="s">
        <v>170</v>
      </c>
      <c r="B27" s="13" t="s">
        <v>66</v>
      </c>
      <c r="C27" s="14" t="s">
        <v>67</v>
      </c>
      <c r="D27" s="6">
        <v>56817600</v>
      </c>
      <c r="E27" s="16">
        <v>0</v>
      </c>
      <c r="F27" s="16">
        <v>0</v>
      </c>
      <c r="G27" s="6"/>
      <c r="H27" s="6">
        <f t="shared" si="0"/>
        <v>0</v>
      </c>
      <c r="I27" s="6">
        <v>261350</v>
      </c>
      <c r="J27" s="6">
        <v>1710000</v>
      </c>
      <c r="K27" s="6">
        <v>0</v>
      </c>
      <c r="L27" s="6">
        <v>0</v>
      </c>
      <c r="M27" s="6">
        <v>0</v>
      </c>
      <c r="N27" s="6">
        <v>630</v>
      </c>
      <c r="O27" s="6">
        <v>0</v>
      </c>
      <c r="P27" s="6">
        <f t="shared" si="1"/>
        <v>1971980</v>
      </c>
      <c r="Q27" s="6">
        <v>0</v>
      </c>
      <c r="R27" s="7">
        <f t="shared" si="2"/>
        <v>1971980</v>
      </c>
      <c r="S27" s="6">
        <v>0</v>
      </c>
      <c r="T27" s="6">
        <v>15390</v>
      </c>
      <c r="U27" s="6">
        <v>0</v>
      </c>
      <c r="V27" s="6">
        <f t="shared" si="3"/>
        <v>15390</v>
      </c>
      <c r="W27" s="8">
        <f t="shared" si="4"/>
        <v>1956590</v>
      </c>
    </row>
    <row r="28" spans="1:23" ht="16.95" customHeight="1" x14ac:dyDescent="0.4">
      <c r="A28" s="10" t="s">
        <v>171</v>
      </c>
      <c r="B28" s="11" t="s">
        <v>172</v>
      </c>
      <c r="C28" s="5"/>
      <c r="D28" s="6">
        <v>0</v>
      </c>
      <c r="E28" s="6">
        <v>3800120</v>
      </c>
      <c r="F28" s="6">
        <v>2520070</v>
      </c>
      <c r="G28" s="6"/>
      <c r="H28" s="6">
        <f t="shared" si="0"/>
        <v>6320190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f t="shared" si="1"/>
        <v>6320190</v>
      </c>
      <c r="Q28" s="6">
        <v>0</v>
      </c>
      <c r="R28" s="7">
        <f t="shared" si="2"/>
        <v>6320190</v>
      </c>
      <c r="S28" s="6">
        <v>0</v>
      </c>
      <c r="T28" s="6">
        <v>0</v>
      </c>
      <c r="U28" s="6">
        <v>0</v>
      </c>
      <c r="V28" s="6">
        <f t="shared" si="3"/>
        <v>0</v>
      </c>
      <c r="W28" s="8">
        <f t="shared" si="4"/>
        <v>6320190</v>
      </c>
    </row>
    <row r="29" spans="1:23" ht="16.95" customHeight="1" x14ac:dyDescent="0.4">
      <c r="A29" s="12" t="s">
        <v>173</v>
      </c>
      <c r="B29" s="13" t="s">
        <v>68</v>
      </c>
      <c r="C29" s="14" t="s">
        <v>69</v>
      </c>
      <c r="D29" s="9">
        <v>25708310</v>
      </c>
      <c r="E29" s="9">
        <v>0</v>
      </c>
      <c r="F29" s="9">
        <v>0</v>
      </c>
      <c r="G29" s="9"/>
      <c r="H29" s="6">
        <f t="shared" si="0"/>
        <v>0</v>
      </c>
      <c r="I29" s="9">
        <v>66500</v>
      </c>
      <c r="J29" s="9">
        <v>900000</v>
      </c>
      <c r="K29" s="9">
        <v>0</v>
      </c>
      <c r="L29" s="9">
        <v>0</v>
      </c>
      <c r="M29" s="9">
        <v>0</v>
      </c>
      <c r="N29" s="9">
        <v>630</v>
      </c>
      <c r="O29" s="9">
        <v>0</v>
      </c>
      <c r="P29" s="9">
        <f t="shared" si="1"/>
        <v>967130</v>
      </c>
      <c r="Q29" s="9">
        <v>0</v>
      </c>
      <c r="R29" s="7">
        <f t="shared" si="2"/>
        <v>967130</v>
      </c>
      <c r="S29" s="9">
        <v>0</v>
      </c>
      <c r="T29" s="9">
        <v>4050</v>
      </c>
      <c r="U29" s="9">
        <v>0</v>
      </c>
      <c r="V29" s="9">
        <f t="shared" si="3"/>
        <v>4050</v>
      </c>
      <c r="W29" s="8">
        <f t="shared" si="4"/>
        <v>963080</v>
      </c>
    </row>
    <row r="30" spans="1:23" ht="16.95" customHeight="1" x14ac:dyDescent="0.4">
      <c r="A30" s="10" t="s">
        <v>174</v>
      </c>
      <c r="B30" s="11" t="s">
        <v>70</v>
      </c>
      <c r="C30" s="5" t="s">
        <v>71</v>
      </c>
      <c r="D30" s="9">
        <v>0</v>
      </c>
      <c r="E30" s="6">
        <v>2900200</v>
      </c>
      <c r="F30" s="6">
        <v>0</v>
      </c>
      <c r="G30" s="9"/>
      <c r="H30" s="6">
        <f t="shared" si="0"/>
        <v>2900200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f t="shared" si="1"/>
        <v>2900200</v>
      </c>
      <c r="Q30" s="9">
        <v>0</v>
      </c>
      <c r="R30" s="7">
        <f t="shared" si="2"/>
        <v>2900200</v>
      </c>
      <c r="S30" s="9">
        <v>0</v>
      </c>
      <c r="T30" s="9">
        <v>0</v>
      </c>
      <c r="U30" s="9">
        <v>0</v>
      </c>
      <c r="V30" s="9">
        <f t="shared" si="3"/>
        <v>0</v>
      </c>
      <c r="W30" s="8">
        <f t="shared" si="4"/>
        <v>2900200</v>
      </c>
    </row>
    <row r="31" spans="1:23" ht="16.95" customHeight="1" x14ac:dyDescent="0.4">
      <c r="A31" s="12" t="s">
        <v>175</v>
      </c>
      <c r="B31" s="13" t="s">
        <v>72</v>
      </c>
      <c r="C31" s="14" t="s">
        <v>73</v>
      </c>
      <c r="D31" s="6">
        <v>32439160</v>
      </c>
      <c r="E31" s="9">
        <v>3193260</v>
      </c>
      <c r="F31" s="9">
        <v>2400110</v>
      </c>
      <c r="G31" s="6"/>
      <c r="H31" s="6">
        <f t="shared" si="0"/>
        <v>5593370</v>
      </c>
      <c r="I31" s="6">
        <v>207300</v>
      </c>
      <c r="J31" s="6">
        <v>0</v>
      </c>
      <c r="K31" s="6">
        <v>0</v>
      </c>
      <c r="L31" s="6">
        <v>0</v>
      </c>
      <c r="M31" s="6">
        <v>0</v>
      </c>
      <c r="N31" s="6">
        <v>630</v>
      </c>
      <c r="O31" s="6">
        <v>0</v>
      </c>
      <c r="P31" s="6">
        <f t="shared" si="1"/>
        <v>5801300</v>
      </c>
      <c r="Q31" s="6">
        <v>694997</v>
      </c>
      <c r="R31" s="7">
        <f t="shared" si="2"/>
        <v>6496297</v>
      </c>
      <c r="S31" s="6">
        <v>19570</v>
      </c>
      <c r="T31" s="6">
        <v>0</v>
      </c>
      <c r="U31" s="6">
        <v>0</v>
      </c>
      <c r="V31" s="6">
        <f t="shared" si="3"/>
        <v>19570</v>
      </c>
      <c r="W31" s="8">
        <f t="shared" si="4"/>
        <v>6476727</v>
      </c>
    </row>
    <row r="32" spans="1:23" ht="16.95" customHeight="1" x14ac:dyDescent="0.4">
      <c r="A32" s="10" t="s">
        <v>176</v>
      </c>
      <c r="B32" s="11" t="s">
        <v>74</v>
      </c>
      <c r="C32" s="5" t="s">
        <v>75</v>
      </c>
      <c r="D32" s="9">
        <v>22724190</v>
      </c>
      <c r="E32" s="6">
        <v>2700240</v>
      </c>
      <c r="F32" s="6">
        <v>2350040</v>
      </c>
      <c r="G32" s="9"/>
      <c r="H32" s="6">
        <f t="shared" si="0"/>
        <v>5050280</v>
      </c>
      <c r="I32" s="9">
        <v>60000</v>
      </c>
      <c r="J32" s="9">
        <v>0</v>
      </c>
      <c r="K32" s="9">
        <v>0</v>
      </c>
      <c r="L32" s="9">
        <v>0</v>
      </c>
      <c r="M32" s="9">
        <v>0</v>
      </c>
      <c r="N32" s="9">
        <v>630</v>
      </c>
      <c r="O32" s="9">
        <v>0</v>
      </c>
      <c r="P32" s="9">
        <f t="shared" si="1"/>
        <v>5110910</v>
      </c>
      <c r="Q32" s="9">
        <v>0</v>
      </c>
      <c r="R32" s="7">
        <f t="shared" si="2"/>
        <v>5110910</v>
      </c>
      <c r="S32" s="9">
        <v>0</v>
      </c>
      <c r="T32" s="9">
        <v>0</v>
      </c>
      <c r="U32" s="9">
        <v>0</v>
      </c>
      <c r="V32" s="9">
        <f t="shared" si="3"/>
        <v>0</v>
      </c>
      <c r="W32" s="8">
        <f t="shared" si="4"/>
        <v>5110910</v>
      </c>
    </row>
    <row r="33" spans="1:23" ht="16.95" customHeight="1" x14ac:dyDescent="0.4">
      <c r="A33" s="12" t="s">
        <v>177</v>
      </c>
      <c r="B33" s="13" t="s">
        <v>76</v>
      </c>
      <c r="C33" s="14" t="s">
        <v>77</v>
      </c>
      <c r="D33" s="9">
        <v>0</v>
      </c>
      <c r="E33" s="16">
        <v>0</v>
      </c>
      <c r="F33" s="16">
        <v>0</v>
      </c>
      <c r="G33" s="9"/>
      <c r="H33" s="6">
        <f t="shared" si="0"/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f t="shared" si="1"/>
        <v>0</v>
      </c>
      <c r="Q33" s="9">
        <v>0</v>
      </c>
      <c r="R33" s="7">
        <f t="shared" si="2"/>
        <v>0</v>
      </c>
      <c r="S33" s="9">
        <v>0</v>
      </c>
      <c r="T33" s="9">
        <v>0</v>
      </c>
      <c r="U33" s="9">
        <v>0</v>
      </c>
      <c r="V33" s="9">
        <f t="shared" si="3"/>
        <v>0</v>
      </c>
      <c r="W33" s="8">
        <f t="shared" si="4"/>
        <v>0</v>
      </c>
    </row>
    <row r="34" spans="1:23" ht="16.95" customHeight="1" x14ac:dyDescent="0.4">
      <c r="A34" s="10" t="s">
        <v>178</v>
      </c>
      <c r="B34" s="11" t="s">
        <v>78</v>
      </c>
      <c r="C34" s="5" t="s">
        <v>79</v>
      </c>
      <c r="D34" s="6">
        <v>74162120</v>
      </c>
      <c r="E34" s="6">
        <v>3400210</v>
      </c>
      <c r="F34" s="6">
        <v>2126750</v>
      </c>
      <c r="G34" s="6"/>
      <c r="H34" s="6">
        <f t="shared" si="0"/>
        <v>5526960</v>
      </c>
      <c r="I34" s="6">
        <v>182100</v>
      </c>
      <c r="J34" s="6">
        <v>3510000</v>
      </c>
      <c r="K34" s="6">
        <v>0</v>
      </c>
      <c r="L34" s="6">
        <v>0</v>
      </c>
      <c r="M34" s="6">
        <v>0</v>
      </c>
      <c r="N34" s="6">
        <v>630</v>
      </c>
      <c r="O34" s="6">
        <v>0</v>
      </c>
      <c r="P34" s="6">
        <f t="shared" si="1"/>
        <v>9219690</v>
      </c>
      <c r="Q34" s="6">
        <v>0</v>
      </c>
      <c r="R34" s="7">
        <f t="shared" si="2"/>
        <v>9219690</v>
      </c>
      <c r="S34" s="6">
        <v>0</v>
      </c>
      <c r="T34" s="6">
        <v>155900</v>
      </c>
      <c r="U34" s="6">
        <v>0</v>
      </c>
      <c r="V34" s="6">
        <f t="shared" si="3"/>
        <v>155900</v>
      </c>
      <c r="W34" s="8">
        <f t="shared" si="4"/>
        <v>9063790</v>
      </c>
    </row>
    <row r="35" spans="1:23" ht="16.95" customHeight="1" x14ac:dyDescent="0.4">
      <c r="A35" s="12" t="s">
        <v>179</v>
      </c>
      <c r="B35" s="13" t="s">
        <v>80</v>
      </c>
      <c r="C35" s="14" t="s">
        <v>81</v>
      </c>
      <c r="D35" s="6">
        <v>0</v>
      </c>
      <c r="E35" s="9">
        <v>2546600</v>
      </c>
      <c r="F35" s="9">
        <v>0</v>
      </c>
      <c r="G35" s="6"/>
      <c r="H35" s="6">
        <f t="shared" si="0"/>
        <v>2546600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f t="shared" si="1"/>
        <v>2546600</v>
      </c>
      <c r="Q35" s="6">
        <v>0</v>
      </c>
      <c r="R35" s="7">
        <f t="shared" si="2"/>
        <v>2546600</v>
      </c>
      <c r="S35" s="6">
        <v>0</v>
      </c>
      <c r="T35" s="6">
        <v>0</v>
      </c>
      <c r="U35" s="6">
        <v>0</v>
      </c>
      <c r="V35" s="6">
        <f t="shared" si="3"/>
        <v>0</v>
      </c>
      <c r="W35" s="8">
        <f t="shared" si="4"/>
        <v>2546600</v>
      </c>
    </row>
    <row r="36" spans="1:23" ht="16.95" customHeight="1" x14ac:dyDescent="0.4">
      <c r="A36" s="10" t="s">
        <v>180</v>
      </c>
      <c r="B36" s="11" t="s">
        <v>82</v>
      </c>
      <c r="C36" s="5" t="s">
        <v>83</v>
      </c>
      <c r="D36" s="9">
        <v>82688210</v>
      </c>
      <c r="E36" s="16">
        <v>0</v>
      </c>
      <c r="F36" s="16">
        <v>0</v>
      </c>
      <c r="G36" s="9"/>
      <c r="H36" s="6">
        <f t="shared" ref="H36:H67" si="5">SUM(E36:G36)</f>
        <v>0</v>
      </c>
      <c r="I36" s="9">
        <v>248500</v>
      </c>
      <c r="J36" s="9">
        <v>2700000</v>
      </c>
      <c r="K36" s="9">
        <v>13820</v>
      </c>
      <c r="L36" s="9">
        <v>0</v>
      </c>
      <c r="M36" s="9">
        <v>5000</v>
      </c>
      <c r="N36" s="9">
        <v>0</v>
      </c>
      <c r="O36" s="9">
        <v>0</v>
      </c>
      <c r="P36" s="9">
        <f t="shared" si="1"/>
        <v>2929680</v>
      </c>
      <c r="Q36" s="9">
        <v>0</v>
      </c>
      <c r="R36" s="7">
        <f t="shared" si="2"/>
        <v>2929680</v>
      </c>
      <c r="S36" s="9">
        <v>0</v>
      </c>
      <c r="T36" s="9">
        <v>180540</v>
      </c>
      <c r="U36" s="9">
        <v>0</v>
      </c>
      <c r="V36" s="9">
        <f t="shared" si="3"/>
        <v>180540</v>
      </c>
      <c r="W36" s="8">
        <f t="shared" si="4"/>
        <v>2749140</v>
      </c>
    </row>
    <row r="37" spans="1:23" ht="16.95" customHeight="1" x14ac:dyDescent="0.4">
      <c r="A37" s="12" t="s">
        <v>181</v>
      </c>
      <c r="B37" s="13" t="s">
        <v>84</v>
      </c>
      <c r="C37" s="14" t="s">
        <v>85</v>
      </c>
      <c r="D37" s="9">
        <v>0</v>
      </c>
      <c r="E37" s="9">
        <v>3000060</v>
      </c>
      <c r="F37" s="9">
        <v>2300200</v>
      </c>
      <c r="G37" s="9"/>
      <c r="H37" s="6">
        <f t="shared" si="5"/>
        <v>5300260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f t="shared" si="1"/>
        <v>5300260</v>
      </c>
      <c r="Q37" s="9">
        <v>0</v>
      </c>
      <c r="R37" s="7">
        <f t="shared" si="2"/>
        <v>5300260</v>
      </c>
      <c r="S37" s="9">
        <v>0</v>
      </c>
      <c r="T37" s="9">
        <v>0</v>
      </c>
      <c r="U37" s="9">
        <v>0</v>
      </c>
      <c r="V37" s="9">
        <f t="shared" si="3"/>
        <v>0</v>
      </c>
      <c r="W37" s="8">
        <f t="shared" si="4"/>
        <v>5300260</v>
      </c>
    </row>
    <row r="38" spans="1:23" ht="16.95" customHeight="1" x14ac:dyDescent="0.4">
      <c r="A38" s="10" t="s">
        <v>182</v>
      </c>
      <c r="B38" s="11" t="s">
        <v>86</v>
      </c>
      <c r="C38" s="5" t="s">
        <v>87</v>
      </c>
      <c r="D38" s="6">
        <v>74710450</v>
      </c>
      <c r="E38" s="16">
        <v>0</v>
      </c>
      <c r="F38" s="16">
        <v>0</v>
      </c>
      <c r="G38" s="6"/>
      <c r="H38" s="6">
        <f t="shared" si="5"/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630</v>
      </c>
      <c r="O38" s="6">
        <v>0</v>
      </c>
      <c r="P38" s="6">
        <f t="shared" si="1"/>
        <v>630</v>
      </c>
      <c r="Q38" s="6">
        <v>1083365</v>
      </c>
      <c r="R38" s="7">
        <f t="shared" si="2"/>
        <v>1083995</v>
      </c>
      <c r="S38" s="6">
        <v>6980</v>
      </c>
      <c r="T38" s="6">
        <v>0</v>
      </c>
      <c r="U38" s="6">
        <v>408320</v>
      </c>
      <c r="V38" s="6">
        <f t="shared" si="3"/>
        <v>415300</v>
      </c>
      <c r="W38" s="8">
        <f t="shared" si="4"/>
        <v>668695</v>
      </c>
    </row>
    <row r="39" spans="1:23" ht="16.95" customHeight="1" x14ac:dyDescent="0.4">
      <c r="A39" s="12" t="s">
        <v>183</v>
      </c>
      <c r="B39" s="13" t="s">
        <v>88</v>
      </c>
      <c r="C39" s="14" t="s">
        <v>89</v>
      </c>
      <c r="D39" s="9">
        <v>85496540</v>
      </c>
      <c r="E39" s="16">
        <v>0</v>
      </c>
      <c r="F39" s="16">
        <v>0</v>
      </c>
      <c r="G39" s="9"/>
      <c r="H39" s="6">
        <f t="shared" si="5"/>
        <v>0</v>
      </c>
      <c r="I39" s="9">
        <v>333700</v>
      </c>
      <c r="J39" s="9">
        <v>2880000</v>
      </c>
      <c r="K39" s="9">
        <v>0</v>
      </c>
      <c r="L39" s="9">
        <v>0</v>
      </c>
      <c r="M39" s="9">
        <v>0</v>
      </c>
      <c r="N39" s="9">
        <v>630</v>
      </c>
      <c r="O39" s="9">
        <v>0</v>
      </c>
      <c r="P39" s="9">
        <f t="shared" si="1"/>
        <v>3214330</v>
      </c>
      <c r="Q39" s="9">
        <v>0</v>
      </c>
      <c r="R39" s="7">
        <f t="shared" si="2"/>
        <v>3214330</v>
      </c>
      <c r="S39" s="9">
        <v>0</v>
      </c>
      <c r="T39" s="9">
        <v>91660</v>
      </c>
      <c r="U39" s="9">
        <v>0</v>
      </c>
      <c r="V39" s="9">
        <f t="shared" si="3"/>
        <v>91660</v>
      </c>
      <c r="W39" s="8">
        <f t="shared" si="4"/>
        <v>3122670</v>
      </c>
    </row>
    <row r="40" spans="1:23" ht="16.95" customHeight="1" x14ac:dyDescent="0.4">
      <c r="A40" s="10" t="s">
        <v>184</v>
      </c>
      <c r="B40" s="11" t="s">
        <v>90</v>
      </c>
      <c r="C40" s="5" t="s">
        <v>91</v>
      </c>
      <c r="D40" s="9">
        <v>0</v>
      </c>
      <c r="E40" s="6">
        <v>3500060</v>
      </c>
      <c r="F40" s="6">
        <v>2490160</v>
      </c>
      <c r="G40" s="9"/>
      <c r="H40" s="6">
        <f t="shared" si="5"/>
        <v>5990220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f t="shared" si="1"/>
        <v>5990220</v>
      </c>
      <c r="Q40" s="9">
        <v>0</v>
      </c>
      <c r="R40" s="7">
        <f t="shared" si="2"/>
        <v>5990220</v>
      </c>
      <c r="S40" s="9">
        <v>0</v>
      </c>
      <c r="T40" s="9">
        <v>0</v>
      </c>
      <c r="U40" s="9">
        <v>0</v>
      </c>
      <c r="V40" s="9">
        <f t="shared" si="3"/>
        <v>0</v>
      </c>
      <c r="W40" s="8">
        <f t="shared" si="4"/>
        <v>5990220</v>
      </c>
    </row>
    <row r="41" spans="1:23" ht="16.95" customHeight="1" x14ac:dyDescent="0.4">
      <c r="A41" s="12" t="s">
        <v>185</v>
      </c>
      <c r="B41" s="13" t="s">
        <v>92</v>
      </c>
      <c r="C41" s="14" t="s">
        <v>93</v>
      </c>
      <c r="D41" s="6">
        <v>41445590</v>
      </c>
      <c r="E41" s="16">
        <v>0</v>
      </c>
      <c r="F41" s="16">
        <v>0</v>
      </c>
      <c r="G41" s="6"/>
      <c r="H41" s="6">
        <f t="shared" si="5"/>
        <v>0</v>
      </c>
      <c r="I41" s="6">
        <v>549700</v>
      </c>
      <c r="J41" s="6">
        <v>1890000</v>
      </c>
      <c r="K41" s="6">
        <v>0</v>
      </c>
      <c r="L41" s="6">
        <v>0</v>
      </c>
      <c r="M41" s="6">
        <v>0</v>
      </c>
      <c r="N41" s="6">
        <v>630</v>
      </c>
      <c r="O41" s="6">
        <v>0</v>
      </c>
      <c r="P41" s="6">
        <f t="shared" si="1"/>
        <v>2440330</v>
      </c>
      <c r="Q41" s="6">
        <v>0</v>
      </c>
      <c r="R41" s="7">
        <f t="shared" si="2"/>
        <v>2440330</v>
      </c>
      <c r="S41" s="6">
        <v>0</v>
      </c>
      <c r="T41" s="6">
        <v>17010</v>
      </c>
      <c r="U41" s="6">
        <v>0</v>
      </c>
      <c r="V41" s="6">
        <f t="shared" si="3"/>
        <v>17010</v>
      </c>
      <c r="W41" s="8">
        <f t="shared" si="4"/>
        <v>2423320</v>
      </c>
    </row>
    <row r="42" spans="1:23" ht="16.95" customHeight="1" x14ac:dyDescent="0.4">
      <c r="A42" s="10" t="s">
        <v>186</v>
      </c>
      <c r="B42" s="11" t="s">
        <v>94</v>
      </c>
      <c r="C42" s="5" t="s">
        <v>95</v>
      </c>
      <c r="D42" s="9">
        <v>36357200</v>
      </c>
      <c r="E42" s="16">
        <v>0</v>
      </c>
      <c r="F42" s="16">
        <v>0</v>
      </c>
      <c r="G42" s="9"/>
      <c r="H42" s="6">
        <f t="shared" si="5"/>
        <v>0</v>
      </c>
      <c r="I42" s="9">
        <v>323400</v>
      </c>
      <c r="J42" s="9">
        <v>1260000</v>
      </c>
      <c r="K42" s="9">
        <v>0</v>
      </c>
      <c r="L42" s="9">
        <v>0</v>
      </c>
      <c r="M42" s="9">
        <v>0</v>
      </c>
      <c r="N42" s="9">
        <v>630</v>
      </c>
      <c r="O42" s="9">
        <v>0</v>
      </c>
      <c r="P42" s="9">
        <f t="shared" si="1"/>
        <v>1584030</v>
      </c>
      <c r="Q42" s="9">
        <v>0</v>
      </c>
      <c r="R42" s="7">
        <f t="shared" si="2"/>
        <v>1584030</v>
      </c>
      <c r="S42" s="9">
        <v>0</v>
      </c>
      <c r="T42" s="9">
        <v>11340</v>
      </c>
      <c r="U42" s="9">
        <v>0</v>
      </c>
      <c r="V42" s="9">
        <f t="shared" si="3"/>
        <v>11340</v>
      </c>
      <c r="W42" s="8">
        <f t="shared" si="4"/>
        <v>1572690</v>
      </c>
    </row>
    <row r="43" spans="1:23" ht="16.95" customHeight="1" x14ac:dyDescent="0.4">
      <c r="A43" s="12" t="s">
        <v>187</v>
      </c>
      <c r="B43" s="13" t="s">
        <v>96</v>
      </c>
      <c r="C43" s="14" t="s">
        <v>97</v>
      </c>
      <c r="D43" s="9">
        <v>0</v>
      </c>
      <c r="E43" s="16">
        <v>0</v>
      </c>
      <c r="F43" s="16">
        <v>0</v>
      </c>
      <c r="G43" s="9"/>
      <c r="H43" s="6">
        <f t="shared" si="5"/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f t="shared" si="1"/>
        <v>0</v>
      </c>
      <c r="Q43" s="9">
        <v>0</v>
      </c>
      <c r="R43" s="7">
        <f t="shared" si="2"/>
        <v>0</v>
      </c>
      <c r="S43" s="9">
        <v>0</v>
      </c>
      <c r="T43" s="9">
        <v>0</v>
      </c>
      <c r="U43" s="9">
        <v>0</v>
      </c>
      <c r="V43" s="9">
        <f t="shared" si="3"/>
        <v>0</v>
      </c>
      <c r="W43" s="8">
        <f t="shared" si="4"/>
        <v>0</v>
      </c>
    </row>
    <row r="44" spans="1:23" ht="16.95" customHeight="1" x14ac:dyDescent="0.4">
      <c r="A44" s="10" t="s">
        <v>188</v>
      </c>
      <c r="B44" s="11" t="s">
        <v>98</v>
      </c>
      <c r="C44" s="5" t="s">
        <v>99</v>
      </c>
      <c r="D44" s="6">
        <v>34400950</v>
      </c>
      <c r="E44" s="6">
        <v>2650080</v>
      </c>
      <c r="F44" s="6">
        <v>0</v>
      </c>
      <c r="G44" s="6"/>
      <c r="H44" s="6">
        <f t="shared" si="5"/>
        <v>2650080</v>
      </c>
      <c r="I44" s="6">
        <v>172000</v>
      </c>
      <c r="J44" s="6">
        <v>1195000</v>
      </c>
      <c r="K44" s="6">
        <v>0</v>
      </c>
      <c r="L44" s="6">
        <v>0</v>
      </c>
      <c r="M44" s="6">
        <v>0</v>
      </c>
      <c r="N44" s="6">
        <v>630</v>
      </c>
      <c r="O44" s="6">
        <v>0</v>
      </c>
      <c r="P44" s="6">
        <f t="shared" si="1"/>
        <v>4017710</v>
      </c>
      <c r="Q44" s="6">
        <v>0</v>
      </c>
      <c r="R44" s="7">
        <f t="shared" si="2"/>
        <v>4017710</v>
      </c>
      <c r="S44" s="6">
        <v>0</v>
      </c>
      <c r="T44" s="6">
        <v>4450</v>
      </c>
      <c r="U44" s="6">
        <v>0</v>
      </c>
      <c r="V44" s="6">
        <f t="shared" si="3"/>
        <v>4450</v>
      </c>
      <c r="W44" s="8">
        <f t="shared" si="4"/>
        <v>4013260</v>
      </c>
    </row>
    <row r="45" spans="1:23" ht="16.95" customHeight="1" x14ac:dyDescent="0.4">
      <c r="A45" s="12" t="s">
        <v>189</v>
      </c>
      <c r="B45" s="13" t="s">
        <v>100</v>
      </c>
      <c r="C45" s="14" t="s">
        <v>101</v>
      </c>
      <c r="D45" s="6">
        <v>0</v>
      </c>
      <c r="E45" s="9">
        <v>3136570</v>
      </c>
      <c r="F45" s="9">
        <v>2305010</v>
      </c>
      <c r="G45" s="6"/>
      <c r="H45" s="6">
        <f t="shared" si="5"/>
        <v>5441580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f t="shared" si="1"/>
        <v>5441580</v>
      </c>
      <c r="Q45" s="6">
        <v>0</v>
      </c>
      <c r="R45" s="7">
        <f t="shared" si="2"/>
        <v>5441580</v>
      </c>
      <c r="S45" s="6">
        <v>0</v>
      </c>
      <c r="T45" s="6">
        <v>0</v>
      </c>
      <c r="U45" s="6">
        <v>0</v>
      </c>
      <c r="V45" s="6">
        <f t="shared" si="3"/>
        <v>0</v>
      </c>
      <c r="W45" s="8">
        <f t="shared" si="4"/>
        <v>5441580</v>
      </c>
    </row>
    <row r="46" spans="1:23" ht="16.95" customHeight="1" x14ac:dyDescent="0.4">
      <c r="A46" s="10" t="s">
        <v>190</v>
      </c>
      <c r="B46" s="11" t="s">
        <v>102</v>
      </c>
      <c r="C46" s="5" t="s">
        <v>103</v>
      </c>
      <c r="D46" s="9">
        <v>144247000</v>
      </c>
      <c r="E46" s="6">
        <v>2850030</v>
      </c>
      <c r="F46" s="6">
        <v>2320180</v>
      </c>
      <c r="G46" s="9"/>
      <c r="H46" s="6">
        <f t="shared" si="5"/>
        <v>5170210</v>
      </c>
      <c r="I46" s="9">
        <v>0</v>
      </c>
      <c r="J46" s="9">
        <v>0</v>
      </c>
      <c r="K46" s="9">
        <v>43070</v>
      </c>
      <c r="L46" s="9">
        <v>20000</v>
      </c>
      <c r="M46" s="9">
        <v>5000</v>
      </c>
      <c r="N46" s="9">
        <v>0</v>
      </c>
      <c r="O46" s="9">
        <v>68250</v>
      </c>
      <c r="P46" s="9">
        <f t="shared" si="1"/>
        <v>5033890</v>
      </c>
      <c r="Q46" s="9">
        <v>2005826</v>
      </c>
      <c r="R46" s="7">
        <f t="shared" si="2"/>
        <v>7039716</v>
      </c>
      <c r="S46" s="9">
        <v>17450</v>
      </c>
      <c r="T46" s="9">
        <v>0</v>
      </c>
      <c r="U46" s="9">
        <v>0</v>
      </c>
      <c r="V46" s="9">
        <f t="shared" si="3"/>
        <v>17450</v>
      </c>
      <c r="W46" s="8">
        <f t="shared" si="4"/>
        <v>7022266</v>
      </c>
    </row>
    <row r="47" spans="1:23" ht="16.95" customHeight="1" x14ac:dyDescent="0.4">
      <c r="A47" s="12" t="s">
        <v>191</v>
      </c>
      <c r="B47" s="13" t="s">
        <v>104</v>
      </c>
      <c r="C47" s="14" t="s">
        <v>105</v>
      </c>
      <c r="D47" s="6">
        <v>63906190</v>
      </c>
      <c r="E47" s="9">
        <v>2835320</v>
      </c>
      <c r="F47" s="9">
        <v>0</v>
      </c>
      <c r="G47" s="6"/>
      <c r="H47" s="6">
        <f t="shared" si="5"/>
        <v>2835320</v>
      </c>
      <c r="I47" s="6">
        <v>263000</v>
      </c>
      <c r="J47" s="6">
        <v>1650000</v>
      </c>
      <c r="K47" s="6">
        <v>0</v>
      </c>
      <c r="L47" s="6">
        <v>10000</v>
      </c>
      <c r="M47" s="6">
        <v>0</v>
      </c>
      <c r="N47" s="6">
        <v>630</v>
      </c>
      <c r="O47" s="6">
        <v>0</v>
      </c>
      <c r="P47" s="6">
        <f t="shared" si="1"/>
        <v>4738950</v>
      </c>
      <c r="Q47" s="6">
        <v>0</v>
      </c>
      <c r="R47" s="7">
        <f t="shared" si="2"/>
        <v>4738950</v>
      </c>
      <c r="S47" s="6">
        <v>0</v>
      </c>
      <c r="T47" s="6">
        <v>11610</v>
      </c>
      <c r="U47" s="6">
        <v>0</v>
      </c>
      <c r="V47" s="6">
        <f t="shared" si="3"/>
        <v>11610</v>
      </c>
      <c r="W47" s="8">
        <f t="shared" si="4"/>
        <v>4727340</v>
      </c>
    </row>
    <row r="48" spans="1:23" ht="16.95" customHeight="1" x14ac:dyDescent="0.4">
      <c r="A48" s="10" t="s">
        <v>192</v>
      </c>
      <c r="B48" s="11" t="s">
        <v>106</v>
      </c>
      <c r="C48" s="5" t="s">
        <v>107</v>
      </c>
      <c r="D48" s="6">
        <v>0</v>
      </c>
      <c r="E48" s="16">
        <v>0</v>
      </c>
      <c r="F48" s="16">
        <v>0</v>
      </c>
      <c r="G48" s="6"/>
      <c r="H48" s="6">
        <f t="shared" si="5"/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f t="shared" si="1"/>
        <v>0</v>
      </c>
      <c r="Q48" s="6">
        <v>0</v>
      </c>
      <c r="R48" s="7">
        <f t="shared" si="2"/>
        <v>0</v>
      </c>
      <c r="S48" s="6">
        <v>0</v>
      </c>
      <c r="T48" s="6">
        <v>0</v>
      </c>
      <c r="U48" s="6">
        <v>0</v>
      </c>
      <c r="V48" s="6">
        <f t="shared" si="3"/>
        <v>0</v>
      </c>
      <c r="W48" s="8">
        <f t="shared" si="4"/>
        <v>0</v>
      </c>
    </row>
    <row r="49" spans="1:23" ht="16.95" customHeight="1" x14ac:dyDescent="0.4">
      <c r="A49" s="12" t="s">
        <v>193</v>
      </c>
      <c r="B49" s="13" t="s">
        <v>108</v>
      </c>
      <c r="C49" s="14" t="s">
        <v>109</v>
      </c>
      <c r="D49" s="9">
        <v>25224290</v>
      </c>
      <c r="E49" s="9">
        <v>2850030</v>
      </c>
      <c r="F49" s="9">
        <v>2250140</v>
      </c>
      <c r="G49" s="9"/>
      <c r="H49" s="6">
        <f t="shared" si="5"/>
        <v>5100170</v>
      </c>
      <c r="I49" s="9">
        <v>195500</v>
      </c>
      <c r="J49" s="9">
        <v>3315000</v>
      </c>
      <c r="K49" s="9">
        <v>0</v>
      </c>
      <c r="L49" s="9">
        <v>0</v>
      </c>
      <c r="M49" s="9">
        <v>0</v>
      </c>
      <c r="N49" s="9">
        <v>630</v>
      </c>
      <c r="O49" s="9">
        <v>0</v>
      </c>
      <c r="P49" s="9">
        <f t="shared" si="1"/>
        <v>8611300</v>
      </c>
      <c r="Q49" s="9">
        <v>0</v>
      </c>
      <c r="R49" s="7">
        <f t="shared" si="2"/>
        <v>8611300</v>
      </c>
      <c r="S49" s="9">
        <v>0</v>
      </c>
      <c r="T49" s="9">
        <v>29810</v>
      </c>
      <c r="U49" s="9">
        <v>0</v>
      </c>
      <c r="V49" s="9">
        <f t="shared" si="3"/>
        <v>29810</v>
      </c>
      <c r="W49" s="8">
        <f t="shared" si="4"/>
        <v>8581490</v>
      </c>
    </row>
    <row r="50" spans="1:23" ht="16.95" customHeight="1" x14ac:dyDescent="0.4">
      <c r="A50" s="10" t="s">
        <v>194</v>
      </c>
      <c r="B50" s="11" t="s">
        <v>110</v>
      </c>
      <c r="C50" s="5" t="s">
        <v>111</v>
      </c>
      <c r="D50" s="6">
        <v>111937240</v>
      </c>
      <c r="E50" s="6">
        <v>2921910</v>
      </c>
      <c r="F50" s="6">
        <v>2200080</v>
      </c>
      <c r="G50" s="6"/>
      <c r="H50" s="6">
        <f t="shared" si="5"/>
        <v>5121990</v>
      </c>
      <c r="I50" s="6">
        <v>0</v>
      </c>
      <c r="J50" s="6">
        <v>0</v>
      </c>
      <c r="K50" s="6">
        <v>0</v>
      </c>
      <c r="L50" s="6">
        <v>10000</v>
      </c>
      <c r="M50" s="6">
        <v>0</v>
      </c>
      <c r="N50" s="6">
        <v>630</v>
      </c>
      <c r="O50" s="6">
        <v>0</v>
      </c>
      <c r="P50" s="6">
        <f t="shared" si="1"/>
        <v>5112620</v>
      </c>
      <c r="Q50" s="6">
        <v>1588222</v>
      </c>
      <c r="R50" s="7">
        <f t="shared" si="2"/>
        <v>6700842</v>
      </c>
      <c r="S50" s="6">
        <v>16300</v>
      </c>
      <c r="T50" s="6">
        <v>0</v>
      </c>
      <c r="U50" s="6">
        <v>349085</v>
      </c>
      <c r="V50" s="6">
        <f t="shared" si="3"/>
        <v>365385</v>
      </c>
      <c r="W50" s="8">
        <f t="shared" si="4"/>
        <v>6335457</v>
      </c>
    </row>
    <row r="51" spans="1:23" ht="16.95" customHeight="1" x14ac:dyDescent="0.4">
      <c r="A51" s="12" t="s">
        <v>195</v>
      </c>
      <c r="B51" s="13" t="s">
        <v>112</v>
      </c>
      <c r="C51" s="14" t="s">
        <v>113</v>
      </c>
      <c r="D51" s="9">
        <v>63920100</v>
      </c>
      <c r="E51" s="16">
        <v>0</v>
      </c>
      <c r="F51" s="16">
        <v>0</v>
      </c>
      <c r="G51" s="9"/>
      <c r="H51" s="6">
        <f t="shared" si="5"/>
        <v>0</v>
      </c>
      <c r="I51" s="9">
        <v>315100</v>
      </c>
      <c r="J51" s="9">
        <v>2790000</v>
      </c>
      <c r="K51" s="9">
        <v>0</v>
      </c>
      <c r="L51" s="9">
        <v>0</v>
      </c>
      <c r="M51" s="9">
        <v>0</v>
      </c>
      <c r="N51" s="9">
        <v>630</v>
      </c>
      <c r="O51" s="9">
        <v>0</v>
      </c>
      <c r="P51" s="9">
        <f t="shared" si="1"/>
        <v>3105730</v>
      </c>
      <c r="Q51" s="9">
        <v>0</v>
      </c>
      <c r="R51" s="7">
        <f t="shared" si="2"/>
        <v>3105730</v>
      </c>
      <c r="S51" s="9">
        <v>0</v>
      </c>
      <c r="T51" s="9">
        <v>11610</v>
      </c>
      <c r="U51" s="9">
        <v>0</v>
      </c>
      <c r="V51" s="9">
        <f t="shared" si="3"/>
        <v>11610</v>
      </c>
      <c r="W51" s="8">
        <f t="shared" si="4"/>
        <v>3094120</v>
      </c>
    </row>
    <row r="52" spans="1:23" ht="16.95" customHeight="1" x14ac:dyDescent="0.4">
      <c r="A52" s="10" t="s">
        <v>196</v>
      </c>
      <c r="B52" s="11" t="s">
        <v>114</v>
      </c>
      <c r="C52" s="5" t="s">
        <v>115</v>
      </c>
      <c r="D52" s="9">
        <v>0</v>
      </c>
      <c r="E52" s="6">
        <v>2625470</v>
      </c>
      <c r="F52" s="6">
        <v>2415830</v>
      </c>
      <c r="G52" s="9"/>
      <c r="H52" s="6">
        <f t="shared" si="5"/>
        <v>5041300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f t="shared" si="1"/>
        <v>5041300</v>
      </c>
      <c r="Q52" s="9">
        <v>0</v>
      </c>
      <c r="R52" s="7">
        <f t="shared" si="2"/>
        <v>5041300</v>
      </c>
      <c r="S52" s="9">
        <v>0</v>
      </c>
      <c r="T52" s="9">
        <v>0</v>
      </c>
      <c r="U52" s="9">
        <v>0</v>
      </c>
      <c r="V52" s="9">
        <f t="shared" si="3"/>
        <v>0</v>
      </c>
      <c r="W52" s="8">
        <f t="shared" si="4"/>
        <v>5041300</v>
      </c>
    </row>
    <row r="53" spans="1:23" ht="16.95" customHeight="1" x14ac:dyDescent="0.4">
      <c r="A53" s="12" t="s">
        <v>197</v>
      </c>
      <c r="B53" s="13" t="s">
        <v>116</v>
      </c>
      <c r="C53" s="14" t="s">
        <v>117</v>
      </c>
      <c r="D53" s="6">
        <v>105831560</v>
      </c>
      <c r="E53" s="9">
        <v>2700240</v>
      </c>
      <c r="F53" s="9">
        <v>2200080</v>
      </c>
      <c r="G53" s="6"/>
      <c r="H53" s="6">
        <f t="shared" si="5"/>
        <v>4900320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630</v>
      </c>
      <c r="O53" s="6">
        <v>72000</v>
      </c>
      <c r="P53" s="6">
        <f t="shared" si="1"/>
        <v>4828950</v>
      </c>
      <c r="Q53" s="6">
        <v>1310247</v>
      </c>
      <c r="R53" s="7">
        <f t="shared" si="2"/>
        <v>6139197</v>
      </c>
      <c r="S53" s="6">
        <v>38890</v>
      </c>
      <c r="T53" s="6">
        <v>0</v>
      </c>
      <c r="U53" s="6">
        <v>0</v>
      </c>
      <c r="V53" s="6">
        <f t="shared" si="3"/>
        <v>38890</v>
      </c>
      <c r="W53" s="8">
        <f t="shared" si="4"/>
        <v>6100307</v>
      </c>
    </row>
    <row r="54" spans="1:23" ht="16.95" customHeight="1" x14ac:dyDescent="0.4">
      <c r="A54" s="10" t="s">
        <v>198</v>
      </c>
      <c r="B54" s="11" t="s">
        <v>118</v>
      </c>
      <c r="C54" s="5" t="s">
        <v>119</v>
      </c>
      <c r="D54" s="9">
        <v>68595800</v>
      </c>
      <c r="E54" s="6">
        <v>3360160</v>
      </c>
      <c r="F54" s="6">
        <v>2200080</v>
      </c>
      <c r="G54" s="9"/>
      <c r="H54" s="6">
        <f t="shared" si="5"/>
        <v>5560240</v>
      </c>
      <c r="I54" s="9">
        <v>757000</v>
      </c>
      <c r="J54" s="9">
        <v>0</v>
      </c>
      <c r="K54" s="9">
        <v>0</v>
      </c>
      <c r="L54" s="9">
        <v>0</v>
      </c>
      <c r="M54" s="9">
        <v>0</v>
      </c>
      <c r="N54" s="9">
        <v>630</v>
      </c>
      <c r="O54" s="9">
        <v>0</v>
      </c>
      <c r="P54" s="9">
        <f t="shared" si="1"/>
        <v>6317870</v>
      </c>
      <c r="Q54" s="9">
        <v>1214454</v>
      </c>
      <c r="R54" s="7">
        <f t="shared" si="2"/>
        <v>7532324</v>
      </c>
      <c r="S54" s="9">
        <v>13370</v>
      </c>
      <c r="T54" s="9">
        <v>0</v>
      </c>
      <c r="U54" s="9">
        <v>0</v>
      </c>
      <c r="V54" s="9">
        <f t="shared" si="3"/>
        <v>13370</v>
      </c>
      <c r="W54" s="8">
        <f t="shared" si="4"/>
        <v>7518954</v>
      </c>
    </row>
    <row r="55" spans="1:23" ht="16.95" customHeight="1" x14ac:dyDescent="0.4">
      <c r="A55" s="12" t="s">
        <v>199</v>
      </c>
      <c r="B55" s="13" t="s">
        <v>120</v>
      </c>
      <c r="C55" s="14" t="s">
        <v>121</v>
      </c>
      <c r="D55" s="6">
        <v>113023320</v>
      </c>
      <c r="E55" s="9">
        <v>3100150</v>
      </c>
      <c r="F55" s="9">
        <v>421850</v>
      </c>
      <c r="G55" s="6"/>
      <c r="H55" s="6">
        <f t="shared" si="5"/>
        <v>3522000</v>
      </c>
      <c r="I55" s="6">
        <v>442600</v>
      </c>
      <c r="J55" s="6">
        <v>2160000</v>
      </c>
      <c r="K55" s="6">
        <v>0</v>
      </c>
      <c r="L55" s="6">
        <v>0</v>
      </c>
      <c r="M55" s="6">
        <v>0</v>
      </c>
      <c r="N55" s="6">
        <v>630</v>
      </c>
      <c r="O55" s="6">
        <v>0</v>
      </c>
      <c r="P55" s="6">
        <f t="shared" si="1"/>
        <v>6125230</v>
      </c>
      <c r="Q55" s="6">
        <v>0</v>
      </c>
      <c r="R55" s="7">
        <f t="shared" si="2"/>
        <v>6125230</v>
      </c>
      <c r="S55" s="6">
        <v>0</v>
      </c>
      <c r="T55" s="6">
        <v>17820</v>
      </c>
      <c r="U55" s="6">
        <v>0</v>
      </c>
      <c r="V55" s="6">
        <f t="shared" si="3"/>
        <v>17820</v>
      </c>
      <c r="W55" s="8">
        <f t="shared" si="4"/>
        <v>6107410</v>
      </c>
    </row>
    <row r="56" spans="1:23" ht="16.95" customHeight="1" x14ac:dyDescent="0.4">
      <c r="A56" s="10" t="s">
        <v>200</v>
      </c>
      <c r="B56" s="11" t="s">
        <v>122</v>
      </c>
      <c r="C56" s="5" t="s">
        <v>123</v>
      </c>
      <c r="D56" s="6">
        <v>0</v>
      </c>
      <c r="E56" s="16">
        <v>0</v>
      </c>
      <c r="F56" s="16">
        <v>0</v>
      </c>
      <c r="G56" s="6"/>
      <c r="H56" s="6">
        <f t="shared" si="5"/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f t="shared" si="1"/>
        <v>0</v>
      </c>
      <c r="Q56" s="6">
        <v>0</v>
      </c>
      <c r="R56" s="7">
        <f t="shared" si="2"/>
        <v>0</v>
      </c>
      <c r="S56" s="6">
        <v>0</v>
      </c>
      <c r="T56" s="6">
        <v>0</v>
      </c>
      <c r="U56" s="6">
        <v>0</v>
      </c>
      <c r="V56" s="6">
        <f t="shared" si="3"/>
        <v>0</v>
      </c>
      <c r="W56" s="8">
        <f t="shared" si="4"/>
        <v>0</v>
      </c>
    </row>
    <row r="57" spans="1:23" ht="16.95" customHeight="1" x14ac:dyDescent="0.4">
      <c r="A57" s="12" t="s">
        <v>201</v>
      </c>
      <c r="B57" s="13" t="s">
        <v>124</v>
      </c>
      <c r="C57" s="14" t="s">
        <v>125</v>
      </c>
      <c r="D57" s="9">
        <v>102008500</v>
      </c>
      <c r="E57" s="16">
        <v>0</v>
      </c>
      <c r="F57" s="16">
        <v>0</v>
      </c>
      <c r="G57" s="9"/>
      <c r="H57" s="6">
        <f t="shared" si="5"/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630</v>
      </c>
      <c r="O57" s="9">
        <v>0</v>
      </c>
      <c r="P57" s="9">
        <f t="shared" si="1"/>
        <v>630</v>
      </c>
      <c r="Q57" s="9">
        <v>1530191</v>
      </c>
      <c r="R57" s="7">
        <f t="shared" si="2"/>
        <v>1530821</v>
      </c>
      <c r="S57" s="9">
        <v>15900</v>
      </c>
      <c r="T57" s="9">
        <v>0</v>
      </c>
      <c r="U57" s="9">
        <v>0</v>
      </c>
      <c r="V57" s="9">
        <f t="shared" si="3"/>
        <v>15900</v>
      </c>
      <c r="W57" s="8">
        <f t="shared" si="4"/>
        <v>1514921</v>
      </c>
    </row>
    <row r="58" spans="1:23" ht="16.95" customHeight="1" x14ac:dyDescent="0.4">
      <c r="A58" s="10" t="s">
        <v>202</v>
      </c>
      <c r="B58" s="11" t="s">
        <v>126</v>
      </c>
      <c r="C58" s="5" t="s">
        <v>127</v>
      </c>
      <c r="D58" s="6">
        <v>140379050</v>
      </c>
      <c r="E58" s="16">
        <v>0</v>
      </c>
      <c r="F58" s="16">
        <v>0</v>
      </c>
      <c r="G58" s="6"/>
      <c r="H58" s="6">
        <f t="shared" si="5"/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630</v>
      </c>
      <c r="O58" s="6">
        <v>0</v>
      </c>
      <c r="P58" s="6">
        <f t="shared" si="1"/>
        <v>630</v>
      </c>
      <c r="Q58" s="6">
        <v>2035560</v>
      </c>
      <c r="R58" s="7">
        <f t="shared" si="2"/>
        <v>2036190</v>
      </c>
      <c r="S58" s="6">
        <v>18430</v>
      </c>
      <c r="T58" s="6">
        <v>0</v>
      </c>
      <c r="U58" s="6">
        <v>711810</v>
      </c>
      <c r="V58" s="6">
        <f t="shared" si="3"/>
        <v>730240</v>
      </c>
      <c r="W58" s="8">
        <f t="shared" si="4"/>
        <v>1305950</v>
      </c>
    </row>
    <row r="59" spans="1:23" ht="16.95" customHeight="1" x14ac:dyDescent="0.4">
      <c r="A59" s="12" t="s">
        <v>203</v>
      </c>
      <c r="B59" s="13" t="s">
        <v>128</v>
      </c>
      <c r="C59" s="14" t="s">
        <v>129</v>
      </c>
      <c r="D59" s="9">
        <v>55236620</v>
      </c>
      <c r="E59" s="9">
        <v>2935470</v>
      </c>
      <c r="F59" s="9">
        <v>2300130</v>
      </c>
      <c r="G59" s="9"/>
      <c r="H59" s="6">
        <f t="shared" si="5"/>
        <v>5235600</v>
      </c>
      <c r="I59" s="9">
        <v>0</v>
      </c>
      <c r="J59" s="9">
        <v>0</v>
      </c>
      <c r="K59" s="9">
        <v>1200</v>
      </c>
      <c r="L59" s="9">
        <v>0</v>
      </c>
      <c r="M59" s="9">
        <v>5000</v>
      </c>
      <c r="N59" s="9">
        <v>0</v>
      </c>
      <c r="O59" s="9">
        <v>0</v>
      </c>
      <c r="P59" s="9">
        <f t="shared" si="1"/>
        <v>5229400</v>
      </c>
      <c r="Q59" s="9">
        <v>714097</v>
      </c>
      <c r="R59" s="7">
        <f t="shared" si="2"/>
        <v>5943497</v>
      </c>
      <c r="S59" s="9">
        <v>19530</v>
      </c>
      <c r="T59" s="9">
        <v>0</v>
      </c>
      <c r="U59" s="9">
        <v>0</v>
      </c>
      <c r="V59" s="9">
        <f t="shared" si="3"/>
        <v>19530</v>
      </c>
      <c r="W59" s="8">
        <f t="shared" si="4"/>
        <v>5923967</v>
      </c>
    </row>
    <row r="60" spans="1:23" ht="16.95" customHeight="1" x14ac:dyDescent="0.4">
      <c r="A60" s="10" t="s">
        <v>204</v>
      </c>
      <c r="B60" s="11" t="s">
        <v>130</v>
      </c>
      <c r="C60" s="5" t="s">
        <v>131</v>
      </c>
      <c r="D60" s="6">
        <v>37817360</v>
      </c>
      <c r="E60" s="6">
        <v>2520310</v>
      </c>
      <c r="F60" s="6">
        <v>2126750</v>
      </c>
      <c r="G60" s="6"/>
      <c r="H60" s="6">
        <f t="shared" si="5"/>
        <v>4647060</v>
      </c>
      <c r="I60" s="6">
        <v>236500</v>
      </c>
      <c r="J60" s="6">
        <v>2880000</v>
      </c>
      <c r="K60" s="6">
        <v>0</v>
      </c>
      <c r="L60" s="6">
        <v>0</v>
      </c>
      <c r="M60" s="6">
        <v>0</v>
      </c>
      <c r="N60" s="6">
        <v>630</v>
      </c>
      <c r="O60" s="6">
        <v>0</v>
      </c>
      <c r="P60" s="6">
        <f t="shared" si="1"/>
        <v>7764190</v>
      </c>
      <c r="Q60" s="6">
        <v>0</v>
      </c>
      <c r="R60" s="7">
        <f t="shared" si="2"/>
        <v>7764190</v>
      </c>
      <c r="S60" s="6">
        <v>0</v>
      </c>
      <c r="T60" s="6">
        <v>208430</v>
      </c>
      <c r="U60" s="6">
        <v>0</v>
      </c>
      <c r="V60" s="6">
        <f t="shared" si="3"/>
        <v>208430</v>
      </c>
      <c r="W60" s="8">
        <f t="shared" si="4"/>
        <v>7555760</v>
      </c>
    </row>
    <row r="61" spans="1:23" ht="16.95" customHeight="1" x14ac:dyDescent="0.4">
      <c r="A61" s="12" t="s">
        <v>205</v>
      </c>
      <c r="B61" s="13" t="s">
        <v>132</v>
      </c>
      <c r="C61" s="14" t="s">
        <v>133</v>
      </c>
      <c r="D61" s="9">
        <v>49274810</v>
      </c>
      <c r="E61" s="9">
        <v>2884280</v>
      </c>
      <c r="F61" s="9">
        <v>2245160</v>
      </c>
      <c r="G61" s="9"/>
      <c r="H61" s="6">
        <f t="shared" si="5"/>
        <v>5129440</v>
      </c>
      <c r="I61" s="9">
        <v>305900</v>
      </c>
      <c r="J61" s="9">
        <v>1170000</v>
      </c>
      <c r="K61" s="9">
        <v>0</v>
      </c>
      <c r="L61" s="9">
        <v>0</v>
      </c>
      <c r="M61" s="9">
        <v>0</v>
      </c>
      <c r="N61" s="9">
        <v>630</v>
      </c>
      <c r="O61" s="9">
        <v>0</v>
      </c>
      <c r="P61" s="9">
        <f t="shared" si="1"/>
        <v>6605970</v>
      </c>
      <c r="Q61" s="9">
        <v>0</v>
      </c>
      <c r="R61" s="7">
        <f t="shared" si="2"/>
        <v>6605970</v>
      </c>
      <c r="S61" s="9">
        <v>0</v>
      </c>
      <c r="T61" s="9">
        <v>10530</v>
      </c>
      <c r="U61" s="9">
        <v>0</v>
      </c>
      <c r="V61" s="9">
        <f t="shared" si="3"/>
        <v>10530</v>
      </c>
      <c r="W61" s="8">
        <f t="shared" si="4"/>
        <v>6595440</v>
      </c>
    </row>
    <row r="62" spans="1:23" ht="16.95" customHeight="1" x14ac:dyDescent="0.4">
      <c r="A62" s="10" t="s">
        <v>206</v>
      </c>
      <c r="B62" s="11" t="s">
        <v>134</v>
      </c>
      <c r="C62" s="5" t="s">
        <v>135</v>
      </c>
      <c r="D62" s="9">
        <v>0</v>
      </c>
      <c r="E62" s="6">
        <v>2646210</v>
      </c>
      <c r="F62" s="6">
        <v>2425160</v>
      </c>
      <c r="G62" s="9"/>
      <c r="H62" s="6">
        <f t="shared" si="5"/>
        <v>5071370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f t="shared" si="1"/>
        <v>5071370</v>
      </c>
      <c r="Q62" s="9">
        <v>0</v>
      </c>
      <c r="R62" s="7">
        <f t="shared" si="2"/>
        <v>5071370</v>
      </c>
      <c r="S62" s="9">
        <v>0</v>
      </c>
      <c r="T62" s="9">
        <v>0</v>
      </c>
      <c r="U62" s="9">
        <v>0</v>
      </c>
      <c r="V62" s="9">
        <f t="shared" si="3"/>
        <v>0</v>
      </c>
      <c r="W62" s="8">
        <f t="shared" si="4"/>
        <v>5071370</v>
      </c>
    </row>
    <row r="63" spans="1:23" ht="16.95" customHeight="1" x14ac:dyDescent="0.4">
      <c r="A63" s="12" t="s">
        <v>207</v>
      </c>
      <c r="B63" s="13" t="s">
        <v>208</v>
      </c>
      <c r="C63" s="14"/>
      <c r="D63" s="6">
        <v>58001180</v>
      </c>
      <c r="E63" s="9">
        <v>2605210</v>
      </c>
      <c r="F63" s="9">
        <v>2400210</v>
      </c>
      <c r="G63" s="6"/>
      <c r="H63" s="6">
        <f t="shared" si="5"/>
        <v>5005420</v>
      </c>
      <c r="I63" s="6">
        <v>356550</v>
      </c>
      <c r="J63" s="6">
        <v>1020000</v>
      </c>
      <c r="K63" s="6">
        <v>0</v>
      </c>
      <c r="L63" s="6">
        <v>0</v>
      </c>
      <c r="M63" s="6">
        <v>0</v>
      </c>
      <c r="N63" s="6">
        <v>630</v>
      </c>
      <c r="O63" s="6">
        <v>0</v>
      </c>
      <c r="P63" s="6">
        <f t="shared" si="1"/>
        <v>6382600</v>
      </c>
      <c r="Q63" s="6">
        <v>0</v>
      </c>
      <c r="R63" s="7">
        <f t="shared" si="2"/>
        <v>6382600</v>
      </c>
      <c r="S63" s="6">
        <v>0</v>
      </c>
      <c r="T63" s="6">
        <v>9180</v>
      </c>
      <c r="U63" s="6">
        <v>0</v>
      </c>
      <c r="V63" s="6">
        <f t="shared" si="3"/>
        <v>9180</v>
      </c>
      <c r="W63" s="8">
        <f t="shared" si="4"/>
        <v>6373420</v>
      </c>
    </row>
    <row r="64" spans="1:23" ht="16.95" customHeight="1" x14ac:dyDescent="0.4">
      <c r="A64" s="10" t="s">
        <v>209</v>
      </c>
      <c r="B64" s="11" t="s">
        <v>136</v>
      </c>
      <c r="C64" s="5" t="s">
        <v>137</v>
      </c>
      <c r="D64" s="6">
        <v>0</v>
      </c>
      <c r="E64" s="6">
        <v>0</v>
      </c>
      <c r="F64" s="6">
        <v>0</v>
      </c>
      <c r="G64" s="6"/>
      <c r="H64" s="6">
        <f t="shared" si="5"/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f t="shared" si="1"/>
        <v>0</v>
      </c>
      <c r="Q64" s="6">
        <v>0</v>
      </c>
      <c r="R64" s="7">
        <f t="shared" si="2"/>
        <v>0</v>
      </c>
      <c r="S64" s="6">
        <v>0</v>
      </c>
      <c r="T64" s="6">
        <v>0</v>
      </c>
      <c r="U64" s="6">
        <v>0</v>
      </c>
      <c r="V64" s="6">
        <f t="shared" si="3"/>
        <v>0</v>
      </c>
      <c r="W64" s="8">
        <f t="shared" si="4"/>
        <v>0</v>
      </c>
    </row>
    <row r="65" spans="1:23" ht="16.95" customHeight="1" x14ac:dyDescent="0.4">
      <c r="A65" s="12" t="s">
        <v>210</v>
      </c>
      <c r="B65" s="13" t="s">
        <v>138</v>
      </c>
      <c r="C65" s="14" t="s">
        <v>139</v>
      </c>
      <c r="D65" s="9">
        <v>36632990</v>
      </c>
      <c r="E65" s="9">
        <v>3300110</v>
      </c>
      <c r="F65" s="9">
        <v>2300130</v>
      </c>
      <c r="G65" s="9"/>
      <c r="H65" s="6">
        <f t="shared" si="5"/>
        <v>5600240</v>
      </c>
      <c r="I65" s="9">
        <v>175700</v>
      </c>
      <c r="J65" s="9">
        <v>1785000</v>
      </c>
      <c r="K65" s="9">
        <v>0</v>
      </c>
      <c r="L65" s="9">
        <v>0</v>
      </c>
      <c r="M65" s="9">
        <v>0</v>
      </c>
      <c r="N65" s="9">
        <v>630</v>
      </c>
      <c r="O65" s="9">
        <v>0</v>
      </c>
      <c r="P65" s="9">
        <f t="shared" si="1"/>
        <v>7561570</v>
      </c>
      <c r="Q65" s="9">
        <v>0</v>
      </c>
      <c r="R65" s="7">
        <f t="shared" si="2"/>
        <v>7561570</v>
      </c>
      <c r="S65" s="9">
        <v>0</v>
      </c>
      <c r="T65" s="9">
        <v>16050</v>
      </c>
      <c r="U65" s="9">
        <v>0</v>
      </c>
      <c r="V65" s="9">
        <f t="shared" si="3"/>
        <v>16050</v>
      </c>
      <c r="W65" s="8">
        <f t="shared" si="4"/>
        <v>7545520</v>
      </c>
    </row>
    <row r="66" spans="1:23" ht="16.95" customHeight="1" x14ac:dyDescent="0.4">
      <c r="A66" s="10" t="s">
        <v>211</v>
      </c>
      <c r="B66" s="11" t="s">
        <v>140</v>
      </c>
      <c r="C66" s="5" t="s">
        <v>141</v>
      </c>
      <c r="D66" s="6">
        <v>53403450</v>
      </c>
      <c r="E66" s="6">
        <v>2700240</v>
      </c>
      <c r="F66" s="6">
        <v>0</v>
      </c>
      <c r="G66" s="6"/>
      <c r="H66" s="6">
        <f t="shared" si="5"/>
        <v>2700240</v>
      </c>
      <c r="I66" s="6">
        <v>0</v>
      </c>
      <c r="J66" s="6">
        <v>0</v>
      </c>
      <c r="K66" s="6">
        <v>0</v>
      </c>
      <c r="L66" s="6">
        <v>40000</v>
      </c>
      <c r="M66" s="6">
        <v>0</v>
      </c>
      <c r="N66" s="6">
        <v>630</v>
      </c>
      <c r="O66" s="6">
        <v>86400</v>
      </c>
      <c r="P66" s="6">
        <f t="shared" si="1"/>
        <v>2574470</v>
      </c>
      <c r="Q66" s="6">
        <v>732205</v>
      </c>
      <c r="R66" s="7">
        <f t="shared" si="2"/>
        <v>3306675</v>
      </c>
      <c r="S66" s="6">
        <v>35810</v>
      </c>
      <c r="T66" s="6">
        <v>0</v>
      </c>
      <c r="U66" s="6">
        <v>210265</v>
      </c>
      <c r="V66" s="6">
        <f t="shared" si="3"/>
        <v>246075</v>
      </c>
      <c r="W66" s="8">
        <f t="shared" si="4"/>
        <v>3060600</v>
      </c>
    </row>
    <row r="67" spans="1:23" ht="16.95" customHeight="1" x14ac:dyDescent="0.4">
      <c r="A67" s="12" t="s">
        <v>212</v>
      </c>
      <c r="B67" s="13" t="s">
        <v>142</v>
      </c>
      <c r="C67" s="14" t="s">
        <v>143</v>
      </c>
      <c r="D67" s="9">
        <v>54933160</v>
      </c>
      <c r="E67" s="16">
        <v>0</v>
      </c>
      <c r="F67" s="16">
        <v>0</v>
      </c>
      <c r="G67" s="9"/>
      <c r="H67" s="6">
        <f t="shared" si="5"/>
        <v>0</v>
      </c>
      <c r="I67" s="9">
        <v>206500</v>
      </c>
      <c r="J67" s="9">
        <v>430000</v>
      </c>
      <c r="K67" s="9">
        <v>0</v>
      </c>
      <c r="L67" s="9">
        <v>0</v>
      </c>
      <c r="M67" s="9">
        <v>0</v>
      </c>
      <c r="N67" s="9">
        <v>630</v>
      </c>
      <c r="O67" s="9">
        <v>63750</v>
      </c>
      <c r="P67" s="9">
        <f t="shared" si="1"/>
        <v>573380</v>
      </c>
      <c r="Q67" s="9">
        <v>0</v>
      </c>
      <c r="R67" s="7">
        <f t="shared" si="2"/>
        <v>573380</v>
      </c>
      <c r="S67" s="9">
        <v>0</v>
      </c>
      <c r="T67" s="9">
        <v>3870</v>
      </c>
      <c r="U67" s="9">
        <v>0</v>
      </c>
      <c r="V67" s="9">
        <f t="shared" si="3"/>
        <v>3870</v>
      </c>
      <c r="W67" s="8">
        <f t="shared" si="4"/>
        <v>569510</v>
      </c>
    </row>
    <row r="68" spans="1:23" ht="16.95" customHeight="1" thickBot="1" x14ac:dyDescent="0.45">
      <c r="A68" s="24" t="s">
        <v>213</v>
      </c>
      <c r="B68" s="25"/>
      <c r="C68" s="25"/>
      <c r="D68" s="18">
        <f>SUM(D4:D67)</f>
        <v>2654438690</v>
      </c>
      <c r="E68" s="19">
        <v>0</v>
      </c>
      <c r="F68" s="19">
        <v>0</v>
      </c>
      <c r="G68" s="19"/>
      <c r="H68" s="18">
        <f t="shared" ref="H68" si="6">SUM(E68:G68)</f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20">
        <v>0</v>
      </c>
      <c r="S68" s="19">
        <v>0</v>
      </c>
      <c r="T68" s="19">
        <v>0</v>
      </c>
      <c r="U68" s="19">
        <v>0</v>
      </c>
      <c r="V68" s="19">
        <v>0</v>
      </c>
      <c r="W68" s="21">
        <v>0</v>
      </c>
    </row>
  </sheetData>
  <mergeCells count="11">
    <mergeCell ref="A1:W1"/>
    <mergeCell ref="P2:R2"/>
    <mergeCell ref="A2:A3"/>
    <mergeCell ref="B2:B3"/>
    <mergeCell ref="C2:C3"/>
    <mergeCell ref="A68:C68"/>
    <mergeCell ref="D2:D3"/>
    <mergeCell ref="S2:V2"/>
    <mergeCell ref="K2:O2"/>
    <mergeCell ref="E2:H2"/>
    <mergeCell ref="I2:J2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판매수수료작업시트(AMD)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azmang</cp:lastModifiedBy>
  <dcterms:created xsi:type="dcterms:W3CDTF">2026-07-07T07:52:27Z</dcterms:created>
  <dcterms:modified xsi:type="dcterms:W3CDTF">2026-07-07T10:51:09Z</dcterms:modified>
</cp:coreProperties>
</file>