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zmang\Documents\결산\판매수수료\판매수수료_자동계산_시스템\AMD\templates\"/>
    </mc:Choice>
  </mc:AlternateContent>
  <xr:revisionPtr revIDLastSave="0" documentId="13_ncr:1_{A62BF649-93AE-4864-9758-01ADC3B658CC}" xr6:coauthVersionLast="47" xr6:coauthVersionMax="47" xr10:uidLastSave="{00000000-0000-0000-0000-000000000000}"/>
  <bookViews>
    <workbookView xWindow="-108" yWindow="-108" windowWidth="23256" windowHeight="12528" xr2:uid="{ABECD6F1-9B0D-458C-AA79-3C2A30CA1794}"/>
  </bookViews>
  <sheets>
    <sheet name="정산보고" sheetId="1" r:id="rId1"/>
  </sheets>
  <definedNames>
    <definedName name="_xlnm._FilterDatabase" localSheetId="0" hidden="1">정산보고!$A$3:$M$67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6" i="1" l="1"/>
  <c r="M66" i="1"/>
  <c r="C71" i="1"/>
  <c r="J68" i="1" l="1"/>
  <c r="H68" i="1"/>
  <c r="D68" i="1"/>
  <c r="G68" i="1" s="1"/>
  <c r="C68" i="1"/>
  <c r="C70" i="1" s="1"/>
  <c r="M40" i="1"/>
  <c r="L65" i="1"/>
  <c r="L34" i="1"/>
  <c r="L49" i="1"/>
  <c r="L39" i="1"/>
  <c r="L36" i="1"/>
  <c r="L16" i="1"/>
  <c r="L54" i="1"/>
  <c r="L55" i="1"/>
  <c r="L24" i="1"/>
  <c r="L11" i="1"/>
  <c r="L17" i="1"/>
  <c r="M26" i="1"/>
  <c r="L37" i="1"/>
  <c r="L32" i="1"/>
  <c r="L35" i="1"/>
  <c r="L8" i="1"/>
  <c r="M59" i="1"/>
  <c r="L47" i="1"/>
  <c r="L20" i="1"/>
  <c r="L44" i="1"/>
  <c r="M57" i="1"/>
  <c r="M41" i="1"/>
  <c r="L46" i="1"/>
  <c r="L19" i="1"/>
  <c r="L61" i="1"/>
  <c r="L56" i="1"/>
  <c r="M6" i="1"/>
  <c r="L43" i="1"/>
  <c r="L53" i="1"/>
  <c r="L15" i="1"/>
  <c r="M48" i="1"/>
  <c r="L7" i="1"/>
  <c r="L28" i="1"/>
  <c r="M29" i="1"/>
  <c r="L45" i="1"/>
  <c r="L52" i="1"/>
  <c r="L51" i="1"/>
  <c r="L58" i="1"/>
  <c r="L9" i="1"/>
  <c r="L42" i="1"/>
  <c r="M60" i="1"/>
  <c r="L12" i="1"/>
  <c r="L50" i="1"/>
  <c r="M22" i="1"/>
  <c r="L30" i="1"/>
  <c r="L62" i="1"/>
  <c r="L21" i="1"/>
  <c r="L64" i="1"/>
  <c r="L33" i="1"/>
  <c r="L23" i="1"/>
  <c r="L10" i="1"/>
  <c r="M5" i="1"/>
  <c r="L13" i="1"/>
  <c r="L27" i="1"/>
  <c r="L40" i="1"/>
  <c r="M65" i="1"/>
  <c r="L31" i="1"/>
  <c r="M31" i="1"/>
  <c r="L38" i="1"/>
  <c r="M38" i="1"/>
  <c r="M39" i="1"/>
  <c r="L4" i="1"/>
  <c r="M4" i="1"/>
  <c r="M36" i="1"/>
  <c r="M16" i="1"/>
  <c r="L25" i="1"/>
  <c r="M25" i="1"/>
  <c r="L63" i="1"/>
  <c r="M63" i="1"/>
  <c r="M47" i="1"/>
  <c r="M46" i="1"/>
  <c r="M61" i="1"/>
  <c r="M56" i="1"/>
  <c r="L14" i="1"/>
  <c r="M14" i="1"/>
  <c r="L18" i="1"/>
  <c r="M18" i="1"/>
  <c r="L60" i="1"/>
  <c r="L5" i="1"/>
  <c r="M67" i="1"/>
  <c r="I68" i="1" l="1"/>
  <c r="M68" i="1" s="1"/>
  <c r="E68" i="1"/>
  <c r="C72" i="1"/>
  <c r="M51" i="1"/>
  <c r="M44" i="1"/>
  <c r="M10" i="1"/>
  <c r="M45" i="1"/>
  <c r="M23" i="1"/>
  <c r="L29" i="1"/>
  <c r="M33" i="1"/>
  <c r="M28" i="1"/>
  <c r="L59" i="1"/>
  <c r="M21" i="1"/>
  <c r="L48" i="1"/>
  <c r="M15" i="1"/>
  <c r="M9" i="1"/>
  <c r="M53" i="1"/>
  <c r="M55" i="1"/>
  <c r="M43" i="1"/>
  <c r="L6" i="1"/>
  <c r="M8" i="1"/>
  <c r="L67" i="1"/>
  <c r="M35" i="1"/>
  <c r="M30" i="1"/>
  <c r="M32" i="1"/>
  <c r="M27" i="1"/>
  <c r="L22" i="1"/>
  <c r="M50" i="1"/>
  <c r="M37" i="1"/>
  <c r="M13" i="1"/>
  <c r="L41" i="1"/>
  <c r="M49" i="1"/>
  <c r="M12" i="1"/>
  <c r="L57" i="1"/>
  <c r="L26" i="1"/>
  <c r="M11" i="1"/>
  <c r="M34" i="1"/>
  <c r="M7" i="1"/>
  <c r="M19" i="1"/>
  <c r="M20" i="1"/>
  <c r="M64" i="1"/>
  <c r="M17" i="1"/>
  <c r="M54" i="1"/>
  <c r="M42" i="1"/>
  <c r="M52" i="1"/>
  <c r="M24" i="1"/>
  <c r="M62" i="1"/>
  <c r="M58" i="1"/>
  <c r="K68" i="1" l="1"/>
  <c r="L68" i="1" s="1"/>
</calcChain>
</file>

<file path=xl/sharedStrings.xml><?xml version="1.0" encoding="utf-8"?>
<sst xmlns="http://schemas.openxmlformats.org/spreadsheetml/2006/main" count="146" uniqueCount="146">
  <si>
    <t>매장코드</t>
  </si>
  <si>
    <t>매장명</t>
  </si>
  <si>
    <t>매출금액</t>
  </si>
  <si>
    <t>수금액(V+)</t>
  </si>
  <si>
    <t>수금액(V-)</t>
  </si>
  <si>
    <t>생산원가(V-)</t>
  </si>
  <si>
    <t>영업이익(V-)</t>
  </si>
  <si>
    <t>총경비</t>
  </si>
  <si>
    <t>순이익</t>
  </si>
  <si>
    <t>05602</t>
  </si>
  <si>
    <t>현대아울렛남양주점</t>
  </si>
  <si>
    <t>00307</t>
  </si>
  <si>
    <t>신세계센텀점</t>
  </si>
  <si>
    <t>05601</t>
  </si>
  <si>
    <t>현대아울렛대전점</t>
  </si>
  <si>
    <t>00213</t>
  </si>
  <si>
    <t>현대대구점</t>
  </si>
  <si>
    <t>00304</t>
  </si>
  <si>
    <t>신세계강남점</t>
  </si>
  <si>
    <t>00219</t>
  </si>
  <si>
    <t>현대판교점</t>
  </si>
  <si>
    <t>00504</t>
  </si>
  <si>
    <t>갤러리아광교점</t>
  </si>
  <si>
    <t>00306</t>
  </si>
  <si>
    <t>신세계경기점</t>
  </si>
  <si>
    <t>00101</t>
  </si>
  <si>
    <t>롯데잠실점</t>
  </si>
  <si>
    <t>00301</t>
  </si>
  <si>
    <t>신세계광주점</t>
  </si>
  <si>
    <t>00128</t>
  </si>
  <si>
    <t>롯데부산본점</t>
  </si>
  <si>
    <t>01305</t>
  </si>
  <si>
    <t>신세계본점</t>
  </si>
  <si>
    <t>05002</t>
  </si>
  <si>
    <t>롯데아울렛김해점</t>
  </si>
  <si>
    <t>00142</t>
  </si>
  <si>
    <t>롯데동탄점</t>
  </si>
  <si>
    <t>05201</t>
  </si>
  <si>
    <t>LF스퀘어양주점</t>
  </si>
  <si>
    <t>00141</t>
  </si>
  <si>
    <t>롯데인천터미널점</t>
  </si>
  <si>
    <t>00114</t>
  </si>
  <si>
    <t>롯데창원점</t>
  </si>
  <si>
    <t>00129</t>
  </si>
  <si>
    <t>롯데평촌점</t>
  </si>
  <si>
    <t>00203</t>
  </si>
  <si>
    <t>현대울산점</t>
  </si>
  <si>
    <t>00303</t>
  </si>
  <si>
    <t>신세계마산점</t>
  </si>
  <si>
    <t>00214</t>
  </si>
  <si>
    <t>현대충청점</t>
  </si>
  <si>
    <t>00222</t>
  </si>
  <si>
    <t>현대신촌점</t>
  </si>
  <si>
    <t>00111</t>
  </si>
  <si>
    <t>롯데포항점</t>
  </si>
  <si>
    <t>05006</t>
  </si>
  <si>
    <t>롯데아울렛광교점</t>
  </si>
  <si>
    <t>00315</t>
  </si>
  <si>
    <t>신세계대전점</t>
  </si>
  <si>
    <t>00132</t>
  </si>
  <si>
    <t>롯데광복점</t>
  </si>
  <si>
    <t>00311</t>
  </si>
  <si>
    <t>신세계김해점</t>
  </si>
  <si>
    <t>00201</t>
  </si>
  <si>
    <t>현대천호점</t>
  </si>
  <si>
    <t>05004</t>
  </si>
  <si>
    <t>롯데아울렛광명점</t>
  </si>
  <si>
    <t>00308</t>
  </si>
  <si>
    <t>신세계타임스퀘어점</t>
  </si>
  <si>
    <t>00314</t>
  </si>
  <si>
    <t>신세계대구점</t>
  </si>
  <si>
    <t>00131</t>
  </si>
  <si>
    <t>롯데노원점</t>
  </si>
  <si>
    <t>05009</t>
  </si>
  <si>
    <t>롯데아울렛동부산점</t>
  </si>
  <si>
    <t>05003</t>
  </si>
  <si>
    <t>롯데아울렛이천점</t>
  </si>
  <si>
    <t>00106</t>
  </si>
  <si>
    <t>롯데광주점</t>
  </si>
  <si>
    <t>00310</t>
  </si>
  <si>
    <t>신세계의정부점</t>
  </si>
  <si>
    <t>00603</t>
  </si>
  <si>
    <t>AK프라자수원점</t>
  </si>
  <si>
    <t>00126</t>
  </si>
  <si>
    <t>롯데영등포점</t>
  </si>
  <si>
    <t>00503</t>
  </si>
  <si>
    <t>갤러리아천안점</t>
  </si>
  <si>
    <t>00110</t>
  </si>
  <si>
    <t>롯데강남점</t>
  </si>
  <si>
    <t>00208</t>
  </si>
  <si>
    <t>현대미아점</t>
  </si>
  <si>
    <t>00210</t>
  </si>
  <si>
    <t>현대중동점</t>
  </si>
  <si>
    <t>00313</t>
  </si>
  <si>
    <t>신세계스타필드하남점</t>
  </si>
  <si>
    <t>00601</t>
  </si>
  <si>
    <t>AK프라자분당점</t>
  </si>
  <si>
    <t>00506</t>
  </si>
  <si>
    <t>갤러리아타임월드점</t>
  </si>
  <si>
    <t>00125</t>
  </si>
  <si>
    <t>롯데구리점</t>
  </si>
  <si>
    <t>00130</t>
  </si>
  <si>
    <t>롯데안산점</t>
  </si>
  <si>
    <t>05005</t>
  </si>
  <si>
    <t>롯데아울렛고양점</t>
  </si>
  <si>
    <t>00112</t>
  </si>
  <si>
    <t>롯데울산점</t>
  </si>
  <si>
    <t>00309</t>
  </si>
  <si>
    <t>신세계천안아산점</t>
  </si>
  <si>
    <t>05007</t>
  </si>
  <si>
    <t>롯데아울렛군산점</t>
  </si>
  <si>
    <t>00119</t>
  </si>
  <si>
    <t>롯데상인점</t>
  </si>
  <si>
    <t>00505</t>
  </si>
  <si>
    <t>갤러리아진주점</t>
  </si>
  <si>
    <t>00137</t>
  </si>
  <si>
    <t>롯데대구점</t>
  </si>
  <si>
    <t>00212</t>
  </si>
  <si>
    <t>현대킨텍스점</t>
  </si>
  <si>
    <t>05014</t>
  </si>
  <si>
    <t>롯데아울렛서울역점</t>
  </si>
  <si>
    <t>00135</t>
  </si>
  <si>
    <t>롯데수원점</t>
  </si>
  <si>
    <t>05552</t>
  </si>
  <si>
    <t>신세계아울렛파주점</t>
  </si>
  <si>
    <t>00218</t>
  </si>
  <si>
    <t>현대동구점</t>
  </si>
  <si>
    <t>00139</t>
  </si>
  <si>
    <t>롯데전주점</t>
  </si>
  <si>
    <t>00113</t>
  </si>
  <si>
    <t>롯데동래점</t>
  </si>
  <si>
    <t>00102</t>
  </si>
  <si>
    <t>롯데관악점</t>
  </si>
  <si>
    <t>00120</t>
  </si>
  <si>
    <t>롯데미아점</t>
  </si>
  <si>
    <t>00207</t>
  </si>
  <si>
    <t>현대압구정본점</t>
  </si>
  <si>
    <t>점수수료</t>
    <phoneticPr fontId="3" type="noConversion"/>
  </si>
  <si>
    <t>수수료율</t>
    <phoneticPr fontId="3" type="noConversion"/>
  </si>
  <si>
    <t>합계</t>
    <phoneticPr fontId="3" type="noConversion"/>
  </si>
  <si>
    <t>총매출</t>
    <phoneticPr fontId="10" type="noConversion"/>
  </si>
  <si>
    <t>매장수</t>
    <phoneticPr fontId="10" type="noConversion"/>
  </si>
  <si>
    <t>평균매출</t>
    <phoneticPr fontId="10" type="noConversion"/>
  </si>
  <si>
    <r>
      <t>2026년 06월 백화점 매장 정산 보고</t>
    </r>
    <r>
      <rPr>
        <sz val="12"/>
        <rFont val="맑은 고딕"/>
        <family val="3"/>
        <charset val="129"/>
      </rPr>
      <t>(매장코드순)</t>
    </r>
    <phoneticPr fontId="3" type="noConversion"/>
  </si>
  <si>
    <t>영업이익_순이익율</t>
    <phoneticPr fontId="3" type="noConversion"/>
  </si>
  <si>
    <t>영업이익_경비율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</si>
</sst>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13">
    <font>
      <sz val="11"/>
      <color theme="1"/>
      <name val="맑은 고딕"/>
      <family val="2"/>
      <scheme val="minor"/>
    </font>
    <font>
      <sz val="9"/>
      <color theme="1"/>
      <name val="돋움체"/>
      <family val="2"/>
      <charset val="129"/>
    </font>
    <font>
      <b/>
      <sz val="16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9"/>
      <name val="돋움체"/>
      <family val="3"/>
      <charset val="129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BFE8F5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medium">
        <color rgb="FF595959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rgb="FFA6A6A6"/>
      </right>
      <top style="medium">
        <color auto="1"/>
      </top>
      <bottom style="medium">
        <color auto="1"/>
      </bottom>
      <diagonal/>
    </border>
    <border>
      <left style="thin">
        <color rgb="FFA6A6A6"/>
      </left>
      <right style="thin">
        <color rgb="FFA6A6A6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/>
  </cellStyleXfs>
  <cellXfs count="23">
    <xf numFmtId="0" fontId="0" fillId="0" borderId="0" xfId="0"/>
    <xf numFmtId="0" fontId="4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9" fontId="4" fillId="0" borderId="2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4" fillId="0" borderId="3" xfId="2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9" fillId="3" borderId="4" xfId="3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3" fontId="9" fillId="3" borderId="4" xfId="1" applyNumberFormat="1" applyFont="1" applyFill="1" applyBorder="1" applyAlignment="1">
      <alignment vertical="center"/>
    </xf>
    <xf numFmtId="3" fontId="9" fillId="3" borderId="4" xfId="3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7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  <xf numFmtId="3" fontId="4" fillId="0" borderId="7" xfId="0" applyNumberFormat="1" applyFont="1" applyBorder="1" applyAlignment="1">
      <alignment vertical="center"/>
    </xf>
    <xf numFmtId="3" fontId="4" fillId="0" borderId="8" xfId="0" applyNumberFormat="1" applyFont="1" applyBorder="1" applyAlignment="1">
      <alignment vertical="center"/>
    </xf>
    <xf numFmtId="9" fontId="4" fillId="0" borderId="8" xfId="2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2" xfId="3" xr:uid="{A9CAE14F-823A-486E-81EA-F18FC95790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DEFC-7935-4567-8EB4-414BAED567A3}">
  <dimension ref="A1:M72"/>
  <sheetViews>
    <sheetView showGridLines="0" tabSelected="1" workbookViewId="0">
      <pane xSplit="2" ySplit="3" topLeftCell="C58" activePane="bottomRight" state="frozen"/>
      <selection pane="topRight" activeCell="C1" sqref="C1"/>
      <selection pane="bottomLeft" activeCell="A4" sqref="A4"/>
      <selection pane="bottomRight" activeCell="D62" sqref="D62"/>
    </sheetView>
  </sheetViews>
  <sheetFormatPr defaultRowHeight="17.399999999999999"/>
  <cols>
    <col min="1" max="1" width="10" customWidth="1"/>
    <col min="2" max="2" width="24" customWidth="1"/>
    <col min="3" max="11" width="12" customWidth="1"/>
    <col min="12" max="13" width="10" customWidth="1"/>
  </cols>
  <sheetData>
    <row r="1" spans="1:13" ht="25.95" customHeight="1">
      <c r="A1" s="17" t="s">
        <v>143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8" thickBot="1">
      <c r="K2" s="1"/>
    </row>
    <row r="3" spans="1:13">
      <c r="A3" s="2" t="s">
        <v>0</v>
      </c>
      <c r="B3" s="2" t="s">
        <v>1</v>
      </c>
      <c r="C3" s="2" t="s">
        <v>2</v>
      </c>
      <c r="D3" s="2" t="s">
        <v>3</v>
      </c>
      <c r="E3" s="2" t="s">
        <v>137</v>
      </c>
      <c r="F3" s="2" t="s">
        <v>138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18" t="s">
        <v>144</v>
      </c>
      <c r="M3" s="18" t="s">
        <v>145</v>
      </c>
    </row>
    <row r="4" spans="1:13">
      <c r="A4" s="3" t="s">
        <v>25</v>
      </c>
      <c r="B4" s="3" t="s">
        <v>26</v>
      </c>
      <c r="C4" s="10">
        <v>100201320</v>
      </c>
      <c r="D4" s="10">
        <v>64128844</v>
      </c>
      <c r="E4" s="10">
        <v>36072476</v>
      </c>
      <c r="F4" s="5">
        <v>0.36000000798392678</v>
      </c>
      <c r="G4" s="10">
        <v>58298949</v>
      </c>
      <c r="H4" s="10">
        <v>28413035</v>
      </c>
      <c r="I4" s="10">
        <v>29885914</v>
      </c>
      <c r="J4" s="10">
        <v>8582640</v>
      </c>
      <c r="K4" s="10">
        <v>21303274</v>
      </c>
      <c r="L4" s="4">
        <f t="shared" ref="L4:L34" si="0">K4/I4</f>
        <v>0.71281989234125487</v>
      </c>
      <c r="M4" s="4">
        <f t="shared" ref="M4:M34" si="1">J4/I4</f>
        <v>0.28718010765874519</v>
      </c>
    </row>
    <row r="5" spans="1:13">
      <c r="A5" s="3" t="s">
        <v>131</v>
      </c>
      <c r="B5" s="3" t="s">
        <v>132</v>
      </c>
      <c r="C5" s="10">
        <v>22763390</v>
      </c>
      <c r="D5" s="10">
        <v>14796216</v>
      </c>
      <c r="E5" s="10">
        <v>7967174</v>
      </c>
      <c r="F5" s="5">
        <v>0.34999945087265122</v>
      </c>
      <c r="G5" s="10">
        <v>13451105</v>
      </c>
      <c r="H5" s="10">
        <v>6899664</v>
      </c>
      <c r="I5" s="10">
        <v>6551441</v>
      </c>
      <c r="J5" s="10">
        <v>4824890</v>
      </c>
      <c r="K5" s="10">
        <v>1726551</v>
      </c>
      <c r="L5" s="4">
        <f t="shared" si="0"/>
        <v>0.26353759424834933</v>
      </c>
      <c r="M5" s="4">
        <f t="shared" si="1"/>
        <v>0.73646240575165067</v>
      </c>
    </row>
    <row r="6" spans="1:13">
      <c r="A6" s="3" t="s">
        <v>77</v>
      </c>
      <c r="B6" s="3" t="s">
        <v>78</v>
      </c>
      <c r="C6" s="10">
        <v>57336630</v>
      </c>
      <c r="D6" s="10">
        <v>36695443</v>
      </c>
      <c r="E6" s="10">
        <v>20641187</v>
      </c>
      <c r="F6" s="5">
        <v>0.36000000348817152</v>
      </c>
      <c r="G6" s="10">
        <v>33359494</v>
      </c>
      <c r="H6" s="10">
        <v>17316891</v>
      </c>
      <c r="I6" s="10">
        <v>16042603</v>
      </c>
      <c r="J6" s="10">
        <v>7874230</v>
      </c>
      <c r="K6" s="10">
        <v>8168373</v>
      </c>
      <c r="L6" s="4">
        <f t="shared" si="0"/>
        <v>0.50916755840682459</v>
      </c>
      <c r="M6" s="4">
        <f t="shared" si="1"/>
        <v>0.49083244159317535</v>
      </c>
    </row>
    <row r="7" spans="1:13">
      <c r="A7" s="3" t="s">
        <v>87</v>
      </c>
      <c r="B7" s="3" t="s">
        <v>88</v>
      </c>
      <c r="C7" s="10">
        <v>40961060</v>
      </c>
      <c r="D7" s="10">
        <v>26212877</v>
      </c>
      <c r="E7" s="10">
        <v>14748183</v>
      </c>
      <c r="F7" s="5">
        <v>0.36005374372635862</v>
      </c>
      <c r="G7" s="10">
        <v>23829888</v>
      </c>
      <c r="H7" s="10">
        <v>11837971</v>
      </c>
      <c r="I7" s="10">
        <v>11991917</v>
      </c>
      <c r="J7" s="10">
        <v>5699350</v>
      </c>
      <c r="K7" s="10">
        <v>6292567</v>
      </c>
      <c r="L7" s="4">
        <f t="shared" si="0"/>
        <v>0.52473403543403441</v>
      </c>
      <c r="M7" s="4">
        <f t="shared" si="1"/>
        <v>0.47526596456596554</v>
      </c>
    </row>
    <row r="8" spans="1:13">
      <c r="A8" s="3" t="s">
        <v>53</v>
      </c>
      <c r="B8" s="3" t="s">
        <v>54</v>
      </c>
      <c r="C8" s="10">
        <v>61151450</v>
      </c>
      <c r="D8" s="10">
        <v>39136928</v>
      </c>
      <c r="E8" s="10">
        <v>22014522</v>
      </c>
      <c r="F8" s="5">
        <v>0.36</v>
      </c>
      <c r="G8" s="10">
        <v>35579025</v>
      </c>
      <c r="H8" s="10">
        <v>16719093</v>
      </c>
      <c r="I8" s="10">
        <v>18859932</v>
      </c>
      <c r="J8" s="10">
        <v>9153120</v>
      </c>
      <c r="K8" s="10">
        <v>9706812</v>
      </c>
      <c r="L8" s="4">
        <f t="shared" si="0"/>
        <v>0.51467905610688314</v>
      </c>
      <c r="M8" s="4">
        <f t="shared" si="1"/>
        <v>0.48532094389311692</v>
      </c>
    </row>
    <row r="9" spans="1:13">
      <c r="A9" s="3" t="s">
        <v>105</v>
      </c>
      <c r="B9" s="3" t="s">
        <v>106</v>
      </c>
      <c r="C9" s="10">
        <v>34346630</v>
      </c>
      <c r="D9" s="10">
        <v>21981844</v>
      </c>
      <c r="E9" s="10">
        <v>12364786</v>
      </c>
      <c r="F9" s="5">
        <v>0.35999997670804967</v>
      </c>
      <c r="G9" s="10">
        <v>19983495</v>
      </c>
      <c r="H9" s="10">
        <v>9700022</v>
      </c>
      <c r="I9" s="10">
        <v>10283473</v>
      </c>
      <c r="J9" s="10">
        <v>6119000</v>
      </c>
      <c r="K9" s="10">
        <v>4164473</v>
      </c>
      <c r="L9" s="4">
        <f t="shared" si="0"/>
        <v>0.40496756300133235</v>
      </c>
      <c r="M9" s="4">
        <f t="shared" si="1"/>
        <v>0.5950324369986677</v>
      </c>
    </row>
    <row r="10" spans="1:13">
      <c r="A10" s="3" t="s">
        <v>129</v>
      </c>
      <c r="B10" s="3" t="s">
        <v>130</v>
      </c>
      <c r="C10" s="10">
        <v>24971050</v>
      </c>
      <c r="D10" s="10">
        <v>15981472</v>
      </c>
      <c r="E10" s="10">
        <v>8989578</v>
      </c>
      <c r="F10" s="5">
        <v>0.36</v>
      </c>
      <c r="G10" s="10">
        <v>14528611</v>
      </c>
      <c r="H10" s="10">
        <v>7651657</v>
      </c>
      <c r="I10" s="10">
        <v>6876954</v>
      </c>
      <c r="J10" s="10">
        <v>4728120</v>
      </c>
      <c r="K10" s="10">
        <v>2148834</v>
      </c>
      <c r="L10" s="4">
        <f t="shared" si="0"/>
        <v>0.31246886339504382</v>
      </c>
      <c r="M10" s="4">
        <f t="shared" si="1"/>
        <v>0.68753113660495624</v>
      </c>
    </row>
    <row r="11" spans="1:13">
      <c r="A11" s="3" t="s">
        <v>41</v>
      </c>
      <c r="B11" s="3" t="s">
        <v>42</v>
      </c>
      <c r="C11" s="10">
        <v>73935390</v>
      </c>
      <c r="D11" s="10">
        <v>47318648</v>
      </c>
      <c r="E11" s="10">
        <v>26616742</v>
      </c>
      <c r="F11" s="5">
        <v>0.36000002164051609</v>
      </c>
      <c r="G11" s="10">
        <v>43016953</v>
      </c>
      <c r="H11" s="10">
        <v>20536793</v>
      </c>
      <c r="I11" s="10">
        <v>22480160</v>
      </c>
      <c r="J11" s="10">
        <v>9796240</v>
      </c>
      <c r="K11" s="10">
        <v>12683920</v>
      </c>
      <c r="L11" s="4">
        <f t="shared" si="0"/>
        <v>0.56422730087330342</v>
      </c>
      <c r="M11" s="4">
        <f t="shared" si="1"/>
        <v>0.43577269912669658</v>
      </c>
    </row>
    <row r="12" spans="1:13">
      <c r="A12" s="3" t="s">
        <v>111</v>
      </c>
      <c r="B12" s="3" t="s">
        <v>112</v>
      </c>
      <c r="C12" s="10">
        <v>29106590</v>
      </c>
      <c r="D12" s="10">
        <v>18923105</v>
      </c>
      <c r="E12" s="10">
        <v>10183485</v>
      </c>
      <c r="F12" s="5">
        <v>0.34986870670868692</v>
      </c>
      <c r="G12" s="10">
        <v>17202823</v>
      </c>
      <c r="H12" s="10">
        <v>8562381</v>
      </c>
      <c r="I12" s="10">
        <v>8640442</v>
      </c>
      <c r="J12" s="10">
        <v>5055950</v>
      </c>
      <c r="K12" s="10">
        <v>3584492</v>
      </c>
      <c r="L12" s="4">
        <f t="shared" si="0"/>
        <v>0.41485053658134619</v>
      </c>
      <c r="M12" s="4">
        <f t="shared" si="1"/>
        <v>0.58514946341865381</v>
      </c>
    </row>
    <row r="13" spans="1:13">
      <c r="A13" s="3" t="s">
        <v>133</v>
      </c>
      <c r="B13" s="3" t="s">
        <v>134</v>
      </c>
      <c r="C13" s="10">
        <v>18224800</v>
      </c>
      <c r="D13" s="10">
        <v>11846141</v>
      </c>
      <c r="E13" s="10">
        <v>6378659</v>
      </c>
      <c r="F13" s="5">
        <v>0.34999884772398049</v>
      </c>
      <c r="G13" s="10">
        <v>10769219</v>
      </c>
      <c r="H13" s="10">
        <v>6101371</v>
      </c>
      <c r="I13" s="10">
        <v>4667848</v>
      </c>
      <c r="J13" s="10">
        <v>4368790</v>
      </c>
      <c r="K13" s="10">
        <v>299058</v>
      </c>
      <c r="L13" s="4">
        <f t="shared" si="0"/>
        <v>6.4067638877701241E-2</v>
      </c>
      <c r="M13" s="4">
        <f t="shared" si="1"/>
        <v>0.93593236112229872</v>
      </c>
    </row>
    <row r="14" spans="1:13">
      <c r="A14" s="3" t="s">
        <v>99</v>
      </c>
      <c r="B14" s="3" t="s">
        <v>100</v>
      </c>
      <c r="C14" s="10">
        <v>35904600</v>
      </c>
      <c r="D14" s="10">
        <v>22978945</v>
      </c>
      <c r="E14" s="10">
        <v>12925655</v>
      </c>
      <c r="F14" s="5">
        <v>0.3599999721484155</v>
      </c>
      <c r="G14" s="10">
        <v>20889950</v>
      </c>
      <c r="H14" s="10">
        <v>10250988</v>
      </c>
      <c r="I14" s="10">
        <v>10638962</v>
      </c>
      <c r="J14" s="10">
        <v>5487020</v>
      </c>
      <c r="K14" s="10">
        <v>5151942</v>
      </c>
      <c r="L14" s="4">
        <f t="shared" si="0"/>
        <v>0.48425231709634831</v>
      </c>
      <c r="M14" s="4">
        <f t="shared" si="1"/>
        <v>0.51574768290365169</v>
      </c>
    </row>
    <row r="15" spans="1:13">
      <c r="A15" s="3" t="s">
        <v>83</v>
      </c>
      <c r="B15" s="3" t="s">
        <v>84</v>
      </c>
      <c r="C15" s="10">
        <v>47019600</v>
      </c>
      <c r="D15" s="10">
        <v>30092544</v>
      </c>
      <c r="E15" s="10">
        <v>16927056</v>
      </c>
      <c r="F15" s="5">
        <v>0.36</v>
      </c>
      <c r="G15" s="10">
        <v>27356858</v>
      </c>
      <c r="H15" s="10">
        <v>13418038</v>
      </c>
      <c r="I15" s="10">
        <v>13938820</v>
      </c>
      <c r="J15" s="10">
        <v>6970890</v>
      </c>
      <c r="K15" s="10">
        <v>6967930</v>
      </c>
      <c r="L15" s="4">
        <f t="shared" si="0"/>
        <v>0.49989382171518104</v>
      </c>
      <c r="M15" s="4">
        <f t="shared" si="1"/>
        <v>0.50010617828481896</v>
      </c>
    </row>
    <row r="16" spans="1:13">
      <c r="A16" s="3" t="s">
        <v>29</v>
      </c>
      <c r="B16" s="3" t="s">
        <v>30</v>
      </c>
      <c r="C16" s="10">
        <v>92152870</v>
      </c>
      <c r="D16" s="10">
        <v>58977836</v>
      </c>
      <c r="E16" s="10">
        <v>33175034</v>
      </c>
      <c r="F16" s="5">
        <v>0.36000000868122722</v>
      </c>
      <c r="G16" s="10">
        <v>53616215</v>
      </c>
      <c r="H16" s="10">
        <v>24873052</v>
      </c>
      <c r="I16" s="10">
        <v>28743163</v>
      </c>
      <c r="J16" s="10">
        <v>9327750</v>
      </c>
      <c r="K16" s="10">
        <v>19415413</v>
      </c>
      <c r="L16" s="4">
        <f t="shared" si="0"/>
        <v>0.67547934790614383</v>
      </c>
      <c r="M16" s="4">
        <f t="shared" si="1"/>
        <v>0.32452065209385622</v>
      </c>
    </row>
    <row r="17" spans="1:13">
      <c r="A17" s="3" t="s">
        <v>43</v>
      </c>
      <c r="B17" s="3" t="s">
        <v>44</v>
      </c>
      <c r="C17" s="10">
        <v>72843200</v>
      </c>
      <c r="D17" s="10">
        <v>46619648</v>
      </c>
      <c r="E17" s="10">
        <v>26223552</v>
      </c>
      <c r="F17" s="5">
        <v>0.36</v>
      </c>
      <c r="G17" s="10">
        <v>42381498</v>
      </c>
      <c r="H17" s="10">
        <v>19904933</v>
      </c>
      <c r="I17" s="10">
        <v>22476565</v>
      </c>
      <c r="J17" s="10">
        <v>9952570</v>
      </c>
      <c r="K17" s="10">
        <v>12523995</v>
      </c>
      <c r="L17" s="4">
        <f t="shared" si="0"/>
        <v>0.55720235721072153</v>
      </c>
      <c r="M17" s="4">
        <f t="shared" si="1"/>
        <v>0.44279764278927852</v>
      </c>
    </row>
    <row r="18" spans="1:13">
      <c r="A18" s="3" t="s">
        <v>101</v>
      </c>
      <c r="B18" s="3" t="s">
        <v>102</v>
      </c>
      <c r="C18" s="10">
        <v>33825210</v>
      </c>
      <c r="D18" s="10">
        <v>22334980</v>
      </c>
      <c r="E18" s="10">
        <v>11490230</v>
      </c>
      <c r="F18" s="5">
        <v>0.33969426945169001</v>
      </c>
      <c r="G18" s="10">
        <v>20304527</v>
      </c>
      <c r="H18" s="10">
        <v>9832751</v>
      </c>
      <c r="I18" s="10">
        <v>10471776</v>
      </c>
      <c r="J18" s="10">
        <v>5966130</v>
      </c>
      <c r="K18" s="10">
        <v>4505646</v>
      </c>
      <c r="L18" s="4">
        <f t="shared" si="0"/>
        <v>0.43026569705081547</v>
      </c>
      <c r="M18" s="4">
        <f t="shared" si="1"/>
        <v>0.56973430294918459</v>
      </c>
    </row>
    <row r="19" spans="1:13">
      <c r="A19" s="3" t="s">
        <v>71</v>
      </c>
      <c r="B19" s="3" t="s">
        <v>72</v>
      </c>
      <c r="C19" s="10">
        <v>58371960</v>
      </c>
      <c r="D19" s="10">
        <v>37358054</v>
      </c>
      <c r="E19" s="10">
        <v>21013906</v>
      </c>
      <c r="F19" s="5">
        <v>0.36000000685260519</v>
      </c>
      <c r="G19" s="10">
        <v>33961867</v>
      </c>
      <c r="H19" s="10">
        <v>17172731</v>
      </c>
      <c r="I19" s="10">
        <v>16789136</v>
      </c>
      <c r="J19" s="10">
        <v>8727400</v>
      </c>
      <c r="K19" s="10">
        <v>8061736</v>
      </c>
      <c r="L19" s="4">
        <f t="shared" si="0"/>
        <v>0.48017575174803517</v>
      </c>
      <c r="M19" s="4">
        <f t="shared" si="1"/>
        <v>0.51982424825196483</v>
      </c>
    </row>
    <row r="20" spans="1:13">
      <c r="A20" s="3" t="s">
        <v>59</v>
      </c>
      <c r="B20" s="3" t="s">
        <v>60</v>
      </c>
      <c r="C20" s="10">
        <v>56817600</v>
      </c>
      <c r="D20" s="10">
        <v>36363264</v>
      </c>
      <c r="E20" s="10">
        <v>20454336</v>
      </c>
      <c r="F20" s="5">
        <v>0.36</v>
      </c>
      <c r="G20" s="10">
        <v>33057513</v>
      </c>
      <c r="H20" s="10">
        <v>15399260</v>
      </c>
      <c r="I20" s="10">
        <v>17658253</v>
      </c>
      <c r="J20" s="10">
        <v>6972160</v>
      </c>
      <c r="K20" s="10">
        <v>10686093</v>
      </c>
      <c r="L20" s="4">
        <f t="shared" si="0"/>
        <v>0.6051613939385736</v>
      </c>
      <c r="M20" s="4">
        <f t="shared" si="1"/>
        <v>0.39483860606142634</v>
      </c>
    </row>
    <row r="21" spans="1:13">
      <c r="A21" s="3" t="s">
        <v>121</v>
      </c>
      <c r="B21" s="3" t="s">
        <v>122</v>
      </c>
      <c r="C21" s="10">
        <v>25708310</v>
      </c>
      <c r="D21" s="10">
        <v>16453319</v>
      </c>
      <c r="E21" s="10">
        <v>9254991</v>
      </c>
      <c r="F21" s="5">
        <v>0.359999976661243</v>
      </c>
      <c r="G21" s="10">
        <v>14957563</v>
      </c>
      <c r="H21" s="10">
        <v>7457343</v>
      </c>
      <c r="I21" s="10">
        <v>7500220</v>
      </c>
      <c r="J21" s="10">
        <v>5746370</v>
      </c>
      <c r="K21" s="10">
        <v>1753850</v>
      </c>
      <c r="L21" s="4">
        <f t="shared" si="0"/>
        <v>0.2338398073656506</v>
      </c>
      <c r="M21" s="4">
        <f t="shared" si="1"/>
        <v>0.76616019263434942</v>
      </c>
    </row>
    <row r="22" spans="1:13">
      <c r="A22" s="3" t="s">
        <v>115</v>
      </c>
      <c r="B22" s="3" t="s">
        <v>116</v>
      </c>
      <c r="C22" s="10">
        <v>32439160</v>
      </c>
      <c r="D22" s="10">
        <v>20761064</v>
      </c>
      <c r="E22" s="10">
        <v>11678096</v>
      </c>
      <c r="F22" s="5">
        <v>0.35999995067689788</v>
      </c>
      <c r="G22" s="10">
        <v>18873695</v>
      </c>
      <c r="H22" s="10">
        <v>10392001</v>
      </c>
      <c r="I22" s="10">
        <v>8481694</v>
      </c>
      <c r="J22" s="10">
        <v>6949970</v>
      </c>
      <c r="K22" s="10">
        <v>1531724</v>
      </c>
      <c r="L22" s="4">
        <f t="shared" si="0"/>
        <v>0.18059175443018813</v>
      </c>
      <c r="M22" s="4">
        <f t="shared" si="1"/>
        <v>0.81940824556981184</v>
      </c>
    </row>
    <row r="23" spans="1:13">
      <c r="A23" s="3" t="s">
        <v>127</v>
      </c>
      <c r="B23" s="3" t="s">
        <v>128</v>
      </c>
      <c r="C23" s="10">
        <v>22724190</v>
      </c>
      <c r="D23" s="10">
        <v>14543481</v>
      </c>
      <c r="E23" s="10">
        <v>8180709</v>
      </c>
      <c r="F23" s="5">
        <v>0.36000002640358142</v>
      </c>
      <c r="G23" s="10">
        <v>13221346</v>
      </c>
      <c r="H23" s="10">
        <v>6083186</v>
      </c>
      <c r="I23" s="10">
        <v>7138160</v>
      </c>
      <c r="J23" s="10">
        <v>5360890</v>
      </c>
      <c r="K23" s="10">
        <v>1777270</v>
      </c>
      <c r="L23" s="4">
        <f t="shared" si="0"/>
        <v>0.24898153025429523</v>
      </c>
      <c r="M23" s="4">
        <f t="shared" si="1"/>
        <v>0.75101846974570474</v>
      </c>
    </row>
    <row r="24" spans="1:13">
      <c r="A24" s="3" t="s">
        <v>39</v>
      </c>
      <c r="B24" s="3" t="s">
        <v>40</v>
      </c>
      <c r="C24" s="10">
        <v>74162120</v>
      </c>
      <c r="D24" s="10">
        <v>47463757</v>
      </c>
      <c r="E24" s="10">
        <v>26698363</v>
      </c>
      <c r="F24" s="5">
        <v>0.35999999730320548</v>
      </c>
      <c r="G24" s="10">
        <v>43148870</v>
      </c>
      <c r="H24" s="10">
        <v>20633737</v>
      </c>
      <c r="I24" s="10">
        <v>22515133</v>
      </c>
      <c r="J24" s="10">
        <v>9678000</v>
      </c>
      <c r="K24" s="10">
        <v>12837133</v>
      </c>
      <c r="L24" s="4">
        <f t="shared" si="0"/>
        <v>0.57015577034343967</v>
      </c>
      <c r="M24" s="4">
        <f t="shared" si="1"/>
        <v>0.42984422965656033</v>
      </c>
    </row>
    <row r="25" spans="1:13">
      <c r="A25" s="3" t="s">
        <v>35</v>
      </c>
      <c r="B25" s="3" t="s">
        <v>36</v>
      </c>
      <c r="C25" s="10">
        <v>82688210</v>
      </c>
      <c r="D25" s="10">
        <v>52920455</v>
      </c>
      <c r="E25" s="10">
        <v>29767755</v>
      </c>
      <c r="F25" s="5">
        <v>0.35999999274382649</v>
      </c>
      <c r="G25" s="10">
        <v>48109505</v>
      </c>
      <c r="H25" s="10">
        <v>24108182</v>
      </c>
      <c r="I25" s="10">
        <v>24001323</v>
      </c>
      <c r="J25" s="10">
        <v>8530250</v>
      </c>
      <c r="K25" s="10">
        <v>15471073</v>
      </c>
      <c r="L25" s="4">
        <f t="shared" si="0"/>
        <v>0.64459250850463534</v>
      </c>
      <c r="M25" s="4">
        <f t="shared" si="1"/>
        <v>0.35540749149536466</v>
      </c>
    </row>
    <row r="26" spans="1:13">
      <c r="A26" s="3" t="s">
        <v>63</v>
      </c>
      <c r="B26" s="3" t="s">
        <v>64</v>
      </c>
      <c r="C26" s="10">
        <v>74710450</v>
      </c>
      <c r="D26" s="10">
        <v>47421306</v>
      </c>
      <c r="E26" s="10">
        <v>27289144</v>
      </c>
      <c r="F26" s="5">
        <v>0.36526542137010282</v>
      </c>
      <c r="G26" s="10">
        <v>43110278</v>
      </c>
      <c r="H26" s="10">
        <v>25677601</v>
      </c>
      <c r="I26" s="10">
        <v>17432677</v>
      </c>
      <c r="J26" s="10">
        <v>10833650</v>
      </c>
      <c r="K26" s="10">
        <v>6599027</v>
      </c>
      <c r="L26" s="4">
        <f t="shared" si="0"/>
        <v>0.3785435248986716</v>
      </c>
      <c r="M26" s="4">
        <f t="shared" si="1"/>
        <v>0.6214564751013284</v>
      </c>
    </row>
    <row r="27" spans="1:13">
      <c r="A27" s="3" t="s">
        <v>45</v>
      </c>
      <c r="B27" s="3" t="s">
        <v>46</v>
      </c>
      <c r="C27" s="14">
        <v>85496540</v>
      </c>
      <c r="D27" s="14">
        <v>53007856</v>
      </c>
      <c r="E27" s="10">
        <v>32488684</v>
      </c>
      <c r="F27" s="5">
        <v>0.37999998596434431</v>
      </c>
      <c r="G27" s="14">
        <v>48188960</v>
      </c>
      <c r="H27" s="14">
        <v>25763083</v>
      </c>
      <c r="I27" s="14">
        <v>22425877</v>
      </c>
      <c r="J27" s="10">
        <v>9534520</v>
      </c>
      <c r="K27" s="10">
        <v>12891357</v>
      </c>
      <c r="L27" s="4">
        <f t="shared" si="0"/>
        <v>0.57484293702315414</v>
      </c>
      <c r="M27" s="4">
        <f t="shared" si="1"/>
        <v>0.42515706297684591</v>
      </c>
    </row>
    <row r="28" spans="1:13">
      <c r="A28" s="3" t="s">
        <v>135</v>
      </c>
      <c r="B28" s="3" t="s">
        <v>136</v>
      </c>
      <c r="C28" s="10">
        <v>-2181450</v>
      </c>
      <c r="D28" s="10">
        <v>-1439757</v>
      </c>
      <c r="E28" s="10">
        <v>-741693</v>
      </c>
      <c r="F28" s="5">
        <v>0.34</v>
      </c>
      <c r="G28" s="10">
        <v>-1308870</v>
      </c>
      <c r="H28" s="10">
        <v>-530613</v>
      </c>
      <c r="I28" s="10">
        <v>-778257</v>
      </c>
      <c r="J28" s="10">
        <v>0</v>
      </c>
      <c r="K28" s="10">
        <v>-778257</v>
      </c>
      <c r="L28" s="4">
        <f t="shared" si="0"/>
        <v>1</v>
      </c>
      <c r="M28" s="4">
        <f t="shared" si="1"/>
        <v>0</v>
      </c>
    </row>
    <row r="29" spans="1:13">
      <c r="A29" s="3" t="s">
        <v>89</v>
      </c>
      <c r="B29" s="3" t="s">
        <v>90</v>
      </c>
      <c r="C29" s="10">
        <v>41445590</v>
      </c>
      <c r="D29" s="10">
        <v>25771465</v>
      </c>
      <c r="E29" s="10">
        <v>15674125</v>
      </c>
      <c r="F29" s="5">
        <v>0.37818559224274523</v>
      </c>
      <c r="G29" s="10">
        <v>23428605</v>
      </c>
      <c r="H29" s="10">
        <v>12307675</v>
      </c>
      <c r="I29" s="10">
        <v>11120930</v>
      </c>
      <c r="J29" s="10">
        <v>5340530</v>
      </c>
      <c r="K29" s="10">
        <v>5780400</v>
      </c>
      <c r="L29" s="4">
        <f t="shared" si="0"/>
        <v>0.51977667335375732</v>
      </c>
      <c r="M29" s="4">
        <f t="shared" si="1"/>
        <v>0.48022332664624273</v>
      </c>
    </row>
    <row r="30" spans="1:13">
      <c r="A30" s="3" t="s">
        <v>91</v>
      </c>
      <c r="B30" s="3" t="s">
        <v>92</v>
      </c>
      <c r="C30" s="10">
        <v>36357200</v>
      </c>
      <c r="D30" s="10">
        <v>22544584</v>
      </c>
      <c r="E30" s="10">
        <v>13812616</v>
      </c>
      <c r="F30" s="5">
        <v>0.37991418481071149</v>
      </c>
      <c r="G30" s="10">
        <v>20495076</v>
      </c>
      <c r="H30" s="10">
        <v>9413814</v>
      </c>
      <c r="I30" s="10">
        <v>11081262</v>
      </c>
      <c r="J30" s="10">
        <v>7177400</v>
      </c>
      <c r="K30" s="10">
        <v>3903862</v>
      </c>
      <c r="L30" s="4">
        <f t="shared" si="0"/>
        <v>0.35229398961959385</v>
      </c>
      <c r="M30" s="4">
        <f t="shared" si="1"/>
        <v>0.64770601038040609</v>
      </c>
    </row>
    <row r="31" spans="1:13">
      <c r="A31" s="3" t="s">
        <v>117</v>
      </c>
      <c r="B31" s="3" t="s">
        <v>118</v>
      </c>
      <c r="C31" s="10">
        <v>34400950</v>
      </c>
      <c r="D31" s="10">
        <v>21398113</v>
      </c>
      <c r="E31" s="10">
        <v>13002837</v>
      </c>
      <c r="F31" s="5">
        <v>0.37797900930061518</v>
      </c>
      <c r="G31" s="10">
        <v>19452830</v>
      </c>
      <c r="H31" s="10">
        <v>11440454</v>
      </c>
      <c r="I31" s="10">
        <v>8012376</v>
      </c>
      <c r="J31" s="10">
        <v>6417910</v>
      </c>
      <c r="K31" s="10">
        <v>1594466</v>
      </c>
      <c r="L31" s="4">
        <f t="shared" si="0"/>
        <v>0.19900039638678962</v>
      </c>
      <c r="M31" s="4">
        <f t="shared" si="1"/>
        <v>0.80099960361321032</v>
      </c>
    </row>
    <row r="32" spans="1:13">
      <c r="A32" s="3" t="s">
        <v>15</v>
      </c>
      <c r="B32" s="3" t="s">
        <v>16</v>
      </c>
      <c r="C32" s="10">
        <v>144247000</v>
      </c>
      <c r="D32" s="10">
        <v>89981524</v>
      </c>
      <c r="E32" s="10">
        <v>54265476</v>
      </c>
      <c r="F32" s="5">
        <v>0.37619829875144722</v>
      </c>
      <c r="G32" s="10">
        <v>81801385</v>
      </c>
      <c r="H32" s="10">
        <v>44081094</v>
      </c>
      <c r="I32" s="10">
        <v>37720291</v>
      </c>
      <c r="J32" s="10">
        <v>20058260</v>
      </c>
      <c r="K32" s="10">
        <v>17662031</v>
      </c>
      <c r="L32" s="4">
        <f t="shared" si="0"/>
        <v>0.4682368701768499</v>
      </c>
      <c r="M32" s="4">
        <f t="shared" si="1"/>
        <v>0.5317631298231501</v>
      </c>
    </row>
    <row r="33" spans="1:13">
      <c r="A33" s="3" t="s">
        <v>49</v>
      </c>
      <c r="B33" s="3" t="s">
        <v>50</v>
      </c>
      <c r="C33" s="10">
        <v>63906190</v>
      </c>
      <c r="D33" s="10">
        <v>40249075</v>
      </c>
      <c r="E33" s="10">
        <v>23657115</v>
      </c>
      <c r="F33" s="5">
        <v>0.37018503215416221</v>
      </c>
      <c r="G33" s="10">
        <v>36590068</v>
      </c>
      <c r="H33" s="10">
        <v>17005348</v>
      </c>
      <c r="I33" s="10">
        <v>19584720</v>
      </c>
      <c r="J33" s="10">
        <v>7430590</v>
      </c>
      <c r="K33" s="10">
        <v>12154130</v>
      </c>
      <c r="L33" s="4">
        <f t="shared" si="0"/>
        <v>0.62059248230252972</v>
      </c>
      <c r="M33" s="4">
        <f t="shared" si="1"/>
        <v>0.37940751769747028</v>
      </c>
    </row>
    <row r="34" spans="1:13">
      <c r="A34" s="3" t="s">
        <v>125</v>
      </c>
      <c r="B34" s="3" t="s">
        <v>126</v>
      </c>
      <c r="C34" s="10">
        <v>25224290</v>
      </c>
      <c r="D34" s="10">
        <v>15659630</v>
      </c>
      <c r="E34" s="10">
        <v>9564660</v>
      </c>
      <c r="F34" s="5">
        <v>0.37918450826564393</v>
      </c>
      <c r="G34" s="10">
        <v>14236027</v>
      </c>
      <c r="H34" s="10">
        <v>7059874</v>
      </c>
      <c r="I34" s="10">
        <v>7176153</v>
      </c>
      <c r="J34" s="10">
        <v>6057730</v>
      </c>
      <c r="K34" s="10">
        <v>1118423</v>
      </c>
      <c r="L34" s="4">
        <f t="shared" si="0"/>
        <v>0.15585272499067399</v>
      </c>
      <c r="M34" s="4">
        <f t="shared" si="1"/>
        <v>0.84414727500932607</v>
      </c>
    </row>
    <row r="35" spans="1:13">
      <c r="A35" s="3" t="s">
        <v>19</v>
      </c>
      <c r="B35" s="3" t="s">
        <v>20</v>
      </c>
      <c r="C35" s="10">
        <v>111937240</v>
      </c>
      <c r="D35" s="10">
        <v>69436529</v>
      </c>
      <c r="E35" s="10">
        <v>42500711</v>
      </c>
      <c r="F35" s="5">
        <v>0.37968339222943143</v>
      </c>
      <c r="G35" s="10">
        <v>63124117</v>
      </c>
      <c r="H35" s="10">
        <v>27943242</v>
      </c>
      <c r="I35" s="10">
        <v>35180875</v>
      </c>
      <c r="J35" s="10">
        <v>15882220</v>
      </c>
      <c r="K35" s="10">
        <v>19298655</v>
      </c>
      <c r="L35" s="4">
        <f t="shared" ref="L35:L67" si="2">K35/I35</f>
        <v>0.54855528749640248</v>
      </c>
      <c r="M35" s="4">
        <f t="shared" ref="M35:M67" si="3">J35/I35</f>
        <v>0.45144471250359747</v>
      </c>
    </row>
    <row r="36" spans="1:13">
      <c r="A36" s="3" t="s">
        <v>51</v>
      </c>
      <c r="B36" s="3" t="s">
        <v>52</v>
      </c>
      <c r="C36" s="10">
        <v>63920100</v>
      </c>
      <c r="D36" s="10">
        <v>40865284</v>
      </c>
      <c r="E36" s="10">
        <v>23054816</v>
      </c>
      <c r="F36" s="5">
        <v>0.3606817886705434</v>
      </c>
      <c r="G36" s="10">
        <v>37150258</v>
      </c>
      <c r="H36" s="10">
        <v>17888277</v>
      </c>
      <c r="I36" s="10">
        <v>19261981</v>
      </c>
      <c r="J36" s="10">
        <v>8405990</v>
      </c>
      <c r="K36" s="10">
        <v>10855991</v>
      </c>
      <c r="L36" s="4">
        <f t="shared" si="2"/>
        <v>0.56359680761807418</v>
      </c>
      <c r="M36" s="4">
        <f t="shared" si="3"/>
        <v>0.43640319238192582</v>
      </c>
    </row>
    <row r="37" spans="1:13">
      <c r="A37" s="3" t="s">
        <v>27</v>
      </c>
      <c r="B37" s="3" t="s">
        <v>28</v>
      </c>
      <c r="C37" s="10">
        <v>105831560</v>
      </c>
      <c r="D37" s="10">
        <v>67289864</v>
      </c>
      <c r="E37" s="10">
        <v>38541696</v>
      </c>
      <c r="F37" s="5">
        <v>0.36417960767090651</v>
      </c>
      <c r="G37" s="10">
        <v>61172604</v>
      </c>
      <c r="H37" s="10">
        <v>31681803</v>
      </c>
      <c r="I37" s="10">
        <v>29490801</v>
      </c>
      <c r="J37" s="10">
        <v>13102470</v>
      </c>
      <c r="K37" s="10">
        <v>16388331</v>
      </c>
      <c r="L37" s="4">
        <f t="shared" si="2"/>
        <v>0.55570993137826263</v>
      </c>
      <c r="M37" s="4">
        <f t="shared" si="3"/>
        <v>0.44429006862173731</v>
      </c>
    </row>
    <row r="38" spans="1:13">
      <c r="A38" s="3" t="s">
        <v>47</v>
      </c>
      <c r="B38" s="3" t="s">
        <v>48</v>
      </c>
      <c r="C38" s="10">
        <v>68595800</v>
      </c>
      <c r="D38" s="10">
        <v>43668846</v>
      </c>
      <c r="E38" s="10">
        <v>24926954</v>
      </c>
      <c r="F38" s="5">
        <v>0.36338892468635098</v>
      </c>
      <c r="G38" s="10">
        <v>39698951</v>
      </c>
      <c r="H38" s="10">
        <v>19299528</v>
      </c>
      <c r="I38" s="10">
        <v>20399423</v>
      </c>
      <c r="J38" s="10">
        <v>12144540</v>
      </c>
      <c r="K38" s="10">
        <v>8254883</v>
      </c>
      <c r="L38" s="4">
        <f t="shared" si="2"/>
        <v>0.4046625730541496</v>
      </c>
      <c r="M38" s="4">
        <f t="shared" si="3"/>
        <v>0.59533742694585035</v>
      </c>
    </row>
    <row r="39" spans="1:13">
      <c r="A39" s="3" t="s">
        <v>17</v>
      </c>
      <c r="B39" s="3" t="s">
        <v>18</v>
      </c>
      <c r="C39" s="10">
        <v>113023320</v>
      </c>
      <c r="D39" s="10">
        <v>70074457</v>
      </c>
      <c r="E39" s="10">
        <v>42948863</v>
      </c>
      <c r="F39" s="5">
        <v>0.38000001238682418</v>
      </c>
      <c r="G39" s="10">
        <v>63704052</v>
      </c>
      <c r="H39" s="10">
        <v>28484189</v>
      </c>
      <c r="I39" s="10">
        <v>35219863</v>
      </c>
      <c r="J39" s="10">
        <v>8593450</v>
      </c>
      <c r="K39" s="10">
        <v>26626413</v>
      </c>
      <c r="L39" s="4">
        <f t="shared" si="2"/>
        <v>0.75600558128235762</v>
      </c>
      <c r="M39" s="4">
        <f t="shared" si="3"/>
        <v>0.24399441871764238</v>
      </c>
    </row>
    <row r="40" spans="1:13">
      <c r="A40" s="3" t="s">
        <v>23</v>
      </c>
      <c r="B40" s="3" t="s">
        <v>24</v>
      </c>
      <c r="C40" s="10">
        <v>102008500</v>
      </c>
      <c r="D40" s="10">
        <v>64958941</v>
      </c>
      <c r="E40" s="10">
        <v>37049559</v>
      </c>
      <c r="F40" s="5">
        <v>0.36320070386291342</v>
      </c>
      <c r="G40" s="10">
        <v>59053583</v>
      </c>
      <c r="H40" s="10">
        <v>28670447</v>
      </c>
      <c r="I40" s="10">
        <v>30383136</v>
      </c>
      <c r="J40" s="10">
        <v>15301910</v>
      </c>
      <c r="K40" s="10">
        <v>15081226</v>
      </c>
      <c r="L40" s="4">
        <f t="shared" si="2"/>
        <v>0.49636831431752143</v>
      </c>
      <c r="M40" s="4">
        <f t="shared" si="3"/>
        <v>0.50363168568247862</v>
      </c>
    </row>
    <row r="41" spans="1:13">
      <c r="A41" s="3" t="s">
        <v>11</v>
      </c>
      <c r="B41" s="3" t="s">
        <v>12</v>
      </c>
      <c r="C41" s="10">
        <v>140379050</v>
      </c>
      <c r="D41" s="10">
        <v>89571127</v>
      </c>
      <c r="E41" s="10">
        <v>50807923</v>
      </c>
      <c r="F41" s="5">
        <v>0.36193379995091862</v>
      </c>
      <c r="G41" s="10">
        <v>81428297</v>
      </c>
      <c r="H41" s="10">
        <v>38821019</v>
      </c>
      <c r="I41" s="10">
        <v>42607278</v>
      </c>
      <c r="J41" s="10">
        <v>20355600</v>
      </c>
      <c r="K41" s="10">
        <v>22251678</v>
      </c>
      <c r="L41" s="4">
        <f t="shared" si="2"/>
        <v>0.52225063520837922</v>
      </c>
      <c r="M41" s="4">
        <f t="shared" si="3"/>
        <v>0.47774936479162083</v>
      </c>
    </row>
    <row r="42" spans="1:13">
      <c r="A42" s="3" t="s">
        <v>67</v>
      </c>
      <c r="B42" s="3" t="s">
        <v>68</v>
      </c>
      <c r="C42" s="10">
        <v>55236620</v>
      </c>
      <c r="D42" s="10">
        <v>34999686</v>
      </c>
      <c r="E42" s="10">
        <v>20236934</v>
      </c>
      <c r="F42" s="5">
        <v>0.36636807248524622</v>
      </c>
      <c r="G42" s="10">
        <v>31817896</v>
      </c>
      <c r="H42" s="10">
        <v>14762617</v>
      </c>
      <c r="I42" s="10">
        <v>17055279</v>
      </c>
      <c r="J42" s="10">
        <v>7140970</v>
      </c>
      <c r="K42" s="10">
        <v>9914309</v>
      </c>
      <c r="L42" s="4">
        <f t="shared" si="2"/>
        <v>0.58130441606965211</v>
      </c>
      <c r="M42" s="4">
        <f t="shared" si="3"/>
        <v>0.41869558393034789</v>
      </c>
    </row>
    <row r="43" spans="1:13">
      <c r="A43" s="3" t="s">
        <v>107</v>
      </c>
      <c r="B43" s="3" t="s">
        <v>108</v>
      </c>
      <c r="C43" s="10">
        <v>37817360</v>
      </c>
      <c r="D43" s="10">
        <v>24166532</v>
      </c>
      <c r="E43" s="10">
        <v>13650828</v>
      </c>
      <c r="F43" s="5">
        <v>0.36096723832652522</v>
      </c>
      <c r="G43" s="10">
        <v>21969575</v>
      </c>
      <c r="H43" s="10">
        <v>12203637</v>
      </c>
      <c r="I43" s="10">
        <v>9765938</v>
      </c>
      <c r="J43" s="10">
        <v>5767210</v>
      </c>
      <c r="K43" s="10">
        <v>3998728</v>
      </c>
      <c r="L43" s="4">
        <f t="shared" si="2"/>
        <v>0.40945662362386492</v>
      </c>
      <c r="M43" s="4">
        <f t="shared" si="3"/>
        <v>0.59054337637613508</v>
      </c>
    </row>
    <row r="44" spans="1:13">
      <c r="A44" s="3" t="s">
        <v>79</v>
      </c>
      <c r="B44" s="3" t="s">
        <v>80</v>
      </c>
      <c r="C44" s="10">
        <v>49274810</v>
      </c>
      <c r="D44" s="10">
        <v>31043130</v>
      </c>
      <c r="E44" s="10">
        <v>18231680</v>
      </c>
      <c r="F44" s="5">
        <v>0.37000000608830352</v>
      </c>
      <c r="G44" s="10">
        <v>28221027</v>
      </c>
      <c r="H44" s="10">
        <v>13485147</v>
      </c>
      <c r="I44" s="10">
        <v>14735880</v>
      </c>
      <c r="J44" s="10">
        <v>6918110</v>
      </c>
      <c r="K44" s="10">
        <v>7817770</v>
      </c>
      <c r="L44" s="4">
        <f t="shared" si="2"/>
        <v>0.53052617149433901</v>
      </c>
      <c r="M44" s="4">
        <f t="shared" si="3"/>
        <v>0.46947382850566099</v>
      </c>
    </row>
    <row r="45" spans="1:13">
      <c r="A45" s="3" t="s">
        <v>61</v>
      </c>
      <c r="B45" s="3" t="s">
        <v>62</v>
      </c>
      <c r="C45" s="10">
        <v>58001180</v>
      </c>
      <c r="D45" s="10">
        <v>36540762</v>
      </c>
      <c r="E45" s="10">
        <v>21460418</v>
      </c>
      <c r="F45" s="5">
        <v>0.36999967931686911</v>
      </c>
      <c r="G45" s="10">
        <v>33218875</v>
      </c>
      <c r="H45" s="10">
        <v>15769250</v>
      </c>
      <c r="I45" s="10">
        <v>17449625</v>
      </c>
      <c r="J45" s="10">
        <v>6547390</v>
      </c>
      <c r="K45" s="10">
        <v>10902235</v>
      </c>
      <c r="L45" s="4">
        <f t="shared" si="2"/>
        <v>0.62478334061620233</v>
      </c>
      <c r="M45" s="4">
        <f t="shared" si="3"/>
        <v>0.37521665938379767</v>
      </c>
    </row>
    <row r="46" spans="1:13">
      <c r="A46" s="3" t="s">
        <v>93</v>
      </c>
      <c r="B46" s="3" t="s">
        <v>94</v>
      </c>
      <c r="C46" s="10">
        <v>36632990</v>
      </c>
      <c r="D46" s="10">
        <v>23078789</v>
      </c>
      <c r="E46" s="10">
        <v>13554201</v>
      </c>
      <c r="F46" s="5">
        <v>0.36999985532166502</v>
      </c>
      <c r="G46" s="10">
        <v>20980717</v>
      </c>
      <c r="H46" s="10">
        <v>10009052</v>
      </c>
      <c r="I46" s="10">
        <v>10971665</v>
      </c>
      <c r="J46" s="10">
        <v>4796650</v>
      </c>
      <c r="K46" s="10">
        <v>6175015</v>
      </c>
      <c r="L46" s="4">
        <f t="shared" si="2"/>
        <v>0.56281475965589545</v>
      </c>
      <c r="M46" s="4">
        <f t="shared" si="3"/>
        <v>0.43718524034410455</v>
      </c>
    </row>
    <row r="47" spans="1:13">
      <c r="A47" s="3" t="s">
        <v>69</v>
      </c>
      <c r="B47" s="3" t="s">
        <v>70</v>
      </c>
      <c r="C47" s="10">
        <v>53403450</v>
      </c>
      <c r="D47" s="10">
        <v>33644177</v>
      </c>
      <c r="E47" s="10">
        <v>19759273</v>
      </c>
      <c r="F47" s="5">
        <v>0.36999993446116308</v>
      </c>
      <c r="G47" s="10">
        <v>30585615</v>
      </c>
      <c r="H47" s="10">
        <v>13539526</v>
      </c>
      <c r="I47" s="10">
        <v>17046089</v>
      </c>
      <c r="J47" s="10">
        <v>7322050</v>
      </c>
      <c r="K47" s="10">
        <v>9724039</v>
      </c>
      <c r="L47" s="4">
        <f t="shared" si="2"/>
        <v>0.57045572154410318</v>
      </c>
      <c r="M47" s="4">
        <f t="shared" si="3"/>
        <v>0.42954427845589682</v>
      </c>
    </row>
    <row r="48" spans="1:13">
      <c r="A48" s="3" t="s">
        <v>57</v>
      </c>
      <c r="B48" s="3" t="s">
        <v>58</v>
      </c>
      <c r="C48" s="10">
        <v>54933160</v>
      </c>
      <c r="D48" s="10">
        <v>34895415</v>
      </c>
      <c r="E48" s="10">
        <v>20037745</v>
      </c>
      <c r="F48" s="5">
        <v>0.3647659264458844</v>
      </c>
      <c r="G48" s="10">
        <v>31723105</v>
      </c>
      <c r="H48" s="10">
        <v>13905101</v>
      </c>
      <c r="I48" s="10">
        <v>17818004</v>
      </c>
      <c r="J48" s="10">
        <v>5673550</v>
      </c>
      <c r="K48" s="10">
        <v>12144454</v>
      </c>
      <c r="L48" s="4">
        <f t="shared" si="2"/>
        <v>0.68158330192315597</v>
      </c>
      <c r="M48" s="4">
        <f t="shared" si="3"/>
        <v>0.31841669807684408</v>
      </c>
    </row>
    <row r="49" spans="1:13">
      <c r="A49" s="3" t="s">
        <v>85</v>
      </c>
      <c r="B49" s="3" t="s">
        <v>86</v>
      </c>
      <c r="C49" s="10">
        <v>48535290</v>
      </c>
      <c r="D49" s="10">
        <v>30691125</v>
      </c>
      <c r="E49" s="10">
        <v>17844165</v>
      </c>
      <c r="F49" s="5">
        <v>0.3676534125993684</v>
      </c>
      <c r="G49" s="10">
        <v>27901023</v>
      </c>
      <c r="H49" s="10">
        <v>14165357</v>
      </c>
      <c r="I49" s="10">
        <v>13735666</v>
      </c>
      <c r="J49" s="10">
        <v>7189620</v>
      </c>
      <c r="K49" s="10">
        <v>6546046</v>
      </c>
      <c r="L49" s="4">
        <f t="shared" si="2"/>
        <v>0.47657288696449085</v>
      </c>
      <c r="M49" s="4">
        <f t="shared" si="3"/>
        <v>0.52342711303550915</v>
      </c>
    </row>
    <row r="50" spans="1:13">
      <c r="A50" s="3" t="s">
        <v>21</v>
      </c>
      <c r="B50" s="3" t="s">
        <v>22</v>
      </c>
      <c r="C50" s="10">
        <v>115483110</v>
      </c>
      <c r="D50" s="10">
        <v>72441874</v>
      </c>
      <c r="E50" s="10">
        <v>43041236</v>
      </c>
      <c r="F50" s="5">
        <v>0.37270589612628202</v>
      </c>
      <c r="G50" s="10">
        <v>65856249</v>
      </c>
      <c r="H50" s="10">
        <v>31487240</v>
      </c>
      <c r="I50" s="10">
        <v>34369009</v>
      </c>
      <c r="J50" s="10">
        <v>14227840</v>
      </c>
      <c r="K50" s="10">
        <v>20141169</v>
      </c>
      <c r="L50" s="4">
        <f t="shared" si="2"/>
        <v>0.58602705128914245</v>
      </c>
      <c r="M50" s="4">
        <f t="shared" si="3"/>
        <v>0.41397294871085749</v>
      </c>
    </row>
    <row r="51" spans="1:13">
      <c r="A51" s="3" t="s">
        <v>113</v>
      </c>
      <c r="B51" s="3" t="s">
        <v>114</v>
      </c>
      <c r="C51" s="10">
        <v>28161750</v>
      </c>
      <c r="D51" s="10">
        <v>17938496</v>
      </c>
      <c r="E51" s="10">
        <v>10223254</v>
      </c>
      <c r="F51" s="5">
        <v>0.36301913055829271</v>
      </c>
      <c r="G51" s="10">
        <v>16307724</v>
      </c>
      <c r="H51" s="10">
        <v>7677795</v>
      </c>
      <c r="I51" s="10">
        <v>8629929</v>
      </c>
      <c r="J51" s="10">
        <v>5396800</v>
      </c>
      <c r="K51" s="10">
        <v>3233129</v>
      </c>
      <c r="L51" s="4">
        <f t="shared" si="2"/>
        <v>0.37464143679513467</v>
      </c>
      <c r="M51" s="4">
        <f t="shared" si="3"/>
        <v>0.62535856320486527</v>
      </c>
    </row>
    <row r="52" spans="1:13">
      <c r="A52" s="3" t="s">
        <v>97</v>
      </c>
      <c r="B52" s="3" t="s">
        <v>98</v>
      </c>
      <c r="C52" s="10">
        <v>36769220</v>
      </c>
      <c r="D52" s="10">
        <v>23217227</v>
      </c>
      <c r="E52" s="10">
        <v>13551993</v>
      </c>
      <c r="F52" s="5">
        <v>0.36856895522940109</v>
      </c>
      <c r="G52" s="10">
        <v>21106570</v>
      </c>
      <c r="H52" s="10">
        <v>10334684</v>
      </c>
      <c r="I52" s="10">
        <v>10771886</v>
      </c>
      <c r="J52" s="10">
        <v>5361350</v>
      </c>
      <c r="K52" s="10">
        <v>5410536</v>
      </c>
      <c r="L52" s="4">
        <f t="shared" si="2"/>
        <v>0.50228307280637763</v>
      </c>
      <c r="M52" s="4">
        <f t="shared" si="3"/>
        <v>0.49771692719362237</v>
      </c>
    </row>
    <row r="53" spans="1:13">
      <c r="A53" s="3" t="s">
        <v>95</v>
      </c>
      <c r="B53" s="3" t="s">
        <v>96</v>
      </c>
      <c r="C53" s="10">
        <v>34987890</v>
      </c>
      <c r="D53" s="10">
        <v>21752913</v>
      </c>
      <c r="E53" s="10">
        <v>13234977</v>
      </c>
      <c r="F53" s="5">
        <v>0.37827308248654029</v>
      </c>
      <c r="G53" s="10">
        <v>19775375</v>
      </c>
      <c r="H53" s="10">
        <v>8872510</v>
      </c>
      <c r="I53" s="10">
        <v>10902865</v>
      </c>
      <c r="J53" s="10">
        <v>6069370</v>
      </c>
      <c r="K53" s="10">
        <v>4833495</v>
      </c>
      <c r="L53" s="4">
        <f t="shared" si="2"/>
        <v>0.44332338334923893</v>
      </c>
      <c r="M53" s="4">
        <f t="shared" si="3"/>
        <v>0.55667661665076107</v>
      </c>
    </row>
    <row r="54" spans="1:13">
      <c r="A54" s="3" t="s">
        <v>81</v>
      </c>
      <c r="B54" s="3" t="s">
        <v>82</v>
      </c>
      <c r="C54" s="10">
        <v>50081620</v>
      </c>
      <c r="D54" s="10">
        <v>31698207</v>
      </c>
      <c r="E54" s="10">
        <v>18383413</v>
      </c>
      <c r="F54" s="5">
        <v>0.36706905647221483</v>
      </c>
      <c r="G54" s="10">
        <v>28816552</v>
      </c>
      <c r="H54" s="10">
        <v>14527167</v>
      </c>
      <c r="I54" s="10">
        <v>14289385</v>
      </c>
      <c r="J54" s="10">
        <v>6360080</v>
      </c>
      <c r="K54" s="10">
        <v>7929305</v>
      </c>
      <c r="L54" s="4">
        <f t="shared" si="2"/>
        <v>0.55490876619252683</v>
      </c>
      <c r="M54" s="4">
        <f t="shared" si="3"/>
        <v>0.44509123380747317</v>
      </c>
    </row>
    <row r="55" spans="1:13">
      <c r="A55" s="3" t="s">
        <v>31</v>
      </c>
      <c r="B55" s="3" t="s">
        <v>32</v>
      </c>
      <c r="C55" s="10">
        <v>87407840</v>
      </c>
      <c r="D55" s="10">
        <v>55066962</v>
      </c>
      <c r="E55" s="10">
        <v>32340878</v>
      </c>
      <c r="F55" s="5">
        <v>0.36999973915383327</v>
      </c>
      <c r="G55" s="10">
        <v>50060875</v>
      </c>
      <c r="H55" s="10">
        <v>23719291</v>
      </c>
      <c r="I55" s="10">
        <v>26341584</v>
      </c>
      <c r="J55" s="10">
        <v>14110890</v>
      </c>
      <c r="K55" s="10">
        <v>12230694</v>
      </c>
      <c r="L55" s="4">
        <f t="shared" si="2"/>
        <v>0.46431125781957533</v>
      </c>
      <c r="M55" s="4">
        <f t="shared" si="3"/>
        <v>0.53568874218042473</v>
      </c>
    </row>
    <row r="56" spans="1:13">
      <c r="A56" s="3" t="s">
        <v>33</v>
      </c>
      <c r="B56" s="3" t="s">
        <v>34</v>
      </c>
      <c r="C56" s="10">
        <v>58926620</v>
      </c>
      <c r="D56" s="10">
        <v>45078875</v>
      </c>
      <c r="E56" s="10">
        <v>13847745</v>
      </c>
      <c r="F56" s="5">
        <v>0.23499981841822931</v>
      </c>
      <c r="G56" s="10">
        <v>40980795</v>
      </c>
      <c r="H56" s="10">
        <v>16841623</v>
      </c>
      <c r="I56" s="10">
        <v>24139172</v>
      </c>
      <c r="J56" s="10">
        <v>7811250</v>
      </c>
      <c r="K56" s="10">
        <v>16327922</v>
      </c>
      <c r="L56" s="4">
        <f t="shared" si="2"/>
        <v>0.67640770777058967</v>
      </c>
      <c r="M56" s="4">
        <f t="shared" si="3"/>
        <v>0.32359229222941033</v>
      </c>
    </row>
    <row r="57" spans="1:13">
      <c r="A57" s="3" t="s">
        <v>75</v>
      </c>
      <c r="B57" s="3" t="s">
        <v>76</v>
      </c>
      <c r="C57" s="10">
        <v>39512590</v>
      </c>
      <c r="D57" s="10">
        <v>30424717</v>
      </c>
      <c r="E57" s="10">
        <v>9087873</v>
      </c>
      <c r="F57" s="5">
        <v>0.22999942549956859</v>
      </c>
      <c r="G57" s="10">
        <v>27658834</v>
      </c>
      <c r="H57" s="10">
        <v>11490190</v>
      </c>
      <c r="I57" s="10">
        <v>16168644</v>
      </c>
      <c r="J57" s="10">
        <v>6257360</v>
      </c>
      <c r="K57" s="10">
        <v>9911284</v>
      </c>
      <c r="L57" s="4">
        <f t="shared" si="2"/>
        <v>0.61299413853134499</v>
      </c>
      <c r="M57" s="4">
        <f t="shared" si="3"/>
        <v>0.38700586146865501</v>
      </c>
    </row>
    <row r="58" spans="1:13">
      <c r="A58" s="3" t="s">
        <v>65</v>
      </c>
      <c r="B58" s="3" t="s">
        <v>66</v>
      </c>
      <c r="C58" s="10">
        <v>43635490</v>
      </c>
      <c r="D58" s="10">
        <v>33381183</v>
      </c>
      <c r="E58" s="10">
        <v>10254307</v>
      </c>
      <c r="F58" s="5">
        <v>0.23499924029729011</v>
      </c>
      <c r="G58" s="10">
        <v>30346530</v>
      </c>
      <c r="H58" s="10">
        <v>12955077</v>
      </c>
      <c r="I58" s="10">
        <v>17391453</v>
      </c>
      <c r="J58" s="10">
        <v>7214730</v>
      </c>
      <c r="K58" s="10">
        <v>10176723</v>
      </c>
      <c r="L58" s="4">
        <f t="shared" si="2"/>
        <v>0.58515657087421047</v>
      </c>
      <c r="M58" s="4">
        <f t="shared" si="3"/>
        <v>0.41484342912578953</v>
      </c>
    </row>
    <row r="59" spans="1:13">
      <c r="A59" s="3" t="s">
        <v>103</v>
      </c>
      <c r="B59" s="3" t="s">
        <v>104</v>
      </c>
      <c r="C59" s="10">
        <v>26772600</v>
      </c>
      <c r="D59" s="10">
        <v>20614932</v>
      </c>
      <c r="E59" s="10">
        <v>6157668</v>
      </c>
      <c r="F59" s="5">
        <v>0.2299988794513794</v>
      </c>
      <c r="G59" s="10">
        <v>18740847</v>
      </c>
      <c r="H59" s="10">
        <v>8271766</v>
      </c>
      <c r="I59" s="10">
        <v>10469081</v>
      </c>
      <c r="J59" s="10">
        <v>5038990</v>
      </c>
      <c r="K59" s="10">
        <v>5430091</v>
      </c>
      <c r="L59" s="4">
        <f t="shared" si="2"/>
        <v>0.51867886015974085</v>
      </c>
      <c r="M59" s="4">
        <f t="shared" si="3"/>
        <v>0.48132113984025915</v>
      </c>
    </row>
    <row r="60" spans="1:13">
      <c r="A60" s="3" t="s">
        <v>55</v>
      </c>
      <c r="B60" s="3" t="s">
        <v>56</v>
      </c>
      <c r="C60" s="10">
        <v>45598800</v>
      </c>
      <c r="D60" s="10">
        <v>35111109</v>
      </c>
      <c r="E60" s="10">
        <v>10487691</v>
      </c>
      <c r="F60" s="5">
        <v>0.22999927629674469</v>
      </c>
      <c r="G60" s="10">
        <v>31919190</v>
      </c>
      <c r="H60" s="10">
        <v>13458993</v>
      </c>
      <c r="I60" s="10">
        <v>18460197</v>
      </c>
      <c r="J60" s="10">
        <v>8029070</v>
      </c>
      <c r="K60" s="10">
        <v>10431127</v>
      </c>
      <c r="L60" s="4">
        <f t="shared" si="2"/>
        <v>0.56506043787073346</v>
      </c>
      <c r="M60" s="4">
        <f t="shared" si="3"/>
        <v>0.43493956212926654</v>
      </c>
    </row>
    <row r="61" spans="1:13">
      <c r="A61" s="3" t="s">
        <v>109</v>
      </c>
      <c r="B61" s="3" t="s">
        <v>110</v>
      </c>
      <c r="C61" s="10">
        <v>26164440</v>
      </c>
      <c r="D61" s="10">
        <v>20146634</v>
      </c>
      <c r="E61" s="10">
        <v>6017806</v>
      </c>
      <c r="F61" s="5">
        <v>0.22999941905884469</v>
      </c>
      <c r="G61" s="10">
        <v>18315122</v>
      </c>
      <c r="H61" s="10">
        <v>9126373</v>
      </c>
      <c r="I61" s="10">
        <v>9188749</v>
      </c>
      <c r="J61" s="10">
        <v>5198500</v>
      </c>
      <c r="K61" s="10">
        <v>3990249</v>
      </c>
      <c r="L61" s="4">
        <f t="shared" si="2"/>
        <v>0.43425378144511295</v>
      </c>
      <c r="M61" s="4">
        <f t="shared" si="3"/>
        <v>0.56574621855488705</v>
      </c>
    </row>
    <row r="62" spans="1:13">
      <c r="A62" s="3" t="s">
        <v>73</v>
      </c>
      <c r="B62" s="3" t="s">
        <v>74</v>
      </c>
      <c r="C62" s="10">
        <v>40685240</v>
      </c>
      <c r="D62" s="10">
        <v>31327653</v>
      </c>
      <c r="E62" s="10">
        <v>9357587</v>
      </c>
      <c r="F62" s="5">
        <v>0.22999955266332461</v>
      </c>
      <c r="G62" s="10">
        <v>28479685</v>
      </c>
      <c r="H62" s="10">
        <v>11793596</v>
      </c>
      <c r="I62" s="10">
        <v>16686089</v>
      </c>
      <c r="J62" s="10">
        <v>6255550</v>
      </c>
      <c r="K62" s="10">
        <v>10430539</v>
      </c>
      <c r="L62" s="4">
        <f t="shared" si="2"/>
        <v>0.62510388144279949</v>
      </c>
      <c r="M62" s="4">
        <f t="shared" si="3"/>
        <v>0.37489611855720056</v>
      </c>
    </row>
    <row r="63" spans="1:13">
      <c r="A63" s="3" t="s">
        <v>119</v>
      </c>
      <c r="B63" s="3" t="s">
        <v>120</v>
      </c>
      <c r="C63" s="10">
        <v>17905150</v>
      </c>
      <c r="D63" s="10">
        <v>13786981</v>
      </c>
      <c r="E63" s="10">
        <v>4118169</v>
      </c>
      <c r="F63" s="5">
        <v>0.22999913432727459</v>
      </c>
      <c r="G63" s="10">
        <v>12533619</v>
      </c>
      <c r="H63" s="10">
        <v>4965647</v>
      </c>
      <c r="I63" s="10">
        <v>7567972</v>
      </c>
      <c r="J63" s="10">
        <v>1680000</v>
      </c>
      <c r="K63" s="10">
        <v>5887972</v>
      </c>
      <c r="L63" s="4">
        <f t="shared" si="2"/>
        <v>0.77801186368025677</v>
      </c>
      <c r="M63" s="4">
        <f t="shared" si="3"/>
        <v>0.22198813631974326</v>
      </c>
    </row>
    <row r="64" spans="1:13">
      <c r="A64" s="3" t="s">
        <v>37</v>
      </c>
      <c r="B64" s="3" t="s">
        <v>38</v>
      </c>
      <c r="C64" s="10">
        <v>54609730</v>
      </c>
      <c r="D64" s="10">
        <v>42595590</v>
      </c>
      <c r="E64" s="10">
        <v>12014140</v>
      </c>
      <c r="F64" s="5">
        <v>0.21999998901294701</v>
      </c>
      <c r="G64" s="10">
        <v>38723264</v>
      </c>
      <c r="H64" s="10">
        <v>16187713</v>
      </c>
      <c r="I64" s="10">
        <v>22535551</v>
      </c>
      <c r="J64" s="10">
        <v>8922470</v>
      </c>
      <c r="K64" s="10">
        <v>13613081</v>
      </c>
      <c r="L64" s="4">
        <f t="shared" si="2"/>
        <v>0.60407136262166383</v>
      </c>
      <c r="M64" s="4">
        <f t="shared" si="3"/>
        <v>0.39592863737833611</v>
      </c>
    </row>
    <row r="65" spans="1:13">
      <c r="A65" s="3" t="s">
        <v>123</v>
      </c>
      <c r="B65" s="3" t="s">
        <v>124</v>
      </c>
      <c r="C65" s="10">
        <v>16367450</v>
      </c>
      <c r="D65" s="10">
        <v>13748658</v>
      </c>
      <c r="E65" s="10">
        <v>2618792</v>
      </c>
      <c r="F65" s="5">
        <v>0.16</v>
      </c>
      <c r="G65" s="10">
        <v>12498780</v>
      </c>
      <c r="H65" s="10">
        <v>5179926</v>
      </c>
      <c r="I65" s="10">
        <v>7318854</v>
      </c>
      <c r="J65" s="10">
        <v>4896370</v>
      </c>
      <c r="K65" s="10">
        <v>2422484</v>
      </c>
      <c r="L65" s="4">
        <f t="shared" si="2"/>
        <v>0.33099225643796149</v>
      </c>
      <c r="M65" s="4">
        <f t="shared" si="3"/>
        <v>0.66900774356203851</v>
      </c>
    </row>
    <row r="66" spans="1:13">
      <c r="A66" s="6" t="s">
        <v>13</v>
      </c>
      <c r="B66" s="6" t="s">
        <v>14</v>
      </c>
      <c r="C66" s="11">
        <v>96737260</v>
      </c>
      <c r="D66" s="11">
        <v>74487737</v>
      </c>
      <c r="E66" s="11">
        <v>22249523</v>
      </c>
      <c r="F66" s="7">
        <v>0.22999951621536521</v>
      </c>
      <c r="G66" s="11">
        <v>67716125</v>
      </c>
      <c r="H66" s="11">
        <v>28925171</v>
      </c>
      <c r="I66" s="11">
        <v>38790954</v>
      </c>
      <c r="J66" s="11">
        <v>16445970</v>
      </c>
      <c r="K66" s="11">
        <v>22344984</v>
      </c>
      <c r="L66" s="4">
        <f t="shared" ref="L66" si="4">K66/I66</f>
        <v>0.57603594899986221</v>
      </c>
      <c r="M66" s="4">
        <f t="shared" ref="M66" si="5">J66/I66</f>
        <v>0.42396405100013784</v>
      </c>
    </row>
    <row r="67" spans="1:13" ht="18" thickBot="1">
      <c r="A67" s="6" t="s">
        <v>9</v>
      </c>
      <c r="B67" s="6" t="s">
        <v>10</v>
      </c>
      <c r="C67" s="11">
        <v>104308700</v>
      </c>
      <c r="D67" s="11">
        <v>80317754</v>
      </c>
      <c r="E67" s="11">
        <v>23990946</v>
      </c>
      <c r="F67" s="7">
        <v>0.22999947271895821</v>
      </c>
      <c r="G67" s="11">
        <v>73016140</v>
      </c>
      <c r="H67" s="11">
        <v>28972314</v>
      </c>
      <c r="I67" s="11">
        <v>44043826</v>
      </c>
      <c r="J67" s="11">
        <v>13560770</v>
      </c>
      <c r="K67" s="11">
        <v>30483056</v>
      </c>
      <c r="L67" s="8">
        <f t="shared" si="2"/>
        <v>0.69210735688584368</v>
      </c>
      <c r="M67" s="8">
        <f t="shared" si="3"/>
        <v>0.30789264311415632</v>
      </c>
    </row>
    <row r="68" spans="1:13" ht="18" thickBot="1">
      <c r="A68" s="15" t="s">
        <v>139</v>
      </c>
      <c r="B68" s="16"/>
      <c r="C68" s="19">
        <f>SUM(C4:C67)</f>
        <v>3624908030</v>
      </c>
      <c r="D68" s="20">
        <f>SUM(D4:D67)</f>
        <v>2376544827</v>
      </c>
      <c r="E68" s="20">
        <f>SUM(E4:E67)</f>
        <v>1248363203</v>
      </c>
      <c r="F68" s="21"/>
      <c r="G68" s="20">
        <f t="shared" ref="G68" si="6">D68/1.1</f>
        <v>2160495297.272727</v>
      </c>
      <c r="H68" s="20">
        <f>SUM(H4:H67)</f>
        <v>1030898678</v>
      </c>
      <c r="I68" s="20">
        <f t="shared" ref="I68" si="7">G68-H68</f>
        <v>1129596619.272727</v>
      </c>
      <c r="J68" s="20">
        <f>SUM(J4:J67)</f>
        <v>516701410</v>
      </c>
      <c r="K68" s="20">
        <f t="shared" ref="K68" si="8">I68-J68</f>
        <v>612895209.27272701</v>
      </c>
      <c r="L68" s="22">
        <f t="shared" ref="L68" si="9">K68/I68</f>
        <v>0.54257882753520448</v>
      </c>
      <c r="M68" s="22">
        <f t="shared" ref="M68" si="10">J68/I68</f>
        <v>0.45742117246479552</v>
      </c>
    </row>
    <row r="70" spans="1:13">
      <c r="B70" s="9" t="s">
        <v>140</v>
      </c>
      <c r="C70" s="12">
        <f>C68</f>
        <v>3624908030</v>
      </c>
    </row>
    <row r="71" spans="1:13">
      <c r="B71" s="9" t="s">
        <v>141</v>
      </c>
      <c r="C71" s="13">
        <f>COUNTA(A4:A67)</f>
        <v>64</v>
      </c>
    </row>
    <row r="72" spans="1:13">
      <c r="B72" s="9" t="s">
        <v>142</v>
      </c>
      <c r="C72" s="13">
        <f>C70/C71</f>
        <v>56639187.96875</v>
      </c>
    </row>
  </sheetData>
  <autoFilter ref="A3:M67" xr:uid="{00000000-0009-0000-0000-000006000000}"/>
  <sortState xmlns:xlrd2="http://schemas.microsoft.com/office/spreadsheetml/2017/richdata2" ref="A4:M67">
    <sortCondition ref="A4:A67"/>
  </sortState>
  <mergeCells count="2">
    <mergeCell ref="A68:B68"/>
    <mergeCell ref="A1:M1"/>
  </mergeCells>
  <phoneticPr fontId="3" type="noConversion"/>
  <pageMargins left="0.3" right="0.3" top="0.5" bottom="0.5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정산보고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azmang</dc:creator>
  <cp:lastModifiedBy>azmang</cp:lastModifiedBy>
  <dcterms:created xsi:type="dcterms:W3CDTF">2026-07-09T08:36:01Z</dcterms:created>
  <dcterms:modified xsi:type="dcterms:W3CDTF">2026-07-09T12:20:30Z</dcterms:modified>
</cp:coreProperties>
</file>