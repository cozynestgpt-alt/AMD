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"/>
    </mc:Choice>
  </mc:AlternateContent>
  <xr:revisionPtr revIDLastSave="0" documentId="8_{A26C31FE-34A4-4019-950F-93BD82544AD9}" xr6:coauthVersionLast="47" xr6:coauthVersionMax="47" xr10:uidLastSave="{00000000-0000-0000-0000-000000000000}"/>
  <bookViews>
    <workbookView xWindow="-108" yWindow="-108" windowWidth="23256" windowHeight="12528" tabRatio="500" firstSheet="1" activeTab="3" xr2:uid="{00000000-000D-0000-FFFF-FFFF00000000}"/>
  </bookViews>
  <sheets>
    <sheet name="피벗값_구분" sheetId="1" r:id="rId1"/>
    <sheet name="피벗값_매장명(동일)" sheetId="2" r:id="rId2"/>
    <sheet name="피벗값_매장명(동일) 값_영업이익순" sheetId="3" r:id="rId3"/>
    <sheet name="피벗값_매장명 (폐점)" sheetId="4" r:id="rId4"/>
    <sheet name="피벗값_매장명 (행사)" sheetId="5" r:id="rId5"/>
    <sheet name="피벗값_매장명 (신규)" sheetId="6" r:id="rId6"/>
    <sheet name="표1" sheetId="7" r:id="rId7"/>
    <sheet name="구분" sheetId="8" r:id="rId8"/>
  </sheets>
  <definedNames>
    <definedName name="_xlnm._FilterDatabase" localSheetId="7" hidden="1">구분!$B$3:$D$197</definedName>
    <definedName name="_xlnm._FilterDatabase" localSheetId="2" hidden="1">'피벗값_매장명(동일) 값_영업이익순'!$B$5:$T$68</definedName>
    <definedName name="_xlnm.Print_Area" localSheetId="0">피벗값_구분!$B$2:$L$19</definedName>
    <definedName name="_xlnm.Print_Area" localSheetId="5">'피벗값_매장명 (신규)'!$B$1:$H$11</definedName>
    <definedName name="_xlnm.Print_Area" localSheetId="3">'피벗값_매장명 (폐점)'!$B$3:$H$7</definedName>
    <definedName name="_xlnm.Print_Area" localSheetId="4">'피벗값_매장명 (행사)'!$B$3:$M$10</definedName>
    <definedName name="_xlnm.Print_Area" localSheetId="1">'피벗값_매장명(동일)'!$B$4:$T$70</definedName>
    <definedName name="_xlnm.Print_Area" localSheetId="2">'피벗값_매장명(동일) 값_영업이익순'!$B$2:$T$69</definedName>
    <definedName name="_xlnm.Print_Titles" localSheetId="1">'피벗값_매장명(동일)'!$4:$5</definedName>
    <definedName name="_xlnm.Print_Titles" localSheetId="2">'피벗값_매장명(동일) 값_영업이익순'!$4:$5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20" i="7" l="1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H30" i="8"/>
  <c r="G30" i="8"/>
  <c r="F30" i="8"/>
  <c r="E30" i="8"/>
  <c r="E31" i="8"/>
  <c r="E32" i="8"/>
  <c r="E33" i="8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H27" i="8"/>
  <c r="G27" i="8"/>
  <c r="F27" i="8"/>
  <c r="E2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G197" i="8"/>
  <c r="F197" i="8"/>
  <c r="E197" i="8"/>
  <c r="G196" i="8"/>
  <c r="F196" i="8"/>
  <c r="E196" i="8"/>
  <c r="G195" i="8"/>
  <c r="F195" i="8"/>
  <c r="E195" i="8"/>
  <c r="G194" i="8"/>
  <c r="F194" i="8"/>
  <c r="E194" i="8"/>
  <c r="G193" i="8"/>
  <c r="F193" i="8"/>
  <c r="E193" i="8"/>
  <c r="G192" i="8"/>
  <c r="F192" i="8"/>
  <c r="E192" i="8"/>
  <c r="G191" i="8"/>
  <c r="F191" i="8"/>
  <c r="E191" i="8"/>
  <c r="G190" i="8"/>
  <c r="F190" i="8"/>
  <c r="E190" i="8"/>
  <c r="G189" i="8"/>
  <c r="F189" i="8"/>
  <c r="E189" i="8"/>
  <c r="G188" i="8"/>
  <c r="F188" i="8"/>
  <c r="E188" i="8"/>
  <c r="G187" i="8"/>
  <c r="F187" i="8"/>
  <c r="E187" i="8"/>
  <c r="G186" i="8"/>
  <c r="F186" i="8"/>
  <c r="E186" i="8"/>
  <c r="G185" i="8"/>
  <c r="F185" i="8"/>
  <c r="E185" i="8"/>
  <c r="G184" i="8"/>
  <c r="F184" i="8"/>
  <c r="E184" i="8"/>
  <c r="G183" i="8"/>
  <c r="F183" i="8"/>
  <c r="E183" i="8"/>
  <c r="G182" i="8"/>
  <c r="F182" i="8"/>
  <c r="E182" i="8"/>
  <c r="G181" i="8"/>
  <c r="F181" i="8"/>
  <c r="E181" i="8"/>
  <c r="G180" i="8"/>
  <c r="F180" i="8"/>
  <c r="E180" i="8"/>
  <c r="G179" i="8"/>
  <c r="F179" i="8"/>
  <c r="E179" i="8"/>
  <c r="G178" i="8"/>
  <c r="F178" i="8"/>
  <c r="E178" i="8"/>
  <c r="G177" i="8"/>
  <c r="F177" i="8"/>
  <c r="E177" i="8"/>
  <c r="G176" i="8"/>
  <c r="F176" i="8"/>
  <c r="E176" i="8"/>
  <c r="G175" i="8"/>
  <c r="F175" i="8"/>
  <c r="E175" i="8"/>
  <c r="G174" i="8"/>
  <c r="F174" i="8"/>
  <c r="E174" i="8"/>
  <c r="G173" i="8"/>
  <c r="F173" i="8"/>
  <c r="E173" i="8"/>
  <c r="G172" i="8"/>
  <c r="F172" i="8"/>
  <c r="E172" i="8"/>
  <c r="G171" i="8"/>
  <c r="F171" i="8"/>
  <c r="E171" i="8"/>
  <c r="G170" i="8"/>
  <c r="F170" i="8"/>
  <c r="E170" i="8"/>
  <c r="G169" i="8"/>
  <c r="F169" i="8"/>
  <c r="E169" i="8"/>
  <c r="G168" i="8"/>
  <c r="F168" i="8"/>
  <c r="E168" i="8"/>
  <c r="G167" i="8"/>
  <c r="F167" i="8"/>
  <c r="E167" i="8"/>
  <c r="G166" i="8"/>
  <c r="F166" i="8"/>
  <c r="E166" i="8"/>
  <c r="G165" i="8"/>
  <c r="F165" i="8"/>
  <c r="E165" i="8"/>
  <c r="G164" i="8"/>
  <c r="F164" i="8"/>
  <c r="E164" i="8"/>
  <c r="G163" i="8"/>
  <c r="F163" i="8"/>
  <c r="E163" i="8"/>
  <c r="G162" i="8"/>
  <c r="F162" i="8"/>
  <c r="E162" i="8"/>
  <c r="G161" i="8"/>
  <c r="F161" i="8"/>
  <c r="E161" i="8"/>
  <c r="G160" i="8"/>
  <c r="F160" i="8"/>
  <c r="E160" i="8"/>
  <c r="G159" i="8"/>
  <c r="F159" i="8"/>
  <c r="E159" i="8"/>
  <c r="G158" i="8"/>
  <c r="F158" i="8"/>
  <c r="E158" i="8"/>
  <c r="G157" i="8"/>
  <c r="F157" i="8"/>
  <c r="E157" i="8"/>
  <c r="G156" i="8"/>
  <c r="F156" i="8"/>
  <c r="E156" i="8"/>
  <c r="G155" i="8"/>
  <c r="F155" i="8"/>
  <c r="E155" i="8"/>
  <c r="G154" i="8"/>
  <c r="F154" i="8"/>
  <c r="E154" i="8"/>
  <c r="G153" i="8"/>
  <c r="F153" i="8"/>
  <c r="E153" i="8"/>
  <c r="G152" i="8"/>
  <c r="F152" i="8"/>
  <c r="E152" i="8"/>
  <c r="G151" i="8"/>
  <c r="F151" i="8"/>
  <c r="E151" i="8"/>
  <c r="G150" i="8"/>
  <c r="F150" i="8"/>
  <c r="E150" i="8"/>
  <c r="G149" i="8"/>
  <c r="F149" i="8"/>
  <c r="E149" i="8"/>
  <c r="G148" i="8"/>
  <c r="F148" i="8"/>
  <c r="E148" i="8"/>
  <c r="G147" i="8"/>
  <c r="F147" i="8"/>
  <c r="E147" i="8"/>
  <c r="G146" i="8"/>
  <c r="F146" i="8"/>
  <c r="E146" i="8"/>
  <c r="G145" i="8"/>
  <c r="F145" i="8"/>
  <c r="E145" i="8"/>
  <c r="G144" i="8"/>
  <c r="F144" i="8"/>
  <c r="E144" i="8"/>
  <c r="G143" i="8"/>
  <c r="F143" i="8"/>
  <c r="E143" i="8"/>
  <c r="G142" i="8"/>
  <c r="F142" i="8"/>
  <c r="E142" i="8"/>
  <c r="G141" i="8"/>
  <c r="F141" i="8"/>
  <c r="E141" i="8"/>
  <c r="G140" i="8"/>
  <c r="F140" i="8"/>
  <c r="E140" i="8"/>
  <c r="G139" i="8"/>
  <c r="F139" i="8"/>
  <c r="E139" i="8"/>
  <c r="G138" i="8"/>
  <c r="F138" i="8"/>
  <c r="E138" i="8"/>
  <c r="G137" i="8"/>
  <c r="F137" i="8"/>
  <c r="E137" i="8"/>
  <c r="G136" i="8"/>
  <c r="F136" i="8"/>
  <c r="E136" i="8"/>
  <c r="G135" i="8"/>
  <c r="F135" i="8"/>
  <c r="E135" i="8"/>
  <c r="G134" i="8"/>
  <c r="F134" i="8"/>
  <c r="E134" i="8"/>
  <c r="G133" i="8"/>
  <c r="F133" i="8"/>
  <c r="E133" i="8"/>
  <c r="G132" i="8"/>
  <c r="F132" i="8"/>
  <c r="E132" i="8"/>
  <c r="G131" i="8"/>
  <c r="F131" i="8"/>
  <c r="E131" i="8"/>
  <c r="G130" i="8"/>
  <c r="F130" i="8"/>
  <c r="E130" i="8"/>
  <c r="G129" i="8"/>
  <c r="F129" i="8"/>
  <c r="E129" i="8"/>
  <c r="G128" i="8"/>
  <c r="F128" i="8"/>
  <c r="E128" i="8"/>
  <c r="G127" i="8"/>
  <c r="F127" i="8"/>
  <c r="E127" i="8"/>
  <c r="G126" i="8"/>
  <c r="F126" i="8"/>
  <c r="E126" i="8"/>
  <c r="G125" i="8"/>
  <c r="F125" i="8"/>
  <c r="E125" i="8"/>
  <c r="G124" i="8"/>
  <c r="F124" i="8"/>
  <c r="E124" i="8"/>
  <c r="G123" i="8"/>
  <c r="F123" i="8"/>
  <c r="E123" i="8"/>
  <c r="G122" i="8"/>
  <c r="F122" i="8"/>
  <c r="E122" i="8"/>
  <c r="G121" i="8"/>
  <c r="F121" i="8"/>
  <c r="E121" i="8"/>
  <c r="G120" i="8"/>
  <c r="F120" i="8"/>
  <c r="E120" i="8"/>
  <c r="G119" i="8"/>
  <c r="F119" i="8"/>
  <c r="E119" i="8"/>
  <c r="G118" i="8"/>
  <c r="F118" i="8"/>
  <c r="E118" i="8"/>
  <c r="G117" i="8"/>
  <c r="F117" i="8"/>
  <c r="E117" i="8"/>
  <c r="G116" i="8"/>
  <c r="F116" i="8"/>
  <c r="E116" i="8"/>
  <c r="G115" i="8"/>
  <c r="F115" i="8"/>
  <c r="E115" i="8"/>
  <c r="G114" i="8"/>
  <c r="F114" i="8"/>
  <c r="E114" i="8"/>
  <c r="G113" i="8"/>
  <c r="F113" i="8"/>
  <c r="E113" i="8"/>
  <c r="G112" i="8"/>
  <c r="F112" i="8"/>
  <c r="E112" i="8"/>
  <c r="G111" i="8"/>
  <c r="F111" i="8"/>
  <c r="E111" i="8"/>
  <c r="G110" i="8"/>
  <c r="F110" i="8"/>
  <c r="E110" i="8"/>
  <c r="G109" i="8"/>
  <c r="F109" i="8"/>
  <c r="E109" i="8"/>
  <c r="G108" i="8"/>
  <c r="F108" i="8"/>
  <c r="E108" i="8"/>
  <c r="G107" i="8"/>
  <c r="F107" i="8"/>
  <c r="E107" i="8"/>
  <c r="G106" i="8"/>
  <c r="F106" i="8"/>
  <c r="E106" i="8"/>
  <c r="G105" i="8"/>
  <c r="F105" i="8"/>
  <c r="E105" i="8"/>
  <c r="G104" i="8"/>
  <c r="F104" i="8"/>
  <c r="E104" i="8"/>
  <c r="G103" i="8"/>
  <c r="F103" i="8"/>
  <c r="E103" i="8"/>
  <c r="G102" i="8"/>
  <c r="F102" i="8"/>
  <c r="E102" i="8"/>
  <c r="G101" i="8"/>
  <c r="F101" i="8"/>
  <c r="E101" i="8"/>
  <c r="G100" i="8"/>
  <c r="F100" i="8"/>
  <c r="E100" i="8"/>
  <c r="G99" i="8"/>
  <c r="F99" i="8"/>
  <c r="E99" i="8"/>
  <c r="G98" i="8"/>
  <c r="F98" i="8"/>
  <c r="E98" i="8"/>
  <c r="G97" i="8"/>
  <c r="F97" i="8"/>
  <c r="E97" i="8"/>
  <c r="G96" i="8"/>
  <c r="F96" i="8"/>
  <c r="E96" i="8"/>
  <c r="G95" i="8"/>
  <c r="F95" i="8"/>
  <c r="E95" i="8"/>
  <c r="G94" i="8"/>
  <c r="F94" i="8"/>
  <c r="E94" i="8"/>
  <c r="G93" i="8"/>
  <c r="F93" i="8"/>
  <c r="E93" i="8"/>
  <c r="G92" i="8"/>
  <c r="F92" i="8"/>
  <c r="E92" i="8"/>
  <c r="G91" i="8"/>
  <c r="F91" i="8"/>
  <c r="E91" i="8"/>
  <c r="G90" i="8"/>
  <c r="F90" i="8"/>
  <c r="E90" i="8"/>
  <c r="G89" i="8"/>
  <c r="F89" i="8"/>
  <c r="E89" i="8"/>
  <c r="G88" i="8"/>
  <c r="F88" i="8"/>
  <c r="E88" i="8"/>
  <c r="G87" i="8"/>
  <c r="F87" i="8"/>
  <c r="E87" i="8"/>
  <c r="G86" i="8"/>
  <c r="F86" i="8"/>
  <c r="E86" i="8"/>
  <c r="G85" i="8"/>
  <c r="F85" i="8"/>
  <c r="E85" i="8"/>
  <c r="G84" i="8"/>
  <c r="F84" i="8"/>
  <c r="E84" i="8"/>
  <c r="G83" i="8"/>
  <c r="F83" i="8"/>
  <c r="E83" i="8"/>
  <c r="G82" i="8"/>
  <c r="F82" i="8"/>
  <c r="E82" i="8"/>
  <c r="G81" i="8"/>
  <c r="F81" i="8"/>
  <c r="E81" i="8"/>
  <c r="G80" i="8"/>
  <c r="F80" i="8"/>
  <c r="E80" i="8"/>
  <c r="G79" i="8"/>
  <c r="F79" i="8"/>
  <c r="E79" i="8"/>
  <c r="G78" i="8"/>
  <c r="F78" i="8"/>
  <c r="E78" i="8"/>
  <c r="G77" i="8"/>
  <c r="F77" i="8"/>
  <c r="E77" i="8"/>
  <c r="G76" i="8"/>
  <c r="F76" i="8"/>
  <c r="E76" i="8"/>
  <c r="G75" i="8"/>
  <c r="F75" i="8"/>
  <c r="E75" i="8"/>
  <c r="G74" i="8"/>
  <c r="F74" i="8"/>
  <c r="E74" i="8"/>
  <c r="G73" i="8"/>
  <c r="F73" i="8"/>
  <c r="E73" i="8"/>
  <c r="G72" i="8"/>
  <c r="F72" i="8"/>
  <c r="E72" i="8"/>
  <c r="G71" i="8"/>
  <c r="F71" i="8"/>
  <c r="E71" i="8"/>
  <c r="G70" i="8"/>
  <c r="F70" i="8"/>
  <c r="E70" i="8"/>
  <c r="G69" i="8"/>
  <c r="F69" i="8"/>
  <c r="E69" i="8"/>
  <c r="G68" i="8"/>
  <c r="F68" i="8"/>
  <c r="E68" i="8"/>
  <c r="G67" i="8"/>
  <c r="F67" i="8"/>
  <c r="E67" i="8"/>
  <c r="G66" i="8"/>
  <c r="F66" i="8"/>
  <c r="E66" i="8"/>
  <c r="G65" i="8"/>
  <c r="F65" i="8"/>
  <c r="E65" i="8"/>
  <c r="G64" i="8"/>
  <c r="F64" i="8"/>
  <c r="E64" i="8"/>
  <c r="G63" i="8"/>
  <c r="F63" i="8"/>
  <c r="E63" i="8"/>
  <c r="G62" i="8"/>
  <c r="F62" i="8"/>
  <c r="E62" i="8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9" i="8"/>
  <c r="F49" i="8"/>
  <c r="E49" i="8"/>
  <c r="G48" i="8"/>
  <c r="F48" i="8"/>
  <c r="E48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H38" i="8"/>
  <c r="G38" i="8"/>
  <c r="F38" i="8"/>
  <c r="E38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H32" i="8"/>
  <c r="G32" i="8"/>
  <c r="F32" i="8"/>
  <c r="H31" i="8"/>
  <c r="G31" i="8"/>
  <c r="F31" i="8"/>
  <c r="H29" i="8"/>
  <c r="G29" i="8"/>
  <c r="F29" i="8"/>
  <c r="E29" i="8"/>
  <c r="H28" i="8"/>
  <c r="G28" i="8"/>
  <c r="F28" i="8"/>
  <c r="E28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6" i="8"/>
  <c r="G16" i="8"/>
  <c r="F16" i="8"/>
  <c r="E16" i="8"/>
  <c r="H15" i="8"/>
  <c r="G15" i="8"/>
  <c r="F15" i="8"/>
  <c r="E15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H5" i="8"/>
  <c r="G5" i="8"/>
  <c r="F5" i="8"/>
  <c r="E5" i="8"/>
  <c r="H4" i="8"/>
  <c r="G4" i="8"/>
  <c r="F4" i="8"/>
  <c r="E4" i="8"/>
  <c r="B6" i="2" s="1"/>
  <c r="Q6" i="2" s="1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K16" i="1"/>
  <c r="Q7" i="1"/>
  <c r="P7" i="1"/>
  <c r="I16" i="1" s="1"/>
  <c r="O7" i="1"/>
  <c r="G16" i="1" s="1"/>
  <c r="N7" i="1"/>
  <c r="E16" i="1" s="1"/>
  <c r="M7" i="1"/>
  <c r="C16" i="1" s="1"/>
  <c r="B4" i="1"/>
  <c r="B5" i="5" s="1"/>
  <c r="B5" i="4" l="1"/>
  <c r="C5" i="4" s="1"/>
  <c r="B18" i="6"/>
  <c r="C18" i="6" s="1"/>
  <c r="B8" i="4"/>
  <c r="B11" i="6"/>
  <c r="D11" i="6" s="1"/>
  <c r="B57" i="2"/>
  <c r="J57" i="2" s="1"/>
  <c r="B21" i="6"/>
  <c r="F21" i="6" s="1"/>
  <c r="B7" i="2"/>
  <c r="K7" i="2" s="1"/>
  <c r="B49" i="2"/>
  <c r="D49" i="2" s="1"/>
  <c r="B9" i="6"/>
  <c r="F9" i="6" s="1"/>
  <c r="B23" i="6"/>
  <c r="D23" i="6" s="1"/>
  <c r="B20" i="4"/>
  <c r="I20" i="4" s="1"/>
  <c r="E6" i="1"/>
  <c r="B16" i="4"/>
  <c r="D16" i="4" s="1"/>
  <c r="B13" i="2"/>
  <c r="P13" i="2" s="1"/>
  <c r="B25" i="2"/>
  <c r="Q25" i="2" s="1"/>
  <c r="B20" i="6"/>
  <c r="G20" i="6" s="1"/>
  <c r="B45" i="2"/>
  <c r="G45" i="2" s="1"/>
  <c r="F6" i="1"/>
  <c r="D18" i="6"/>
  <c r="B67" i="2"/>
  <c r="D67" i="2" s="1"/>
  <c r="E18" i="6"/>
  <c r="B24" i="4"/>
  <c r="I24" i="4" s="1"/>
  <c r="K8" i="1"/>
  <c r="B24" i="6"/>
  <c r="H24" i="6" s="1"/>
  <c r="E6" i="2"/>
  <c r="G18" i="6"/>
  <c r="I6" i="1"/>
  <c r="G8" i="1"/>
  <c r="K6" i="2"/>
  <c r="B37" i="2"/>
  <c r="J37" i="2" s="1"/>
  <c r="B12" i="4"/>
  <c r="G12" i="4" s="1"/>
  <c r="B10" i="6"/>
  <c r="D10" i="6" s="1"/>
  <c r="B13" i="6"/>
  <c r="B14" i="6"/>
  <c r="G14" i="6" s="1"/>
  <c r="B22" i="6"/>
  <c r="H22" i="6" s="1"/>
  <c r="B25" i="6"/>
  <c r="B26" i="6"/>
  <c r="G26" i="6" s="1"/>
  <c r="C6" i="2"/>
  <c r="B69" i="2"/>
  <c r="D69" i="2" s="1"/>
  <c r="B12" i="6"/>
  <c r="H12" i="6" s="1"/>
  <c r="B15" i="6"/>
  <c r="H15" i="6" s="1"/>
  <c r="B17" i="6"/>
  <c r="C17" i="6" s="1"/>
  <c r="F18" i="6"/>
  <c r="B7" i="6"/>
  <c r="B8" i="6"/>
  <c r="G8" i="6" s="1"/>
  <c r="B16" i="6"/>
  <c r="B19" i="6"/>
  <c r="D9" i="1"/>
  <c r="Q57" i="2"/>
  <c r="H57" i="2"/>
  <c r="C6" i="1"/>
  <c r="H8" i="1"/>
  <c r="B15" i="2"/>
  <c r="B27" i="2"/>
  <c r="B39" i="2"/>
  <c r="B66" i="2"/>
  <c r="B60" i="2"/>
  <c r="B54" i="2"/>
  <c r="B48" i="2"/>
  <c r="B42" i="2"/>
  <c r="B65" i="2"/>
  <c r="B59" i="2"/>
  <c r="B53" i="2"/>
  <c r="B47" i="2"/>
  <c r="B41" i="2"/>
  <c r="B64" i="2"/>
  <c r="B56" i="2"/>
  <c r="B63" i="2"/>
  <c r="B55" i="2"/>
  <c r="B68" i="2"/>
  <c r="B52" i="2"/>
  <c r="B44" i="2"/>
  <c r="B36" i="2"/>
  <c r="B30" i="2"/>
  <c r="B24" i="2"/>
  <c r="B18" i="2"/>
  <c r="B12" i="2"/>
  <c r="B61" i="2"/>
  <c r="B51" i="2"/>
  <c r="B43" i="2"/>
  <c r="B35" i="2"/>
  <c r="B29" i="2"/>
  <c r="B23" i="2"/>
  <c r="B17" i="2"/>
  <c r="B11" i="2"/>
  <c r="B62" i="2"/>
  <c r="B46" i="2"/>
  <c r="B38" i="2"/>
  <c r="B32" i="2"/>
  <c r="B26" i="2"/>
  <c r="B20" i="2"/>
  <c r="B14" i="2"/>
  <c r="B8" i="2"/>
  <c r="H21" i="6"/>
  <c r="J6" i="1"/>
  <c r="E9" i="1"/>
  <c r="C21" i="6"/>
  <c r="D6" i="1"/>
  <c r="L6" i="1"/>
  <c r="H9" i="1"/>
  <c r="B10" i="2"/>
  <c r="B22" i="2"/>
  <c r="B34" i="2"/>
  <c r="B50" i="2"/>
  <c r="Q45" i="2"/>
  <c r="J9" i="1"/>
  <c r="B19" i="2"/>
  <c r="B31" i="2"/>
  <c r="G9" i="1"/>
  <c r="J8" i="1"/>
  <c r="D8" i="1"/>
  <c r="L9" i="1"/>
  <c r="F9" i="1"/>
  <c r="I8" i="1"/>
  <c r="C8" i="1"/>
  <c r="K6" i="1"/>
  <c r="I9" i="1"/>
  <c r="C9" i="1"/>
  <c r="L8" i="1"/>
  <c r="F8" i="1"/>
  <c r="H6" i="1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K9" i="1"/>
  <c r="B9" i="2"/>
  <c r="B21" i="2"/>
  <c r="B33" i="2"/>
  <c r="G6" i="1"/>
  <c r="E8" i="1"/>
  <c r="B16" i="2"/>
  <c r="B28" i="2"/>
  <c r="B40" i="2"/>
  <c r="B58" i="2"/>
  <c r="B13" i="1"/>
  <c r="D6" i="2"/>
  <c r="J6" i="2"/>
  <c r="P6" i="2"/>
  <c r="E8" i="4"/>
  <c r="G8" i="4"/>
  <c r="F8" i="4"/>
  <c r="D8" i="4"/>
  <c r="H8" i="4"/>
  <c r="C8" i="4"/>
  <c r="B4" i="3"/>
  <c r="B4" i="2"/>
  <c r="G6" i="2"/>
  <c r="M6" i="2"/>
  <c r="H6" i="2"/>
  <c r="N6" i="2"/>
  <c r="B19" i="4"/>
  <c r="B10" i="4"/>
  <c r="B22" i="4"/>
  <c r="B18" i="4"/>
  <c r="B14" i="4"/>
  <c r="B26" i="4"/>
  <c r="B15" i="4"/>
  <c r="B11" i="4"/>
  <c r="B7" i="4"/>
  <c r="B17" i="4"/>
  <c r="B25" i="4"/>
  <c r="B9" i="4"/>
  <c r="B13" i="4"/>
  <c r="B21" i="4"/>
  <c r="B23" i="4"/>
  <c r="D21" i="6" l="1"/>
  <c r="H23" i="6"/>
  <c r="H18" i="6"/>
  <c r="E21" i="6"/>
  <c r="N57" i="2"/>
  <c r="N6" i="1"/>
  <c r="F6" i="2"/>
  <c r="F20" i="4"/>
  <c r="G20" i="4"/>
  <c r="R6" i="2"/>
  <c r="N49" i="2"/>
  <c r="C45" i="2"/>
  <c r="Q13" i="2"/>
  <c r="C13" i="2"/>
  <c r="M13" i="2"/>
  <c r="M49" i="2"/>
  <c r="J49" i="2"/>
  <c r="D13" i="2"/>
  <c r="K49" i="2"/>
  <c r="N7" i="2"/>
  <c r="N70" i="2" s="1"/>
  <c r="P57" i="2"/>
  <c r="M45" i="2"/>
  <c r="H20" i="4"/>
  <c r="C57" i="2"/>
  <c r="E57" i="2"/>
  <c r="K45" i="2"/>
  <c r="C20" i="4"/>
  <c r="M57" i="2"/>
  <c r="K57" i="2"/>
  <c r="Q8" i="1"/>
  <c r="K17" i="1" s="1"/>
  <c r="D20" i="4"/>
  <c r="E20" i="4"/>
  <c r="D57" i="2"/>
  <c r="G57" i="2"/>
  <c r="E7" i="2"/>
  <c r="L7" i="2" s="1"/>
  <c r="I16" i="4"/>
  <c r="G16" i="4"/>
  <c r="C23" i="6"/>
  <c r="D12" i="4"/>
  <c r="E12" i="4"/>
  <c r="C12" i="4"/>
  <c r="H17" i="6"/>
  <c r="M9" i="1"/>
  <c r="C18" i="1" s="1"/>
  <c r="C16" i="4"/>
  <c r="E16" i="4"/>
  <c r="H12" i="4"/>
  <c r="C7" i="2"/>
  <c r="H7" i="2"/>
  <c r="H70" i="2" s="1"/>
  <c r="F16" i="4"/>
  <c r="F12" i="4"/>
  <c r="J7" i="2"/>
  <c r="J70" i="2" s="1"/>
  <c r="P7" i="2"/>
  <c r="P70" i="2" s="1"/>
  <c r="G7" i="2"/>
  <c r="G70" i="2" s="1"/>
  <c r="H16" i="4"/>
  <c r="Q7" i="2"/>
  <c r="D7" i="2"/>
  <c r="D70" i="2" s="1"/>
  <c r="M7" i="2"/>
  <c r="M70" i="2" s="1"/>
  <c r="G21" i="6"/>
  <c r="H11" i="6"/>
  <c r="G17" i="6"/>
  <c r="E23" i="6"/>
  <c r="E11" i="6"/>
  <c r="G11" i="6"/>
  <c r="F20" i="6"/>
  <c r="D20" i="6"/>
  <c r="C11" i="6"/>
  <c r="F11" i="6"/>
  <c r="C25" i="2"/>
  <c r="P25" i="2"/>
  <c r="T25" i="2" s="1"/>
  <c r="E14" i="6"/>
  <c r="G25" i="2"/>
  <c r="G69" i="2"/>
  <c r="D25" i="2"/>
  <c r="H9" i="6"/>
  <c r="J25" i="2"/>
  <c r="E9" i="6"/>
  <c r="D9" i="6"/>
  <c r="M25" i="2"/>
  <c r="J69" i="2"/>
  <c r="G9" i="6"/>
  <c r="K25" i="2"/>
  <c r="F8" i="6"/>
  <c r="H25" i="2"/>
  <c r="N25" i="2"/>
  <c r="E25" i="2"/>
  <c r="R25" i="2" s="1"/>
  <c r="C9" i="6"/>
  <c r="P49" i="2"/>
  <c r="E49" i="2"/>
  <c r="J13" i="2"/>
  <c r="O69" i="2"/>
  <c r="N13" i="2"/>
  <c r="G13" i="2"/>
  <c r="H49" i="2"/>
  <c r="G49" i="2"/>
  <c r="K13" i="2"/>
  <c r="E13" i="2"/>
  <c r="G23" i="6"/>
  <c r="D8" i="6"/>
  <c r="Q49" i="2"/>
  <c r="H13" i="2"/>
  <c r="C49" i="2"/>
  <c r="F23" i="6"/>
  <c r="N45" i="2"/>
  <c r="E8" i="6"/>
  <c r="M69" i="2"/>
  <c r="P69" i="2"/>
  <c r="D45" i="2"/>
  <c r="D14" i="6"/>
  <c r="O8" i="1"/>
  <c r="G17" i="1" s="1"/>
  <c r="H69" i="2"/>
  <c r="I69" i="2" s="1"/>
  <c r="K69" i="2"/>
  <c r="P45" i="2"/>
  <c r="E67" i="2"/>
  <c r="F67" i="2" s="1"/>
  <c r="C20" i="6"/>
  <c r="Q67" i="2"/>
  <c r="H20" i="6"/>
  <c r="H45" i="2"/>
  <c r="F14" i="6"/>
  <c r="E20" i="6"/>
  <c r="N67" i="2"/>
  <c r="F69" i="2"/>
  <c r="Q69" i="2"/>
  <c r="T69" i="2" s="1"/>
  <c r="E45" i="2"/>
  <c r="C14" i="6"/>
  <c r="H14" i="6"/>
  <c r="C15" i="6"/>
  <c r="K37" i="2"/>
  <c r="C37" i="2"/>
  <c r="M37" i="2"/>
  <c r="Q9" i="1"/>
  <c r="K18" i="1" s="1"/>
  <c r="I10" i="1"/>
  <c r="Q37" i="2"/>
  <c r="H37" i="2"/>
  <c r="D15" i="6"/>
  <c r="P8" i="1"/>
  <c r="I17" i="1" s="1"/>
  <c r="E37" i="2"/>
  <c r="E15" i="6"/>
  <c r="N37" i="2"/>
  <c r="J45" i="2"/>
  <c r="K67" i="2"/>
  <c r="H8" i="6"/>
  <c r="P37" i="2"/>
  <c r="G37" i="2"/>
  <c r="D37" i="2"/>
  <c r="P9" i="1"/>
  <c r="I18" i="1" s="1"/>
  <c r="E10" i="1"/>
  <c r="F24" i="4"/>
  <c r="N9" i="1"/>
  <c r="E18" i="1" s="1"/>
  <c r="E24" i="4"/>
  <c r="E16" i="6"/>
  <c r="G16" i="6"/>
  <c r="F16" i="6"/>
  <c r="C16" i="6"/>
  <c r="C12" i="6"/>
  <c r="E12" i="6"/>
  <c r="D12" i="6"/>
  <c r="F12" i="6"/>
  <c r="G12" i="6"/>
  <c r="E22" i="6"/>
  <c r="G22" i="6"/>
  <c r="C22" i="6"/>
  <c r="F22" i="6"/>
  <c r="D16" i="6"/>
  <c r="E26" i="6"/>
  <c r="H24" i="4"/>
  <c r="D26" i="6"/>
  <c r="H16" i="6"/>
  <c r="C67" i="2"/>
  <c r="G67" i="2"/>
  <c r="D22" i="6"/>
  <c r="G24" i="4"/>
  <c r="N69" i="2"/>
  <c r="E69" i="2"/>
  <c r="J67" i="2"/>
  <c r="M67" i="2"/>
  <c r="L69" i="2"/>
  <c r="H7" i="6"/>
  <c r="F7" i="6"/>
  <c r="G7" i="6"/>
  <c r="C7" i="6"/>
  <c r="D7" i="6"/>
  <c r="E7" i="6"/>
  <c r="H13" i="6"/>
  <c r="E13" i="6"/>
  <c r="D13" i="6"/>
  <c r="C13" i="6"/>
  <c r="F13" i="6"/>
  <c r="G13" i="6"/>
  <c r="F10" i="1"/>
  <c r="F16" i="1" s="1"/>
  <c r="E10" i="6"/>
  <c r="G10" i="6"/>
  <c r="F10" i="6"/>
  <c r="C10" i="6"/>
  <c r="C24" i="4"/>
  <c r="O9" i="1"/>
  <c r="G18" i="1" s="1"/>
  <c r="C26" i="6"/>
  <c r="H67" i="2"/>
  <c r="H26" i="6"/>
  <c r="D17" i="6"/>
  <c r="F17" i="6"/>
  <c r="E17" i="6"/>
  <c r="H25" i="6"/>
  <c r="E25" i="6"/>
  <c r="C25" i="6"/>
  <c r="D25" i="6"/>
  <c r="F25" i="6"/>
  <c r="G25" i="6"/>
  <c r="L6" i="2"/>
  <c r="F26" i="6"/>
  <c r="C8" i="6"/>
  <c r="D24" i="4"/>
  <c r="C69" i="2"/>
  <c r="H10" i="6"/>
  <c r="P67" i="2"/>
  <c r="H19" i="6"/>
  <c r="F19" i="6"/>
  <c r="E19" i="6"/>
  <c r="G19" i="6"/>
  <c r="C19" i="6"/>
  <c r="D19" i="6"/>
  <c r="F15" i="6"/>
  <c r="G15" i="6"/>
  <c r="C24" i="6"/>
  <c r="E24" i="6"/>
  <c r="D24" i="6"/>
  <c r="F24" i="6"/>
  <c r="G24" i="6"/>
  <c r="I12" i="4"/>
  <c r="I8" i="4"/>
  <c r="E23" i="4"/>
  <c r="G23" i="4"/>
  <c r="F23" i="4"/>
  <c r="D23" i="4"/>
  <c r="C23" i="4"/>
  <c r="H23" i="4"/>
  <c r="I23" i="4"/>
  <c r="G7" i="4"/>
  <c r="C7" i="4"/>
  <c r="H7" i="4"/>
  <c r="D7" i="4"/>
  <c r="E7" i="4"/>
  <c r="F7" i="4"/>
  <c r="G22" i="4"/>
  <c r="I22" i="4"/>
  <c r="C22" i="4"/>
  <c r="E22" i="4"/>
  <c r="H22" i="4"/>
  <c r="D22" i="4"/>
  <c r="F22" i="4"/>
  <c r="P52" i="2"/>
  <c r="J52" i="2"/>
  <c r="D52" i="2"/>
  <c r="C52" i="2"/>
  <c r="K52" i="2"/>
  <c r="N52" i="2"/>
  <c r="H52" i="2"/>
  <c r="E52" i="2"/>
  <c r="G52" i="2"/>
  <c r="M52" i="2"/>
  <c r="Q52" i="2"/>
  <c r="Q27" i="2"/>
  <c r="K27" i="2"/>
  <c r="E27" i="2"/>
  <c r="P27" i="2"/>
  <c r="J27" i="2"/>
  <c r="D27" i="2"/>
  <c r="M27" i="2"/>
  <c r="G27" i="2"/>
  <c r="H27" i="2"/>
  <c r="C27" i="2"/>
  <c r="N27" i="2"/>
  <c r="I21" i="4"/>
  <c r="C21" i="4"/>
  <c r="E21" i="4"/>
  <c r="D21" i="4"/>
  <c r="H21" i="4"/>
  <c r="G21" i="4"/>
  <c r="F21" i="4"/>
  <c r="E11" i="4"/>
  <c r="G11" i="4"/>
  <c r="C11" i="4"/>
  <c r="D11" i="4"/>
  <c r="F11" i="4"/>
  <c r="H11" i="4"/>
  <c r="G10" i="4"/>
  <c r="C10" i="4"/>
  <c r="H10" i="4"/>
  <c r="F10" i="4"/>
  <c r="D10" i="4"/>
  <c r="E10" i="4"/>
  <c r="P40" i="2"/>
  <c r="J40" i="2"/>
  <c r="D40" i="2"/>
  <c r="C40" i="2"/>
  <c r="N40" i="2"/>
  <c r="M40" i="2"/>
  <c r="E40" i="2"/>
  <c r="H40" i="2"/>
  <c r="G40" i="2"/>
  <c r="Q40" i="2"/>
  <c r="K40" i="2"/>
  <c r="H7" i="5"/>
  <c r="J7" i="5"/>
  <c r="D7" i="5"/>
  <c r="L7" i="5"/>
  <c r="C7" i="5"/>
  <c r="I7" i="5"/>
  <c r="G7" i="5"/>
  <c r="M7" i="5"/>
  <c r="K7" i="5"/>
  <c r="E7" i="5"/>
  <c r="F7" i="5"/>
  <c r="H13" i="5"/>
  <c r="J13" i="5"/>
  <c r="D13" i="5"/>
  <c r="L13" i="5"/>
  <c r="C13" i="5"/>
  <c r="M13" i="5"/>
  <c r="K13" i="5"/>
  <c r="F13" i="5"/>
  <c r="E13" i="5"/>
  <c r="I13" i="5"/>
  <c r="G13" i="5"/>
  <c r="H19" i="5"/>
  <c r="J19" i="5"/>
  <c r="D19" i="5"/>
  <c r="L19" i="5"/>
  <c r="C19" i="5"/>
  <c r="K19" i="5"/>
  <c r="F19" i="5"/>
  <c r="E19" i="5"/>
  <c r="M19" i="5"/>
  <c r="G19" i="5"/>
  <c r="I19" i="5"/>
  <c r="H25" i="5"/>
  <c r="J25" i="5"/>
  <c r="D25" i="5"/>
  <c r="L25" i="5"/>
  <c r="C25" i="5"/>
  <c r="K25" i="5"/>
  <c r="M25" i="5"/>
  <c r="F25" i="5"/>
  <c r="E25" i="5"/>
  <c r="I25" i="5"/>
  <c r="G25" i="5"/>
  <c r="M8" i="1"/>
  <c r="C17" i="1" s="1"/>
  <c r="M19" i="2"/>
  <c r="G19" i="2"/>
  <c r="C19" i="2"/>
  <c r="Q19" i="2"/>
  <c r="E19" i="2"/>
  <c r="P19" i="2"/>
  <c r="D19" i="2"/>
  <c r="N19" i="2"/>
  <c r="K19" i="2"/>
  <c r="H19" i="2"/>
  <c r="J19" i="2"/>
  <c r="Q50" i="2"/>
  <c r="K50" i="2"/>
  <c r="E50" i="2"/>
  <c r="N50" i="2"/>
  <c r="D50" i="2"/>
  <c r="M50" i="2"/>
  <c r="C50" i="2"/>
  <c r="P50" i="2"/>
  <c r="H50" i="2"/>
  <c r="J50" i="2"/>
  <c r="G50" i="2"/>
  <c r="Q20" i="2"/>
  <c r="K20" i="2"/>
  <c r="E20" i="2"/>
  <c r="N20" i="2"/>
  <c r="H20" i="2"/>
  <c r="J20" i="2"/>
  <c r="G20" i="2"/>
  <c r="M20" i="2"/>
  <c r="P20" i="2"/>
  <c r="D20" i="2"/>
  <c r="C20" i="2"/>
  <c r="C35" i="2"/>
  <c r="N35" i="2"/>
  <c r="H35" i="2"/>
  <c r="Q35" i="2"/>
  <c r="K35" i="2"/>
  <c r="E35" i="2"/>
  <c r="M35" i="2"/>
  <c r="J35" i="2"/>
  <c r="P35" i="2"/>
  <c r="G35" i="2"/>
  <c r="D35" i="2"/>
  <c r="N18" i="2"/>
  <c r="H18" i="2"/>
  <c r="M18" i="2"/>
  <c r="G18" i="2"/>
  <c r="P18" i="2"/>
  <c r="J18" i="2"/>
  <c r="D18" i="2"/>
  <c r="K18" i="2"/>
  <c r="C18" i="2"/>
  <c r="Q18" i="2"/>
  <c r="E18" i="2"/>
  <c r="C47" i="2"/>
  <c r="N47" i="2"/>
  <c r="H47" i="2"/>
  <c r="Q47" i="2"/>
  <c r="G47" i="2"/>
  <c r="P47" i="2"/>
  <c r="K47" i="2"/>
  <c r="M47" i="2"/>
  <c r="J47" i="2"/>
  <c r="E47" i="2"/>
  <c r="D47" i="2"/>
  <c r="C41" i="2"/>
  <c r="N41" i="2"/>
  <c r="H41" i="2"/>
  <c r="M41" i="2"/>
  <c r="E41" i="2"/>
  <c r="D41" i="2"/>
  <c r="Q41" i="2"/>
  <c r="G41" i="2"/>
  <c r="P41" i="2"/>
  <c r="K41" i="2"/>
  <c r="J41" i="2"/>
  <c r="N66" i="2"/>
  <c r="H66" i="2"/>
  <c r="M66" i="2"/>
  <c r="G66" i="2"/>
  <c r="J66" i="2"/>
  <c r="Q66" i="2"/>
  <c r="P66" i="2"/>
  <c r="D66" i="2"/>
  <c r="C66" i="2"/>
  <c r="E66" i="2"/>
  <c r="K66" i="2"/>
  <c r="G13" i="4"/>
  <c r="C13" i="4"/>
  <c r="E13" i="4"/>
  <c r="H13" i="4"/>
  <c r="D13" i="4"/>
  <c r="F13" i="4"/>
  <c r="I15" i="4"/>
  <c r="C15" i="4"/>
  <c r="E15" i="4"/>
  <c r="G15" i="4"/>
  <c r="D15" i="4"/>
  <c r="H15" i="4"/>
  <c r="F15" i="4"/>
  <c r="G19" i="4"/>
  <c r="I19" i="4"/>
  <c r="C19" i="4"/>
  <c r="E19" i="4"/>
  <c r="D19" i="4"/>
  <c r="F19" i="4"/>
  <c r="H19" i="4"/>
  <c r="Q21" i="2"/>
  <c r="K21" i="2"/>
  <c r="E21" i="2"/>
  <c r="P21" i="2"/>
  <c r="J21" i="2"/>
  <c r="D21" i="2"/>
  <c r="M21" i="2"/>
  <c r="G21" i="2"/>
  <c r="C21" i="2"/>
  <c r="N21" i="2"/>
  <c r="H21" i="2"/>
  <c r="H8" i="5"/>
  <c r="J8" i="5"/>
  <c r="D8" i="5"/>
  <c r="I8" i="5"/>
  <c r="G8" i="5"/>
  <c r="F8" i="5"/>
  <c r="M8" i="5"/>
  <c r="L8" i="5"/>
  <c r="K8" i="5"/>
  <c r="E8" i="5"/>
  <c r="C8" i="5"/>
  <c r="H14" i="5"/>
  <c r="J14" i="5"/>
  <c r="D14" i="5"/>
  <c r="I14" i="5"/>
  <c r="L14" i="5"/>
  <c r="K14" i="5"/>
  <c r="G14" i="5"/>
  <c r="F14" i="5"/>
  <c r="C14" i="5"/>
  <c r="E14" i="5"/>
  <c r="M14" i="5"/>
  <c r="H20" i="5"/>
  <c r="J20" i="5"/>
  <c r="D20" i="5"/>
  <c r="I20" i="5"/>
  <c r="G20" i="5"/>
  <c r="F20" i="5"/>
  <c r="E20" i="5"/>
  <c r="C20" i="5"/>
  <c r="L20" i="5"/>
  <c r="K20" i="5"/>
  <c r="M20" i="5"/>
  <c r="H26" i="5"/>
  <c r="J26" i="5"/>
  <c r="D26" i="5"/>
  <c r="I26" i="5"/>
  <c r="G26" i="5"/>
  <c r="C26" i="5"/>
  <c r="M26" i="5"/>
  <c r="L26" i="5"/>
  <c r="K26" i="5"/>
  <c r="E26" i="5"/>
  <c r="F26" i="5"/>
  <c r="K10" i="1"/>
  <c r="Q6" i="1"/>
  <c r="L10" i="1"/>
  <c r="L16" i="1" s="1"/>
  <c r="Q26" i="2"/>
  <c r="K26" i="2"/>
  <c r="E26" i="2"/>
  <c r="N26" i="2"/>
  <c r="H26" i="2"/>
  <c r="P26" i="2"/>
  <c r="D26" i="2"/>
  <c r="C26" i="2"/>
  <c r="M26" i="2"/>
  <c r="J26" i="2"/>
  <c r="G26" i="2"/>
  <c r="M43" i="2"/>
  <c r="G43" i="2"/>
  <c r="K43" i="2"/>
  <c r="C43" i="2"/>
  <c r="J43" i="2"/>
  <c r="E43" i="2"/>
  <c r="Q43" i="2"/>
  <c r="P43" i="2"/>
  <c r="N43" i="2"/>
  <c r="D43" i="2"/>
  <c r="H43" i="2"/>
  <c r="N24" i="2"/>
  <c r="H24" i="2"/>
  <c r="M24" i="2"/>
  <c r="G24" i="2"/>
  <c r="P24" i="2"/>
  <c r="J24" i="2"/>
  <c r="D24" i="2"/>
  <c r="Q24" i="2"/>
  <c r="E24" i="2"/>
  <c r="C24" i="2"/>
  <c r="K24" i="2"/>
  <c r="Q68" i="2"/>
  <c r="K68" i="2"/>
  <c r="E68" i="2"/>
  <c r="L68" i="2" s="1"/>
  <c r="P68" i="2"/>
  <c r="H68" i="2"/>
  <c r="G68" i="2"/>
  <c r="J68" i="2"/>
  <c r="D68" i="2"/>
  <c r="N68" i="2"/>
  <c r="O68" i="2" s="1"/>
  <c r="M68" i="2"/>
  <c r="C68" i="2"/>
  <c r="Q56" i="2"/>
  <c r="K56" i="2"/>
  <c r="E56" i="2"/>
  <c r="J56" i="2"/>
  <c r="P56" i="2"/>
  <c r="D56" i="2"/>
  <c r="C56" i="2"/>
  <c r="H56" i="2"/>
  <c r="N56" i="2"/>
  <c r="M56" i="2"/>
  <c r="G56" i="2"/>
  <c r="C53" i="2"/>
  <c r="N53" i="2"/>
  <c r="H53" i="2"/>
  <c r="K53" i="2"/>
  <c r="J53" i="2"/>
  <c r="M53" i="2"/>
  <c r="E53" i="2"/>
  <c r="G53" i="2"/>
  <c r="D53" i="2"/>
  <c r="Q53" i="2"/>
  <c r="P53" i="2"/>
  <c r="N42" i="2"/>
  <c r="H42" i="2"/>
  <c r="M42" i="2"/>
  <c r="G42" i="2"/>
  <c r="D42" i="2"/>
  <c r="K42" i="2"/>
  <c r="C42" i="2"/>
  <c r="P42" i="2"/>
  <c r="E42" i="2"/>
  <c r="Q42" i="2"/>
  <c r="J42" i="2"/>
  <c r="C10" i="1"/>
  <c r="Q33" i="2"/>
  <c r="K33" i="2"/>
  <c r="E33" i="2"/>
  <c r="P33" i="2"/>
  <c r="J33" i="2"/>
  <c r="D33" i="2"/>
  <c r="M33" i="2"/>
  <c r="G33" i="2"/>
  <c r="C33" i="2"/>
  <c r="N33" i="2"/>
  <c r="H33" i="2"/>
  <c r="H12" i="5"/>
  <c r="J12" i="5"/>
  <c r="D12" i="5"/>
  <c r="F12" i="5"/>
  <c r="M12" i="5"/>
  <c r="C12" i="5"/>
  <c r="L12" i="5"/>
  <c r="G12" i="5"/>
  <c r="E12" i="5"/>
  <c r="K12" i="5"/>
  <c r="I12" i="5"/>
  <c r="H18" i="5"/>
  <c r="J18" i="5"/>
  <c r="D18" i="5"/>
  <c r="F18" i="5"/>
  <c r="G18" i="5"/>
  <c r="E18" i="5"/>
  <c r="K18" i="5"/>
  <c r="I18" i="5"/>
  <c r="M18" i="5"/>
  <c r="L18" i="5"/>
  <c r="C18" i="5"/>
  <c r="H24" i="5"/>
  <c r="J24" i="5"/>
  <c r="D24" i="5"/>
  <c r="F24" i="5"/>
  <c r="M24" i="5"/>
  <c r="E24" i="5"/>
  <c r="L24" i="5"/>
  <c r="K24" i="5"/>
  <c r="C24" i="5"/>
  <c r="I24" i="5"/>
  <c r="G24" i="5"/>
  <c r="M31" i="2"/>
  <c r="G31" i="2"/>
  <c r="C31" i="2"/>
  <c r="Q31" i="2"/>
  <c r="E31" i="2"/>
  <c r="P31" i="2"/>
  <c r="D31" i="2"/>
  <c r="N31" i="2"/>
  <c r="K31" i="2"/>
  <c r="H31" i="2"/>
  <c r="J31" i="2"/>
  <c r="P22" i="2"/>
  <c r="J22" i="2"/>
  <c r="D22" i="2"/>
  <c r="C22" i="2"/>
  <c r="H22" i="2"/>
  <c r="E22" i="2"/>
  <c r="K22" i="2"/>
  <c r="G22" i="2"/>
  <c r="Q22" i="2"/>
  <c r="N22" i="2"/>
  <c r="M22" i="2"/>
  <c r="J10" i="1"/>
  <c r="J16" i="1" s="1"/>
  <c r="P6" i="1"/>
  <c r="Q14" i="2"/>
  <c r="K14" i="2"/>
  <c r="E14" i="2"/>
  <c r="N14" i="2"/>
  <c r="H14" i="2"/>
  <c r="P14" i="2"/>
  <c r="D14" i="2"/>
  <c r="M14" i="2"/>
  <c r="C14" i="2"/>
  <c r="J14" i="2"/>
  <c r="G14" i="2"/>
  <c r="Q62" i="2"/>
  <c r="K62" i="2"/>
  <c r="E62" i="2"/>
  <c r="N62" i="2"/>
  <c r="D62" i="2"/>
  <c r="M62" i="2"/>
  <c r="C62" i="2"/>
  <c r="J62" i="2"/>
  <c r="P62" i="2"/>
  <c r="H62" i="2"/>
  <c r="G62" i="2"/>
  <c r="C29" i="2"/>
  <c r="N29" i="2"/>
  <c r="H29" i="2"/>
  <c r="Q29" i="2"/>
  <c r="K29" i="2"/>
  <c r="E29" i="2"/>
  <c r="G29" i="2"/>
  <c r="D29" i="2"/>
  <c r="P29" i="2"/>
  <c r="J29" i="2"/>
  <c r="M29" i="2"/>
  <c r="N12" i="2"/>
  <c r="H12" i="2"/>
  <c r="M12" i="2"/>
  <c r="G12" i="2"/>
  <c r="P12" i="2"/>
  <c r="J12" i="2"/>
  <c r="D12" i="2"/>
  <c r="Q12" i="2"/>
  <c r="E12" i="2"/>
  <c r="C12" i="2"/>
  <c r="K12" i="2"/>
  <c r="C9" i="4"/>
  <c r="E9" i="4"/>
  <c r="H9" i="4"/>
  <c r="G9" i="4"/>
  <c r="F9" i="4"/>
  <c r="D9" i="4"/>
  <c r="E26" i="4"/>
  <c r="G26" i="4"/>
  <c r="I26" i="4"/>
  <c r="C26" i="4"/>
  <c r="H26" i="4"/>
  <c r="D26" i="4"/>
  <c r="F26" i="4"/>
  <c r="P28" i="2"/>
  <c r="J28" i="2"/>
  <c r="D28" i="2"/>
  <c r="C28" i="2"/>
  <c r="N28" i="2"/>
  <c r="M28" i="2"/>
  <c r="K28" i="2"/>
  <c r="E28" i="2"/>
  <c r="H28" i="2"/>
  <c r="Q28" i="2"/>
  <c r="G28" i="2"/>
  <c r="T6" i="2"/>
  <c r="H9" i="5"/>
  <c r="J9" i="5"/>
  <c r="D9" i="5"/>
  <c r="F9" i="5"/>
  <c r="G9" i="5"/>
  <c r="E9" i="5"/>
  <c r="C9" i="5"/>
  <c r="I9" i="5"/>
  <c r="L9" i="5"/>
  <c r="M9" i="5"/>
  <c r="K9" i="5"/>
  <c r="H15" i="5"/>
  <c r="J15" i="5"/>
  <c r="D15" i="5"/>
  <c r="F15" i="5"/>
  <c r="K15" i="5"/>
  <c r="I15" i="5"/>
  <c r="M15" i="5"/>
  <c r="L15" i="5"/>
  <c r="C15" i="5"/>
  <c r="G15" i="5"/>
  <c r="E15" i="5"/>
  <c r="H21" i="5"/>
  <c r="J21" i="5"/>
  <c r="D21" i="5"/>
  <c r="F21" i="5"/>
  <c r="M21" i="5"/>
  <c r="E21" i="5"/>
  <c r="I21" i="5"/>
  <c r="G21" i="5"/>
  <c r="L21" i="5"/>
  <c r="K21" i="5"/>
  <c r="C21" i="5"/>
  <c r="H10" i="1"/>
  <c r="H16" i="1" s="1"/>
  <c r="O6" i="1"/>
  <c r="P10" i="2"/>
  <c r="J10" i="2"/>
  <c r="D10" i="2"/>
  <c r="C10" i="2"/>
  <c r="H10" i="2"/>
  <c r="G10" i="2"/>
  <c r="Q10" i="2"/>
  <c r="E10" i="2"/>
  <c r="K10" i="2"/>
  <c r="N10" i="2"/>
  <c r="M10" i="2"/>
  <c r="D10" i="1"/>
  <c r="D16" i="1" s="1"/>
  <c r="M6" i="1"/>
  <c r="Q32" i="2"/>
  <c r="K32" i="2"/>
  <c r="E32" i="2"/>
  <c r="N32" i="2"/>
  <c r="H32" i="2"/>
  <c r="J32" i="2"/>
  <c r="G32" i="2"/>
  <c r="M32" i="2"/>
  <c r="P32" i="2"/>
  <c r="D32" i="2"/>
  <c r="C32" i="2"/>
  <c r="C11" i="2"/>
  <c r="N11" i="2"/>
  <c r="H11" i="2"/>
  <c r="Q11" i="2"/>
  <c r="K11" i="2"/>
  <c r="E11" i="2"/>
  <c r="M11" i="2"/>
  <c r="J11" i="2"/>
  <c r="P11" i="2"/>
  <c r="G11" i="2"/>
  <c r="D11" i="2"/>
  <c r="Q51" i="2"/>
  <c r="K51" i="2"/>
  <c r="E51" i="2"/>
  <c r="P51" i="2"/>
  <c r="J51" i="2"/>
  <c r="D51" i="2"/>
  <c r="M51" i="2"/>
  <c r="C51" i="2"/>
  <c r="G51" i="2"/>
  <c r="N51" i="2"/>
  <c r="H51" i="2"/>
  <c r="N30" i="2"/>
  <c r="H30" i="2"/>
  <c r="M30" i="2"/>
  <c r="G30" i="2"/>
  <c r="P30" i="2"/>
  <c r="J30" i="2"/>
  <c r="D30" i="2"/>
  <c r="K30" i="2"/>
  <c r="C30" i="2"/>
  <c r="Q30" i="2"/>
  <c r="E30" i="2"/>
  <c r="P64" i="2"/>
  <c r="J64" i="2"/>
  <c r="D64" i="2"/>
  <c r="C64" i="2"/>
  <c r="K64" i="2"/>
  <c r="N64" i="2"/>
  <c r="M64" i="2"/>
  <c r="E64" i="2"/>
  <c r="Q64" i="2"/>
  <c r="H64" i="2"/>
  <c r="G64" i="2"/>
  <c r="Q39" i="2"/>
  <c r="K39" i="2"/>
  <c r="E39" i="2"/>
  <c r="P39" i="2"/>
  <c r="J39" i="2"/>
  <c r="D39" i="2"/>
  <c r="M39" i="2"/>
  <c r="G39" i="2"/>
  <c r="H39" i="2"/>
  <c r="C39" i="2"/>
  <c r="N39" i="2"/>
  <c r="Q15" i="2"/>
  <c r="K15" i="2"/>
  <c r="E15" i="2"/>
  <c r="P15" i="2"/>
  <c r="J15" i="2"/>
  <c r="D15" i="2"/>
  <c r="M15" i="2"/>
  <c r="G15" i="2"/>
  <c r="H15" i="2"/>
  <c r="C15" i="2"/>
  <c r="N15" i="2"/>
  <c r="G25" i="4"/>
  <c r="I25" i="4"/>
  <c r="C25" i="4"/>
  <c r="H25" i="4"/>
  <c r="D25" i="4"/>
  <c r="E25" i="4"/>
  <c r="F25" i="4"/>
  <c r="E14" i="4"/>
  <c r="G14" i="4"/>
  <c r="F14" i="4"/>
  <c r="H14" i="4"/>
  <c r="D14" i="4"/>
  <c r="C14" i="4"/>
  <c r="O6" i="2"/>
  <c r="Q9" i="2"/>
  <c r="K9" i="2"/>
  <c r="E9" i="2"/>
  <c r="P9" i="2"/>
  <c r="J9" i="2"/>
  <c r="D9" i="2"/>
  <c r="M9" i="2"/>
  <c r="G9" i="2"/>
  <c r="C9" i="2"/>
  <c r="N9" i="2"/>
  <c r="H9" i="2"/>
  <c r="H10" i="5"/>
  <c r="J10" i="5"/>
  <c r="D10" i="5"/>
  <c r="L10" i="5"/>
  <c r="C10" i="5"/>
  <c r="F10" i="5"/>
  <c r="E10" i="5"/>
  <c r="I10" i="5"/>
  <c r="G10" i="5"/>
  <c r="M10" i="5"/>
  <c r="K10" i="5"/>
  <c r="H16" i="5"/>
  <c r="J16" i="5"/>
  <c r="D16" i="5"/>
  <c r="L16" i="5"/>
  <c r="C16" i="5"/>
  <c r="I16" i="5"/>
  <c r="G16" i="5"/>
  <c r="F16" i="5"/>
  <c r="K16" i="5"/>
  <c r="E16" i="5"/>
  <c r="M16" i="5"/>
  <c r="H22" i="5"/>
  <c r="J22" i="5"/>
  <c r="D22" i="5"/>
  <c r="L22" i="5"/>
  <c r="C22" i="5"/>
  <c r="K22" i="5"/>
  <c r="I22" i="5"/>
  <c r="G22" i="5"/>
  <c r="F22" i="5"/>
  <c r="M22" i="5"/>
  <c r="E22" i="5"/>
  <c r="N8" i="1"/>
  <c r="E17" i="1" s="1"/>
  <c r="R69" i="2"/>
  <c r="P34" i="2"/>
  <c r="J34" i="2"/>
  <c r="D34" i="2"/>
  <c r="C34" i="2"/>
  <c r="H34" i="2"/>
  <c r="Q34" i="2"/>
  <c r="E34" i="2"/>
  <c r="G34" i="2"/>
  <c r="N34" i="2"/>
  <c r="K34" i="2"/>
  <c r="M34" i="2"/>
  <c r="Q38" i="2"/>
  <c r="K38" i="2"/>
  <c r="E38" i="2"/>
  <c r="N38" i="2"/>
  <c r="H38" i="2"/>
  <c r="P38" i="2"/>
  <c r="D38" i="2"/>
  <c r="G38" i="2"/>
  <c r="C38" i="2"/>
  <c r="M38" i="2"/>
  <c r="J38" i="2"/>
  <c r="C17" i="2"/>
  <c r="N17" i="2"/>
  <c r="H17" i="2"/>
  <c r="Q17" i="2"/>
  <c r="K17" i="2"/>
  <c r="E17" i="2"/>
  <c r="G17" i="2"/>
  <c r="D17" i="2"/>
  <c r="P17" i="2"/>
  <c r="M17" i="2"/>
  <c r="J17" i="2"/>
  <c r="M61" i="2"/>
  <c r="G61" i="2"/>
  <c r="E61" i="2"/>
  <c r="N61" i="2"/>
  <c r="D61" i="2"/>
  <c r="Q61" i="2"/>
  <c r="C61" i="2"/>
  <c r="P61" i="2"/>
  <c r="K61" i="2"/>
  <c r="J61" i="2"/>
  <c r="H61" i="2"/>
  <c r="N36" i="2"/>
  <c r="H36" i="2"/>
  <c r="M36" i="2"/>
  <c r="G36" i="2"/>
  <c r="P36" i="2"/>
  <c r="J36" i="2"/>
  <c r="D36" i="2"/>
  <c r="Q36" i="2"/>
  <c r="E36" i="2"/>
  <c r="C36" i="2"/>
  <c r="K36" i="2"/>
  <c r="M55" i="2"/>
  <c r="G55" i="2"/>
  <c r="J55" i="2"/>
  <c r="K55" i="2"/>
  <c r="D55" i="2"/>
  <c r="H55" i="2"/>
  <c r="N55" i="2"/>
  <c r="E55" i="2"/>
  <c r="C55" i="2"/>
  <c r="Q55" i="2"/>
  <c r="P55" i="2"/>
  <c r="C65" i="2"/>
  <c r="N65" i="2"/>
  <c r="H65" i="2"/>
  <c r="K65" i="2"/>
  <c r="J65" i="2"/>
  <c r="G65" i="2"/>
  <c r="M65" i="2"/>
  <c r="E65" i="2"/>
  <c r="D65" i="2"/>
  <c r="Q65" i="2"/>
  <c r="P65" i="2"/>
  <c r="N54" i="2"/>
  <c r="H54" i="2"/>
  <c r="M54" i="2"/>
  <c r="G54" i="2"/>
  <c r="J54" i="2"/>
  <c r="Q54" i="2"/>
  <c r="D54" i="2"/>
  <c r="C54" i="2"/>
  <c r="K54" i="2"/>
  <c r="E54" i="2"/>
  <c r="P54" i="2"/>
  <c r="C59" i="2"/>
  <c r="N59" i="2"/>
  <c r="H59" i="2"/>
  <c r="Q59" i="2"/>
  <c r="G59" i="2"/>
  <c r="P59" i="2"/>
  <c r="M59" i="2"/>
  <c r="E59" i="2"/>
  <c r="K59" i="2"/>
  <c r="D59" i="2"/>
  <c r="J59" i="2"/>
  <c r="N48" i="2"/>
  <c r="H48" i="2"/>
  <c r="M48" i="2"/>
  <c r="G48" i="2"/>
  <c r="P48" i="2"/>
  <c r="E48" i="2"/>
  <c r="J48" i="2"/>
  <c r="K48" i="2"/>
  <c r="Q48" i="2"/>
  <c r="D48" i="2"/>
  <c r="C48" i="2"/>
  <c r="E17" i="4"/>
  <c r="G17" i="4"/>
  <c r="I17" i="4"/>
  <c r="H17" i="4"/>
  <c r="C17" i="4"/>
  <c r="D17" i="4"/>
  <c r="F17" i="4"/>
  <c r="I18" i="4"/>
  <c r="C18" i="4"/>
  <c r="E18" i="4"/>
  <c r="H18" i="4"/>
  <c r="G18" i="4"/>
  <c r="F18" i="4"/>
  <c r="D18" i="4"/>
  <c r="I6" i="2"/>
  <c r="P58" i="2"/>
  <c r="J58" i="2"/>
  <c r="D58" i="2"/>
  <c r="C58" i="2"/>
  <c r="H58" i="2"/>
  <c r="Q58" i="2"/>
  <c r="G58" i="2"/>
  <c r="E58" i="2"/>
  <c r="K58" i="2"/>
  <c r="N58" i="2"/>
  <c r="M58" i="2"/>
  <c r="P16" i="2"/>
  <c r="J16" i="2"/>
  <c r="D16" i="2"/>
  <c r="C16" i="2"/>
  <c r="N16" i="2"/>
  <c r="E16" i="2"/>
  <c r="M16" i="2"/>
  <c r="K16" i="2"/>
  <c r="H16" i="2"/>
  <c r="Q16" i="2"/>
  <c r="G16" i="2"/>
  <c r="G10" i="1"/>
  <c r="H11" i="5"/>
  <c r="J11" i="5"/>
  <c r="D11" i="5"/>
  <c r="I11" i="5"/>
  <c r="E11" i="5"/>
  <c r="M11" i="5"/>
  <c r="C11" i="5"/>
  <c r="L11" i="5"/>
  <c r="K11" i="5"/>
  <c r="F11" i="5"/>
  <c r="G11" i="5"/>
  <c r="H17" i="5"/>
  <c r="J17" i="5"/>
  <c r="D17" i="5"/>
  <c r="I17" i="5"/>
  <c r="G17" i="5"/>
  <c r="F17" i="5"/>
  <c r="E17" i="5"/>
  <c r="C17" i="5"/>
  <c r="L17" i="5"/>
  <c r="K17" i="5"/>
  <c r="M17" i="5"/>
  <c r="H23" i="5"/>
  <c r="J23" i="5"/>
  <c r="D23" i="5"/>
  <c r="I23" i="5"/>
  <c r="G23" i="5"/>
  <c r="L23" i="5"/>
  <c r="K23" i="5"/>
  <c r="F23" i="5"/>
  <c r="E23" i="5"/>
  <c r="C23" i="5"/>
  <c r="M23" i="5"/>
  <c r="Q8" i="2"/>
  <c r="K8" i="2"/>
  <c r="K70" i="2" s="1"/>
  <c r="E8" i="2"/>
  <c r="N8" i="2"/>
  <c r="H8" i="2"/>
  <c r="J8" i="2"/>
  <c r="G8" i="2"/>
  <c r="M8" i="2"/>
  <c r="P8" i="2"/>
  <c r="D8" i="2"/>
  <c r="C8" i="2"/>
  <c r="P46" i="2"/>
  <c r="J46" i="2"/>
  <c r="D46" i="2"/>
  <c r="C46" i="2"/>
  <c r="H46" i="2"/>
  <c r="Q46" i="2"/>
  <c r="G46" i="2"/>
  <c r="N46" i="2"/>
  <c r="K46" i="2"/>
  <c r="M46" i="2"/>
  <c r="E46" i="2"/>
  <c r="C23" i="2"/>
  <c r="N23" i="2"/>
  <c r="H23" i="2"/>
  <c r="Q23" i="2"/>
  <c r="K23" i="2"/>
  <c r="E23" i="2"/>
  <c r="M23" i="2"/>
  <c r="J23" i="2"/>
  <c r="P23" i="2"/>
  <c r="G23" i="2"/>
  <c r="D23" i="2"/>
  <c r="Q44" i="2"/>
  <c r="K44" i="2"/>
  <c r="E44" i="2"/>
  <c r="J44" i="2"/>
  <c r="N44" i="2"/>
  <c r="D44" i="2"/>
  <c r="P44" i="2"/>
  <c r="M44" i="2"/>
  <c r="C44" i="2"/>
  <c r="H44" i="2"/>
  <c r="G44" i="2"/>
  <c r="Q63" i="2"/>
  <c r="K63" i="2"/>
  <c r="E63" i="2"/>
  <c r="P63" i="2"/>
  <c r="J63" i="2"/>
  <c r="D63" i="2"/>
  <c r="M63" i="2"/>
  <c r="C63" i="2"/>
  <c r="G63" i="2"/>
  <c r="H63" i="2"/>
  <c r="N63" i="2"/>
  <c r="N60" i="2"/>
  <c r="H60" i="2"/>
  <c r="M60" i="2"/>
  <c r="G60" i="2"/>
  <c r="P60" i="2"/>
  <c r="E60" i="2"/>
  <c r="J60" i="2"/>
  <c r="Q60" i="2"/>
  <c r="K60" i="2"/>
  <c r="D60" i="2"/>
  <c r="C60" i="2"/>
  <c r="Q70" i="2" l="1"/>
  <c r="I15" i="2"/>
  <c r="I50" i="2"/>
  <c r="I27" i="2"/>
  <c r="E70" i="2"/>
  <c r="I70" i="2" s="1"/>
  <c r="I8" i="2"/>
  <c r="E15" i="1"/>
  <c r="O57" i="2"/>
  <c r="O56" i="2"/>
  <c r="F7" i="2"/>
  <c r="T45" i="2"/>
  <c r="T57" i="2"/>
  <c r="F18" i="1"/>
  <c r="L37" i="2"/>
  <c r="F17" i="1"/>
  <c r="T13" i="2"/>
  <c r="T49" i="2"/>
  <c r="L17" i="1"/>
  <c r="R7" i="2"/>
  <c r="L57" i="2"/>
  <c r="R13" i="2"/>
  <c r="K69" i="3"/>
  <c r="N69" i="3"/>
  <c r="M69" i="3"/>
  <c r="I7" i="2"/>
  <c r="J69" i="3"/>
  <c r="G69" i="3"/>
  <c r="D69" i="3"/>
  <c r="P69" i="3"/>
  <c r="F25" i="2"/>
  <c r="I25" i="2"/>
  <c r="F13" i="2"/>
  <c r="L49" i="2"/>
  <c r="T67" i="2"/>
  <c r="R57" i="2"/>
  <c r="I57" i="2"/>
  <c r="L45" i="2"/>
  <c r="T7" i="2"/>
  <c r="F37" i="2"/>
  <c r="O37" i="2"/>
  <c r="O7" i="2"/>
  <c r="L25" i="2"/>
  <c r="O13" i="2"/>
  <c r="F57" i="2"/>
  <c r="R67" i="2"/>
  <c r="O25" i="2"/>
  <c r="T34" i="2"/>
  <c r="I67" i="2"/>
  <c r="I13" i="2"/>
  <c r="L13" i="2"/>
  <c r="O63" i="2"/>
  <c r="L15" i="2"/>
  <c r="O45" i="2"/>
  <c r="I49" i="2"/>
  <c r="R45" i="2"/>
  <c r="O49" i="2"/>
  <c r="O67" i="2"/>
  <c r="R49" i="2"/>
  <c r="F49" i="2"/>
  <c r="I45" i="2"/>
  <c r="I44" i="2"/>
  <c r="I35" i="2"/>
  <c r="L67" i="2"/>
  <c r="F45" i="2"/>
  <c r="F44" i="2"/>
  <c r="L38" i="2"/>
  <c r="R27" i="2"/>
  <c r="L51" i="2"/>
  <c r="R44" i="2"/>
  <c r="O8" i="2"/>
  <c r="R16" i="2"/>
  <c r="T59" i="2"/>
  <c r="F55" i="2"/>
  <c r="O44" i="2"/>
  <c r="T17" i="2"/>
  <c r="I43" i="2"/>
  <c r="R19" i="2"/>
  <c r="I28" i="2"/>
  <c r="I12" i="2"/>
  <c r="T62" i="2"/>
  <c r="F21" i="2"/>
  <c r="O29" i="2"/>
  <c r="L24" i="2"/>
  <c r="L44" i="2"/>
  <c r="R46" i="2"/>
  <c r="O16" i="2"/>
  <c r="T36" i="2"/>
  <c r="R17" i="2"/>
  <c r="F51" i="2"/>
  <c r="O27" i="2"/>
  <c r="R37" i="2"/>
  <c r="I24" i="2"/>
  <c r="L16" i="2"/>
  <c r="I40" i="2"/>
  <c r="I37" i="2"/>
  <c r="I14" i="2"/>
  <c r="T58" i="2"/>
  <c r="R29" i="2"/>
  <c r="R22" i="2"/>
  <c r="L20" i="2"/>
  <c r="R50" i="2"/>
  <c r="T9" i="2"/>
  <c r="I14" i="4"/>
  <c r="L33" i="2"/>
  <c r="L27" i="2"/>
  <c r="T48" i="2"/>
  <c r="I54" i="2"/>
  <c r="L17" i="2"/>
  <c r="O18" i="2"/>
  <c r="R8" i="2"/>
  <c r="L58" i="2"/>
  <c r="O15" i="2"/>
  <c r="T64" i="2"/>
  <c r="R10" i="2"/>
  <c r="I22" i="2"/>
  <c r="I31" i="2"/>
  <c r="O20" i="2"/>
  <c r="T37" i="2"/>
  <c r="L63" i="2"/>
  <c r="R20" i="2"/>
  <c r="R52" i="2"/>
  <c r="I17" i="2"/>
  <c r="F28" i="2"/>
  <c r="F62" i="2"/>
  <c r="L14" i="2"/>
  <c r="F33" i="2"/>
  <c r="F66" i="2"/>
  <c r="I66" i="2"/>
  <c r="T41" i="2"/>
  <c r="O17" i="2"/>
  <c r="F34" i="2"/>
  <c r="R51" i="2"/>
  <c r="L11" i="2"/>
  <c r="T28" i="2"/>
  <c r="T29" i="2"/>
  <c r="L62" i="2"/>
  <c r="O33" i="2"/>
  <c r="I26" i="2"/>
  <c r="O21" i="2"/>
  <c r="I13" i="4"/>
  <c r="I18" i="2"/>
  <c r="F35" i="2"/>
  <c r="I20" i="2"/>
  <c r="O50" i="2"/>
  <c r="L40" i="2"/>
  <c r="T40" i="2"/>
  <c r="I46" i="2"/>
  <c r="F48" i="2"/>
  <c r="R65" i="2"/>
  <c r="O30" i="2"/>
  <c r="O12" i="2"/>
  <c r="R35" i="2"/>
  <c r="O32" i="2"/>
  <c r="O10" i="2"/>
  <c r="O28" i="2"/>
  <c r="L42" i="2"/>
  <c r="L26" i="2"/>
  <c r="L66" i="2"/>
  <c r="L50" i="2"/>
  <c r="O46" i="2"/>
  <c r="F8" i="2"/>
  <c r="L59" i="2"/>
  <c r="F65" i="2"/>
  <c r="O65" i="2"/>
  <c r="O55" i="2"/>
  <c r="F17" i="2"/>
  <c r="T39" i="2"/>
  <c r="F29" i="2"/>
  <c r="O42" i="2"/>
  <c r="R60" i="2"/>
  <c r="O23" i="2"/>
  <c r="F46" i="2"/>
  <c r="F59" i="2"/>
  <c r="O59" i="2"/>
  <c r="I55" i="2"/>
  <c r="I9" i="2"/>
  <c r="R39" i="2"/>
  <c r="L64" i="2"/>
  <c r="O51" i="2"/>
  <c r="O11" i="2"/>
  <c r="I42" i="2"/>
  <c r="L41" i="2"/>
  <c r="L47" i="2"/>
  <c r="O34" i="2"/>
  <c r="L34" i="2"/>
  <c r="I41" i="2"/>
  <c r="I47" i="2"/>
  <c r="F50" i="2"/>
  <c r="O19" i="2"/>
  <c r="L60" i="2"/>
  <c r="T46" i="2"/>
  <c r="O58" i="2"/>
  <c r="I58" i="2"/>
  <c r="T10" i="2"/>
  <c r="I29" i="2"/>
  <c r="F22" i="2"/>
  <c r="F24" i="2"/>
  <c r="O24" i="2"/>
  <c r="L43" i="2"/>
  <c r="T26" i="2"/>
  <c r="I21" i="2"/>
  <c r="F20" i="2"/>
  <c r="T50" i="2"/>
  <c r="D27" i="6"/>
  <c r="T60" i="2"/>
  <c r="I63" i="2"/>
  <c r="T16" i="2"/>
  <c r="L9" i="2"/>
  <c r="T33" i="2"/>
  <c r="T27" i="2"/>
  <c r="F27" i="6"/>
  <c r="L55" i="2"/>
  <c r="F30" i="2"/>
  <c r="R11" i="2"/>
  <c r="I33" i="2"/>
  <c r="L53" i="2"/>
  <c r="O66" i="2"/>
  <c r="E27" i="6"/>
  <c r="H27" i="6"/>
  <c r="G27" i="6"/>
  <c r="L61" i="2"/>
  <c r="I38" i="2"/>
  <c r="I34" i="2"/>
  <c r="R15" i="2"/>
  <c r="L39" i="2"/>
  <c r="I64" i="2"/>
  <c r="T30" i="2"/>
  <c r="I11" i="2"/>
  <c r="F32" i="2"/>
  <c r="I10" i="2"/>
  <c r="L28" i="2"/>
  <c r="I9" i="4"/>
  <c r="R14" i="2"/>
  <c r="T31" i="2"/>
  <c r="T42" i="2"/>
  <c r="R53" i="2"/>
  <c r="L56" i="2"/>
  <c r="O41" i="2"/>
  <c r="T47" i="2"/>
  <c r="F18" i="2"/>
  <c r="L35" i="2"/>
  <c r="O35" i="2"/>
  <c r="L19" i="2"/>
  <c r="I52" i="2"/>
  <c r="R48" i="2"/>
  <c r="I59" i="2"/>
  <c r="I36" i="2"/>
  <c r="O38" i="2"/>
  <c r="O64" i="2"/>
  <c r="I53" i="2"/>
  <c r="R41" i="2"/>
  <c r="T35" i="2"/>
  <c r="F40" i="2"/>
  <c r="I51" i="2"/>
  <c r="T11" i="2"/>
  <c r="L32" i="2"/>
  <c r="L22" i="2"/>
  <c r="F42" i="2"/>
  <c r="O53" i="2"/>
  <c r="T43" i="2"/>
  <c r="O26" i="2"/>
  <c r="I39" i="2"/>
  <c r="I60" i="2"/>
  <c r="I23" i="2"/>
  <c r="O48" i="2"/>
  <c r="O36" i="2"/>
  <c r="T61" i="2"/>
  <c r="F11" i="2"/>
  <c r="R32" i="2"/>
  <c r="L10" i="2"/>
  <c r="I62" i="2"/>
  <c r="O62" i="2"/>
  <c r="O14" i="2"/>
  <c r="G27" i="4"/>
  <c r="T52" i="2"/>
  <c r="F63" i="2"/>
  <c r="F23" i="2"/>
  <c r="L46" i="2"/>
  <c r="T8" i="2"/>
  <c r="F16" i="2"/>
  <c r="L54" i="2"/>
  <c r="O54" i="2"/>
  <c r="F38" i="2"/>
  <c r="O9" i="2"/>
  <c r="L30" i="2"/>
  <c r="I30" i="2"/>
  <c r="T51" i="2"/>
  <c r="L21" i="2"/>
  <c r="O47" i="2"/>
  <c r="F60" i="2"/>
  <c r="T44" i="2"/>
  <c r="L48" i="2"/>
  <c r="T54" i="2"/>
  <c r="R55" i="2"/>
  <c r="T15" i="2"/>
  <c r="O39" i="2"/>
  <c r="I32" i="2"/>
  <c r="F12" i="2"/>
  <c r="L29" i="2"/>
  <c r="O22" i="2"/>
  <c r="O31" i="2"/>
  <c r="T21" i="2"/>
  <c r="T66" i="2"/>
  <c r="T19" i="2"/>
  <c r="R40" i="2"/>
  <c r="O40" i="2"/>
  <c r="F27" i="2"/>
  <c r="L52" i="2"/>
  <c r="D27" i="4"/>
  <c r="E27" i="4"/>
  <c r="F27" i="4"/>
  <c r="H27" i="4"/>
  <c r="I10" i="4"/>
  <c r="I11" i="4"/>
  <c r="O10" i="1"/>
  <c r="G15" i="1"/>
  <c r="R28" i="2"/>
  <c r="F14" i="2"/>
  <c r="F31" i="2"/>
  <c r="L18" i="1"/>
  <c r="R42" i="2"/>
  <c r="T56" i="2"/>
  <c r="R56" i="2"/>
  <c r="I68" i="2"/>
  <c r="R68" i="2"/>
  <c r="T24" i="2"/>
  <c r="R26" i="2"/>
  <c r="R47" i="2"/>
  <c r="R18" i="2"/>
  <c r="I19" i="2"/>
  <c r="F27" i="5"/>
  <c r="R63" i="2"/>
  <c r="I65" i="2"/>
  <c r="L23" i="2"/>
  <c r="R58" i="2"/>
  <c r="R59" i="2"/>
  <c r="F54" i="2"/>
  <c r="R54" i="2"/>
  <c r="T55" i="2"/>
  <c r="O61" i="2"/>
  <c r="T38" i="2"/>
  <c r="R38" i="2"/>
  <c r="R34" i="2"/>
  <c r="R30" i="2"/>
  <c r="L31" i="2"/>
  <c r="F43" i="2"/>
  <c r="R21" i="2"/>
  <c r="F41" i="2"/>
  <c r="H17" i="1"/>
  <c r="T18" i="2"/>
  <c r="T20" i="2"/>
  <c r="E27" i="5"/>
  <c r="L27" i="5"/>
  <c r="F52" i="2"/>
  <c r="F58" i="2"/>
  <c r="L65" i="2"/>
  <c r="F61" i="2"/>
  <c r="F9" i="2"/>
  <c r="F15" i="2"/>
  <c r="F39" i="2"/>
  <c r="F64" i="2"/>
  <c r="T12" i="2"/>
  <c r="R62" i="2"/>
  <c r="T14" i="2"/>
  <c r="T22" i="2"/>
  <c r="R31" i="2"/>
  <c r="R33" i="2"/>
  <c r="T68" i="2"/>
  <c r="O43" i="2"/>
  <c r="K15" i="1"/>
  <c r="Q10" i="1"/>
  <c r="F19" i="2"/>
  <c r="D17" i="1"/>
  <c r="K27" i="5"/>
  <c r="D27" i="5"/>
  <c r="I7" i="4"/>
  <c r="R23" i="2"/>
  <c r="R9" i="2"/>
  <c r="R64" i="2"/>
  <c r="T32" i="2"/>
  <c r="F10" i="2"/>
  <c r="P10" i="1"/>
  <c r="I15" i="1"/>
  <c r="T53" i="2"/>
  <c r="I56" i="2"/>
  <c r="R24" i="2"/>
  <c r="R43" i="2"/>
  <c r="M27" i="5"/>
  <c r="J27" i="5"/>
  <c r="O52" i="2"/>
  <c r="I61" i="2"/>
  <c r="I48" i="2"/>
  <c r="T63" i="2"/>
  <c r="T65" i="2"/>
  <c r="R36" i="2"/>
  <c r="R61" i="2"/>
  <c r="C15" i="1"/>
  <c r="M10" i="1"/>
  <c r="L12" i="2"/>
  <c r="N10" i="1"/>
  <c r="F53" i="2"/>
  <c r="F56" i="2"/>
  <c r="F68" i="2"/>
  <c r="F26" i="2"/>
  <c r="J18" i="1"/>
  <c r="F47" i="2"/>
  <c r="L18" i="2"/>
  <c r="G27" i="5"/>
  <c r="H27" i="5"/>
  <c r="T23" i="2"/>
  <c r="I16" i="2"/>
  <c r="L36" i="2"/>
  <c r="F36" i="2"/>
  <c r="O60" i="2"/>
  <c r="L8" i="2"/>
  <c r="R12" i="2"/>
  <c r="H18" i="1"/>
  <c r="J17" i="1"/>
  <c r="R66" i="2"/>
  <c r="I27" i="5"/>
  <c r="D18" i="1"/>
  <c r="T70" i="2" l="1"/>
  <c r="R70" i="2"/>
  <c r="E19" i="1"/>
  <c r="F19" i="1" s="1"/>
  <c r="F15" i="1"/>
  <c r="E69" i="3"/>
  <c r="F70" i="2"/>
  <c r="F69" i="3" s="1"/>
  <c r="S13" i="2"/>
  <c r="S49" i="2"/>
  <c r="S6" i="2"/>
  <c r="S25" i="2"/>
  <c r="S57" i="2"/>
  <c r="S45" i="2"/>
  <c r="S31" i="2"/>
  <c r="S22" i="2"/>
  <c r="S14" i="2"/>
  <c r="S62" i="2"/>
  <c r="S29" i="2"/>
  <c r="S12" i="2"/>
  <c r="S28" i="2"/>
  <c r="S10" i="2"/>
  <c r="S32" i="2"/>
  <c r="S11" i="2"/>
  <c r="S51" i="2"/>
  <c r="S30" i="2"/>
  <c r="S64" i="2"/>
  <c r="S39" i="2"/>
  <c r="S15" i="2"/>
  <c r="S9" i="2"/>
  <c r="S34" i="2"/>
  <c r="S38" i="2"/>
  <c r="S17" i="2"/>
  <c r="S61" i="2"/>
  <c r="S36" i="2"/>
  <c r="S55" i="2"/>
  <c r="S65" i="2"/>
  <c r="S54" i="2"/>
  <c r="S59" i="2"/>
  <c r="S48" i="2"/>
  <c r="S58" i="2"/>
  <c r="S16" i="2"/>
  <c r="S8" i="2"/>
  <c r="S46" i="2"/>
  <c r="S23" i="2"/>
  <c r="S44" i="2"/>
  <c r="S63" i="2"/>
  <c r="S60" i="2"/>
  <c r="S7" i="2"/>
  <c r="S67" i="2"/>
  <c r="S37" i="2"/>
  <c r="S52" i="2"/>
  <c r="S27" i="2"/>
  <c r="S40" i="2"/>
  <c r="S19" i="2"/>
  <c r="S50" i="2"/>
  <c r="S20" i="2"/>
  <c r="S35" i="2"/>
  <c r="S18" i="2"/>
  <c r="S47" i="2"/>
  <c r="S41" i="2"/>
  <c r="S66" i="2"/>
  <c r="S21" i="2"/>
  <c r="S26" i="2"/>
  <c r="S43" i="2"/>
  <c r="S24" i="2"/>
  <c r="S56" i="2"/>
  <c r="S53" i="2"/>
  <c r="S42" i="2"/>
  <c r="S33" i="2"/>
  <c r="O70" i="2"/>
  <c r="O69" i="3" s="1"/>
  <c r="L70" i="2"/>
  <c r="L69" i="3" s="1"/>
  <c r="R69" i="3"/>
  <c r="T69" i="3"/>
  <c r="Q69" i="3"/>
  <c r="I69" i="3"/>
  <c r="H69" i="3"/>
  <c r="I27" i="4"/>
  <c r="I19" i="1"/>
  <c r="J19" i="1" s="1"/>
  <c r="J15" i="1"/>
  <c r="L15" i="1"/>
  <c r="K19" i="1"/>
  <c r="L19" i="1" s="1"/>
  <c r="C19" i="1"/>
  <c r="D19" i="1" s="1"/>
  <c r="D15" i="1"/>
  <c r="S68" i="2"/>
  <c r="S69" i="2"/>
  <c r="G19" i="1"/>
  <c r="H19" i="1" s="1"/>
  <c r="H15" i="1"/>
  <c r="S70" i="2" l="1"/>
  <c r="U13" i="3"/>
  <c r="O13" i="3" s="1"/>
  <c r="U17" i="3"/>
  <c r="M17" i="3" s="1"/>
  <c r="U18" i="3"/>
  <c r="B18" i="3" s="1"/>
  <c r="U40" i="3"/>
  <c r="U60" i="3"/>
  <c r="C60" i="3" s="1"/>
  <c r="U61" i="3"/>
  <c r="T61" i="3" s="1"/>
  <c r="U41" i="3"/>
  <c r="U44" i="3"/>
  <c r="K44" i="3" s="1"/>
  <c r="U14" i="3"/>
  <c r="H14" i="3" s="1"/>
  <c r="U30" i="3"/>
  <c r="T30" i="3" s="1"/>
  <c r="U58" i="3"/>
  <c r="R58" i="3" s="1"/>
  <c r="U15" i="3"/>
  <c r="U22" i="3"/>
  <c r="U37" i="3"/>
  <c r="M37" i="3" s="1"/>
  <c r="U69" i="3"/>
  <c r="C69" i="3" s="1"/>
  <c r="U25" i="3"/>
  <c r="U46" i="3"/>
  <c r="H46" i="3" s="1"/>
  <c r="U43" i="3"/>
  <c r="G43" i="3" s="1"/>
  <c r="U45" i="3"/>
  <c r="F45" i="3" s="1"/>
  <c r="U19" i="3"/>
  <c r="F19" i="3" s="1"/>
  <c r="U6" i="3"/>
  <c r="K6" i="3" s="1"/>
  <c r="U21" i="3"/>
  <c r="M21" i="3" s="1"/>
  <c r="U34" i="3"/>
  <c r="I34" i="3" s="1"/>
  <c r="U8" i="3"/>
  <c r="E8" i="3" s="1"/>
  <c r="U65" i="3"/>
  <c r="N65" i="3" s="1"/>
  <c r="U23" i="3"/>
  <c r="I23" i="3" s="1"/>
  <c r="U7" i="3"/>
  <c r="D7" i="3" s="1"/>
  <c r="U47" i="3"/>
  <c r="H47" i="3" s="1"/>
  <c r="U26" i="3"/>
  <c r="C26" i="3" s="1"/>
  <c r="U9" i="3"/>
  <c r="F9" i="3" s="1"/>
  <c r="U24" i="3"/>
  <c r="Q24" i="3" s="1"/>
  <c r="U64" i="3"/>
  <c r="H64" i="3" s="1"/>
  <c r="U53" i="3"/>
  <c r="C53" i="3" s="1"/>
  <c r="U52" i="3"/>
  <c r="D52" i="3" s="1"/>
  <c r="U36" i="3"/>
  <c r="P36" i="3" s="1"/>
  <c r="U38" i="3"/>
  <c r="N38" i="3" s="1"/>
  <c r="U11" i="3"/>
  <c r="H11" i="3" s="1"/>
  <c r="U27" i="3"/>
  <c r="I27" i="3" s="1"/>
  <c r="U57" i="3"/>
  <c r="N57" i="3" s="1"/>
  <c r="U39" i="3"/>
  <c r="L39" i="3" s="1"/>
  <c r="U59" i="3"/>
  <c r="M59" i="3" s="1"/>
  <c r="U32" i="3"/>
  <c r="C32" i="3" s="1"/>
  <c r="U48" i="3"/>
  <c r="N48" i="3" s="1"/>
  <c r="U63" i="3"/>
  <c r="D63" i="3" s="1"/>
  <c r="U55" i="3"/>
  <c r="P55" i="3" s="1"/>
  <c r="U66" i="3"/>
  <c r="J66" i="3" s="1"/>
  <c r="U12" i="3"/>
  <c r="M12" i="3" s="1"/>
  <c r="U54" i="3"/>
  <c r="K54" i="3" s="1"/>
  <c r="U16" i="3"/>
  <c r="C16" i="3" s="1"/>
  <c r="U68" i="3"/>
  <c r="U31" i="3"/>
  <c r="C31" i="3" s="1"/>
  <c r="U10" i="3"/>
  <c r="T10" i="3" s="1"/>
  <c r="U28" i="3"/>
  <c r="H28" i="3" s="1"/>
  <c r="U35" i="3"/>
  <c r="R35" i="3" s="1"/>
  <c r="U33" i="3"/>
  <c r="U42" i="3"/>
  <c r="U56" i="3"/>
  <c r="N56" i="3" s="1"/>
  <c r="U50" i="3"/>
  <c r="P50" i="3" s="1"/>
  <c r="U49" i="3"/>
  <c r="E49" i="3" s="1"/>
  <c r="U67" i="3"/>
  <c r="U29" i="3"/>
  <c r="H29" i="3" s="1"/>
  <c r="U51" i="3"/>
  <c r="R51" i="3" s="1"/>
  <c r="U62" i="3"/>
  <c r="U20" i="3"/>
  <c r="G41" i="3" l="1"/>
  <c r="M41" i="3"/>
  <c r="S69" i="3"/>
  <c r="T68" i="3"/>
  <c r="D64" i="3"/>
  <c r="C29" i="3"/>
  <c r="P29" i="3"/>
  <c r="T11" i="3"/>
  <c r="B34" i="3"/>
  <c r="I44" i="3"/>
  <c r="I64" i="3"/>
  <c r="P34" i="3"/>
  <c r="N68" i="3"/>
  <c r="M64" i="3"/>
  <c r="L21" i="3"/>
  <c r="Q66" i="3"/>
  <c r="O32" i="3"/>
  <c r="R52" i="3"/>
  <c r="C24" i="3"/>
  <c r="C21" i="3"/>
  <c r="R17" i="3"/>
  <c r="N52" i="3"/>
  <c r="K24" i="3"/>
  <c r="E66" i="3"/>
  <c r="E29" i="3"/>
  <c r="G29" i="3"/>
  <c r="P12" i="3"/>
  <c r="P38" i="3"/>
  <c r="P52" i="3"/>
  <c r="G64" i="3"/>
  <c r="P24" i="3"/>
  <c r="T29" i="3"/>
  <c r="I68" i="3"/>
  <c r="L66" i="3"/>
  <c r="J39" i="3"/>
  <c r="G52" i="3"/>
  <c r="N64" i="3"/>
  <c r="G24" i="3"/>
  <c r="H44" i="3"/>
  <c r="P32" i="3"/>
  <c r="I9" i="3"/>
  <c r="M44" i="3"/>
  <c r="B26" i="3"/>
  <c r="R68" i="3"/>
  <c r="H23" i="3"/>
  <c r="P58" i="3"/>
  <c r="D14" i="3"/>
  <c r="E61" i="3"/>
  <c r="E60" i="3"/>
  <c r="L28" i="3"/>
  <c r="H10" i="3"/>
  <c r="P64" i="3"/>
  <c r="R64" i="3"/>
  <c r="M9" i="3"/>
  <c r="H26" i="3"/>
  <c r="O47" i="3"/>
  <c r="R43" i="3"/>
  <c r="Q60" i="3"/>
  <c r="L12" i="3"/>
  <c r="F66" i="3"/>
  <c r="G55" i="3"/>
  <c r="F48" i="3"/>
  <c r="J32" i="3"/>
  <c r="K32" i="3"/>
  <c r="E59" i="3"/>
  <c r="L57" i="3"/>
  <c r="E57" i="3"/>
  <c r="L11" i="3"/>
  <c r="L45" i="3"/>
  <c r="J43" i="3"/>
  <c r="B37" i="3"/>
  <c r="J30" i="3"/>
  <c r="R14" i="3"/>
  <c r="G61" i="3"/>
  <c r="N60" i="3"/>
  <c r="M28" i="3"/>
  <c r="E28" i="3"/>
  <c r="N10" i="3"/>
  <c r="R10" i="3"/>
  <c r="M29" i="3"/>
  <c r="N31" i="3"/>
  <c r="D68" i="3"/>
  <c r="M68" i="3"/>
  <c r="C12" i="3"/>
  <c r="B66" i="3"/>
  <c r="C48" i="3"/>
  <c r="M32" i="3"/>
  <c r="R32" i="3"/>
  <c r="G57" i="3"/>
  <c r="J57" i="3"/>
  <c r="C11" i="3"/>
  <c r="B38" i="3"/>
  <c r="K64" i="3"/>
  <c r="C64" i="3"/>
  <c r="O24" i="3"/>
  <c r="D9" i="3"/>
  <c r="F26" i="3"/>
  <c r="P47" i="3"/>
  <c r="Q23" i="3"/>
  <c r="F34" i="3"/>
  <c r="M30" i="3"/>
  <c r="R41" i="3"/>
  <c r="T60" i="3"/>
  <c r="G17" i="3"/>
  <c r="T57" i="3"/>
  <c r="F32" i="3"/>
  <c r="K57" i="3"/>
  <c r="Q57" i="3"/>
  <c r="K36" i="3"/>
  <c r="I26" i="3"/>
  <c r="E6" i="3"/>
  <c r="I28" i="3"/>
  <c r="J10" i="3"/>
  <c r="P68" i="3"/>
  <c r="C7" i="3"/>
  <c r="D19" i="3"/>
  <c r="M7" i="3"/>
  <c r="B28" i="3"/>
  <c r="C28" i="3"/>
  <c r="L10" i="3"/>
  <c r="P10" i="3"/>
  <c r="P31" i="3"/>
  <c r="K68" i="3"/>
  <c r="L68" i="3"/>
  <c r="F68" i="3"/>
  <c r="K48" i="3"/>
  <c r="Q59" i="3"/>
  <c r="K11" i="3"/>
  <c r="P28" i="3"/>
  <c r="Q10" i="3"/>
  <c r="Q48" i="3"/>
  <c r="H32" i="3"/>
  <c r="E32" i="3"/>
  <c r="B57" i="3"/>
  <c r="C57" i="3"/>
  <c r="N11" i="3"/>
  <c r="C36" i="3"/>
  <c r="Q14" i="3"/>
  <c r="N61" i="3"/>
  <c r="F18" i="3"/>
  <c r="T28" i="3"/>
  <c r="O28" i="3"/>
  <c r="I10" i="3"/>
  <c r="H31" i="3"/>
  <c r="Q68" i="3"/>
  <c r="C68" i="3"/>
  <c r="H36" i="3"/>
  <c r="T64" i="3"/>
  <c r="O64" i="3"/>
  <c r="L64" i="3"/>
  <c r="P9" i="3"/>
  <c r="G26" i="3"/>
  <c r="I47" i="3"/>
  <c r="L7" i="3"/>
  <c r="G28" i="3"/>
  <c r="R28" i="3"/>
  <c r="M10" i="3"/>
  <c r="Q29" i="3"/>
  <c r="H68" i="3"/>
  <c r="G68" i="3"/>
  <c r="J16" i="3"/>
  <c r="E12" i="3"/>
  <c r="G66" i="3"/>
  <c r="N55" i="3"/>
  <c r="G32" i="3"/>
  <c r="T32" i="3"/>
  <c r="D57" i="3"/>
  <c r="P57" i="3"/>
  <c r="D11" i="3"/>
  <c r="T38" i="3"/>
  <c r="Q64" i="3"/>
  <c r="E64" i="3"/>
  <c r="I24" i="3"/>
  <c r="M24" i="3"/>
  <c r="H9" i="3"/>
  <c r="R26" i="3"/>
  <c r="M47" i="3"/>
  <c r="E7" i="3"/>
  <c r="C34" i="3"/>
  <c r="C43" i="3"/>
  <c r="I37" i="3"/>
  <c r="E30" i="3"/>
  <c r="B14" i="3"/>
  <c r="K61" i="3"/>
  <c r="G60" i="3"/>
  <c r="C17" i="3"/>
  <c r="K31" i="3"/>
  <c r="B31" i="3"/>
  <c r="L54" i="3"/>
  <c r="Q54" i="3"/>
  <c r="G12" i="3"/>
  <c r="F55" i="3"/>
  <c r="M48" i="3"/>
  <c r="D48" i="3"/>
  <c r="G48" i="3"/>
  <c r="D59" i="3"/>
  <c r="K59" i="3"/>
  <c r="N59" i="3"/>
  <c r="P59" i="3"/>
  <c r="O59" i="3"/>
  <c r="T39" i="3"/>
  <c r="Q38" i="3"/>
  <c r="E36" i="3"/>
  <c r="T36" i="3"/>
  <c r="B36" i="3"/>
  <c r="R36" i="3"/>
  <c r="O36" i="3"/>
  <c r="M36" i="3"/>
  <c r="N53" i="3"/>
  <c r="J23" i="3"/>
  <c r="M54" i="3"/>
  <c r="E54" i="3"/>
  <c r="E55" i="3"/>
  <c r="M55" i="3"/>
  <c r="J55" i="3"/>
  <c r="L55" i="3"/>
  <c r="O55" i="3"/>
  <c r="H39" i="3"/>
  <c r="D39" i="3"/>
  <c r="O53" i="3"/>
  <c r="R40" i="3"/>
  <c r="I40" i="3"/>
  <c r="G40" i="3"/>
  <c r="D40" i="3"/>
  <c r="O40" i="3"/>
  <c r="S17" i="3"/>
  <c r="Q28" i="3"/>
  <c r="O10" i="3"/>
  <c r="K10" i="3"/>
  <c r="J29" i="3"/>
  <c r="D29" i="3"/>
  <c r="I29" i="3"/>
  <c r="F31" i="3"/>
  <c r="M31" i="3"/>
  <c r="O68" i="3"/>
  <c r="J68" i="3"/>
  <c r="G16" i="3"/>
  <c r="P54" i="3"/>
  <c r="I54" i="3"/>
  <c r="R54" i="3"/>
  <c r="D12" i="3"/>
  <c r="F12" i="3"/>
  <c r="P66" i="3"/>
  <c r="H55" i="3"/>
  <c r="I55" i="3"/>
  <c r="K55" i="3"/>
  <c r="L48" i="3"/>
  <c r="O48" i="3"/>
  <c r="H59" i="3"/>
  <c r="N39" i="3"/>
  <c r="G36" i="3"/>
  <c r="M53" i="3"/>
  <c r="B54" i="3"/>
  <c r="H54" i="3"/>
  <c r="G54" i="3"/>
  <c r="G53" i="3"/>
  <c r="F53" i="3"/>
  <c r="E53" i="3"/>
  <c r="K53" i="3"/>
  <c r="H53" i="3"/>
  <c r="Q53" i="3"/>
  <c r="J53" i="3"/>
  <c r="G65" i="3"/>
  <c r="H65" i="3"/>
  <c r="O65" i="3"/>
  <c r="Q65" i="3"/>
  <c r="R65" i="3"/>
  <c r="M65" i="3"/>
  <c r="B65" i="3"/>
  <c r="S65" i="3"/>
  <c r="K65" i="3"/>
  <c r="I50" i="3"/>
  <c r="T62" i="3"/>
  <c r="D62" i="3"/>
  <c r="E10" i="3"/>
  <c r="C10" i="3"/>
  <c r="R29" i="3"/>
  <c r="F29" i="3"/>
  <c r="L29" i="3"/>
  <c r="D31" i="3"/>
  <c r="R31" i="3"/>
  <c r="F54" i="3"/>
  <c r="C54" i="3"/>
  <c r="J54" i="3"/>
  <c r="O12" i="3"/>
  <c r="D55" i="3"/>
  <c r="C55" i="3"/>
  <c r="N63" i="3"/>
  <c r="J48" i="3"/>
  <c r="M39" i="3"/>
  <c r="F38" i="3"/>
  <c r="L38" i="3"/>
  <c r="J38" i="3"/>
  <c r="K38" i="3"/>
  <c r="O38" i="3"/>
  <c r="H38" i="3"/>
  <c r="G38" i="3"/>
  <c r="E38" i="3"/>
  <c r="R38" i="3"/>
  <c r="I53" i="3"/>
  <c r="O23" i="3"/>
  <c r="R23" i="3"/>
  <c r="N23" i="3"/>
  <c r="F23" i="3"/>
  <c r="M23" i="3"/>
  <c r="G23" i="3"/>
  <c r="B23" i="3"/>
  <c r="T23" i="3"/>
  <c r="D23" i="3"/>
  <c r="P23" i="3"/>
  <c r="K23" i="3"/>
  <c r="C65" i="3"/>
  <c r="O50" i="3"/>
  <c r="N6" i="3"/>
  <c r="I6" i="3"/>
  <c r="T6" i="3"/>
  <c r="P6" i="3"/>
  <c r="Q6" i="3"/>
  <c r="F6" i="3"/>
  <c r="H6" i="3"/>
  <c r="B6" i="3"/>
  <c r="J6" i="3"/>
  <c r="L6" i="3"/>
  <c r="M6" i="3"/>
  <c r="G6" i="3"/>
  <c r="R6" i="3"/>
  <c r="D6" i="3"/>
  <c r="Q49" i="3"/>
  <c r="R49" i="3"/>
  <c r="M49" i="3"/>
  <c r="N49" i="3"/>
  <c r="S62" i="3"/>
  <c r="S53" i="3"/>
  <c r="S45" i="3"/>
  <c r="S20" i="3"/>
  <c r="S6" i="3"/>
  <c r="K35" i="3"/>
  <c r="T35" i="3"/>
  <c r="O35" i="3"/>
  <c r="P35" i="3"/>
  <c r="N35" i="3"/>
  <c r="F10" i="3"/>
  <c r="D10" i="3"/>
  <c r="O29" i="3"/>
  <c r="N29" i="3"/>
  <c r="L31" i="3"/>
  <c r="O31" i="3"/>
  <c r="I31" i="3"/>
  <c r="D54" i="3"/>
  <c r="T54" i="3"/>
  <c r="J12" i="3"/>
  <c r="R12" i="3"/>
  <c r="R55" i="3"/>
  <c r="T55" i="3"/>
  <c r="R48" i="3"/>
  <c r="T48" i="3"/>
  <c r="T59" i="3"/>
  <c r="I59" i="3"/>
  <c r="Q39" i="3"/>
  <c r="M38" i="3"/>
  <c r="C38" i="3"/>
  <c r="T53" i="3"/>
  <c r="C23" i="3"/>
  <c r="E65" i="3"/>
  <c r="R19" i="3"/>
  <c r="H19" i="3"/>
  <c r="C19" i="3"/>
  <c r="M19" i="3"/>
  <c r="L19" i="3"/>
  <c r="J19" i="3"/>
  <c r="E19" i="3"/>
  <c r="Q19" i="3"/>
  <c r="G19" i="3"/>
  <c r="I19" i="3"/>
  <c r="P19" i="3"/>
  <c r="K19" i="3"/>
  <c r="O19" i="3"/>
  <c r="T19" i="3"/>
  <c r="Q11" i="3"/>
  <c r="I11" i="3"/>
  <c r="M52" i="3"/>
  <c r="Q26" i="3"/>
  <c r="O26" i="3"/>
  <c r="J26" i="3"/>
  <c r="B7" i="3"/>
  <c r="G7" i="3"/>
  <c r="K7" i="3"/>
  <c r="L34" i="3"/>
  <c r="Q34" i="3"/>
  <c r="M34" i="3"/>
  <c r="O21" i="3"/>
  <c r="B45" i="3"/>
  <c r="F43" i="3"/>
  <c r="L43" i="3"/>
  <c r="Q30" i="3"/>
  <c r="M14" i="3"/>
  <c r="E44" i="3"/>
  <c r="R60" i="3"/>
  <c r="C18" i="3"/>
  <c r="E17" i="3"/>
  <c r="K17" i="3"/>
  <c r="D26" i="3"/>
  <c r="P26" i="3"/>
  <c r="T7" i="3"/>
  <c r="O7" i="3"/>
  <c r="K34" i="3"/>
  <c r="H34" i="3"/>
  <c r="J21" i="3"/>
  <c r="R21" i="3"/>
  <c r="G45" i="3"/>
  <c r="J45" i="3"/>
  <c r="E43" i="3"/>
  <c r="T43" i="3"/>
  <c r="K43" i="3"/>
  <c r="I46" i="3"/>
  <c r="P37" i="3"/>
  <c r="J14" i="3"/>
  <c r="L18" i="3"/>
  <c r="Q21" i="3"/>
  <c r="M45" i="3"/>
  <c r="Q43" i="3"/>
  <c r="N43" i="3"/>
  <c r="I17" i="3"/>
  <c r="B13" i="3"/>
  <c r="N32" i="3"/>
  <c r="B32" i="3"/>
  <c r="R57" i="3"/>
  <c r="O57" i="3"/>
  <c r="H57" i="3"/>
  <c r="J11" i="3"/>
  <c r="P11" i="3"/>
  <c r="C52" i="3"/>
  <c r="T24" i="3"/>
  <c r="Q9" i="3"/>
  <c r="K26" i="3"/>
  <c r="T26" i="3"/>
  <c r="M26" i="3"/>
  <c r="N47" i="3"/>
  <c r="P7" i="3"/>
  <c r="N7" i="3"/>
  <c r="T34" i="3"/>
  <c r="E34" i="3"/>
  <c r="D21" i="3"/>
  <c r="F21" i="3"/>
  <c r="N45" i="3"/>
  <c r="M43" i="3"/>
  <c r="H43" i="3"/>
  <c r="B43" i="3"/>
  <c r="F58" i="3"/>
  <c r="F30" i="3"/>
  <c r="G14" i="3"/>
  <c r="L14" i="3"/>
  <c r="F44" i="3"/>
  <c r="C61" i="3"/>
  <c r="H60" i="3"/>
  <c r="P18" i="3"/>
  <c r="F17" i="3"/>
  <c r="Q17" i="3"/>
  <c r="Q32" i="3"/>
  <c r="L32" i="3"/>
  <c r="I57" i="3"/>
  <c r="R11" i="3"/>
  <c r="F11" i="3"/>
  <c r="E52" i="3"/>
  <c r="F64" i="3"/>
  <c r="R24" i="3"/>
  <c r="D24" i="3"/>
  <c r="C9" i="3"/>
  <c r="N26" i="3"/>
  <c r="Q7" i="3"/>
  <c r="G8" i="3"/>
  <c r="N34" i="3"/>
  <c r="E21" i="3"/>
  <c r="P21" i="3"/>
  <c r="I45" i="3"/>
  <c r="P43" i="3"/>
  <c r="D43" i="3"/>
  <c r="H30" i="3"/>
  <c r="K14" i="3"/>
  <c r="P44" i="3"/>
  <c r="H61" i="3"/>
  <c r="B17" i="3"/>
  <c r="L27" i="3"/>
  <c r="G27" i="3"/>
  <c r="H27" i="3"/>
  <c r="F27" i="3"/>
  <c r="J27" i="3"/>
  <c r="E27" i="3"/>
  <c r="O27" i="3"/>
  <c r="B27" i="3"/>
  <c r="T27" i="3"/>
  <c r="D27" i="3"/>
  <c r="P27" i="3"/>
  <c r="G63" i="3"/>
  <c r="K63" i="3"/>
  <c r="Q63" i="3"/>
  <c r="C63" i="3"/>
  <c r="F63" i="3"/>
  <c r="P63" i="3"/>
  <c r="H63" i="3"/>
  <c r="B63" i="3"/>
  <c r="J63" i="3"/>
  <c r="O63" i="3"/>
  <c r="L63" i="3"/>
  <c r="R27" i="3"/>
  <c r="Q62" i="3"/>
  <c r="L62" i="3"/>
  <c r="P62" i="3"/>
  <c r="B62" i="3"/>
  <c r="O62" i="3"/>
  <c r="M62" i="3"/>
  <c r="K62" i="3"/>
  <c r="F62" i="3"/>
  <c r="E62" i="3"/>
  <c r="J62" i="3"/>
  <c r="R62" i="3"/>
  <c r="N62" i="3"/>
  <c r="C62" i="3"/>
  <c r="I62" i="3"/>
  <c r="D16" i="3"/>
  <c r="T16" i="3"/>
  <c r="I63" i="3"/>
  <c r="R63" i="3"/>
  <c r="N27" i="3"/>
  <c r="P42" i="3"/>
  <c r="Q42" i="3"/>
  <c r="F42" i="3"/>
  <c r="D42" i="3"/>
  <c r="E42" i="3"/>
  <c r="J42" i="3"/>
  <c r="B42" i="3"/>
  <c r="T42" i="3"/>
  <c r="O42" i="3"/>
  <c r="N42" i="3"/>
  <c r="R42" i="3"/>
  <c r="I42" i="3"/>
  <c r="G42" i="3"/>
  <c r="L42" i="3"/>
  <c r="K42" i="3"/>
  <c r="H42" i="3"/>
  <c r="M42" i="3"/>
  <c r="C42" i="3"/>
  <c r="O16" i="3"/>
  <c r="M63" i="3"/>
  <c r="Q27" i="3"/>
  <c r="J50" i="3"/>
  <c r="I8" i="3"/>
  <c r="G62" i="3"/>
  <c r="S26" i="3"/>
  <c r="S10" i="3"/>
  <c r="S37" i="3"/>
  <c r="S14" i="3"/>
  <c r="S68" i="3"/>
  <c r="S42" i="3"/>
  <c r="S63" i="3"/>
  <c r="S39" i="3"/>
  <c r="S59" i="3"/>
  <c r="S55" i="3"/>
  <c r="S58" i="3"/>
  <c r="P67" i="3"/>
  <c r="K67" i="3"/>
  <c r="D67" i="3"/>
  <c r="T67" i="3"/>
  <c r="N67" i="3"/>
  <c r="O67" i="3"/>
  <c r="G67" i="3"/>
  <c r="B67" i="3"/>
  <c r="F67" i="3"/>
  <c r="L67" i="3"/>
  <c r="H67" i="3"/>
  <c r="E67" i="3"/>
  <c r="M67" i="3"/>
  <c r="I67" i="3"/>
  <c r="R67" i="3"/>
  <c r="J67" i="3"/>
  <c r="Q67" i="3"/>
  <c r="S67" i="3"/>
  <c r="C67" i="3"/>
  <c r="S21" i="3"/>
  <c r="P33" i="3"/>
  <c r="F33" i="3"/>
  <c r="R33" i="3"/>
  <c r="E33" i="3"/>
  <c r="C33" i="3"/>
  <c r="D33" i="3"/>
  <c r="N33" i="3"/>
  <c r="M33" i="3"/>
  <c r="T33" i="3"/>
  <c r="L33" i="3"/>
  <c r="I33" i="3"/>
  <c r="K33" i="3"/>
  <c r="H33" i="3"/>
  <c r="O33" i="3"/>
  <c r="J33" i="3"/>
  <c r="G33" i="3"/>
  <c r="Q33" i="3"/>
  <c r="B33" i="3"/>
  <c r="S35" i="3"/>
  <c r="S28" i="3"/>
  <c r="E63" i="3"/>
  <c r="K27" i="3"/>
  <c r="S52" i="3"/>
  <c r="C47" i="3"/>
  <c r="Q47" i="3"/>
  <c r="E47" i="3"/>
  <c r="S47" i="3"/>
  <c r="B47" i="3"/>
  <c r="K47" i="3"/>
  <c r="F47" i="3"/>
  <c r="T47" i="3"/>
  <c r="L47" i="3"/>
  <c r="J47" i="3"/>
  <c r="D47" i="3"/>
  <c r="R47" i="3"/>
  <c r="G47" i="3"/>
  <c r="I56" i="3"/>
  <c r="B56" i="3"/>
  <c r="T56" i="3"/>
  <c r="Q56" i="3"/>
  <c r="O56" i="3"/>
  <c r="D56" i="3"/>
  <c r="R56" i="3"/>
  <c r="H56" i="3"/>
  <c r="P56" i="3"/>
  <c r="C56" i="3"/>
  <c r="G56" i="3"/>
  <c r="L56" i="3"/>
  <c r="M56" i="3"/>
  <c r="J56" i="3"/>
  <c r="K56" i="3"/>
  <c r="F56" i="3"/>
  <c r="E56" i="3"/>
  <c r="S66" i="3"/>
  <c r="M27" i="3"/>
  <c r="L16" i="3"/>
  <c r="P16" i="3"/>
  <c r="K16" i="3"/>
  <c r="S16" i="3"/>
  <c r="Q16" i="3"/>
  <c r="H16" i="3"/>
  <c r="E16" i="3"/>
  <c r="M16" i="3"/>
  <c r="R16" i="3"/>
  <c r="F16" i="3"/>
  <c r="B16" i="3"/>
  <c r="N16" i="3"/>
  <c r="I16" i="3"/>
  <c r="T63" i="3"/>
  <c r="C27" i="3"/>
  <c r="T8" i="3"/>
  <c r="N8" i="3"/>
  <c r="B8" i="3"/>
  <c r="O8" i="3"/>
  <c r="F8" i="3"/>
  <c r="C8" i="3"/>
  <c r="K8" i="3"/>
  <c r="P8" i="3"/>
  <c r="R8" i="3"/>
  <c r="H8" i="3"/>
  <c r="J8" i="3"/>
  <c r="D8" i="3"/>
  <c r="Q8" i="3"/>
  <c r="L8" i="3"/>
  <c r="R20" i="3"/>
  <c r="K20" i="3"/>
  <c r="F20" i="3"/>
  <c r="O20" i="3"/>
  <c r="B20" i="3"/>
  <c r="G20" i="3"/>
  <c r="N20" i="3"/>
  <c r="C20" i="3"/>
  <c r="J20" i="3"/>
  <c r="P20" i="3"/>
  <c r="H20" i="3"/>
  <c r="I20" i="3"/>
  <c r="E20" i="3"/>
  <c r="T20" i="3"/>
  <c r="Q20" i="3"/>
  <c r="D20" i="3"/>
  <c r="M20" i="3"/>
  <c r="L20" i="3"/>
  <c r="K50" i="3"/>
  <c r="E50" i="3"/>
  <c r="C50" i="3"/>
  <c r="T50" i="3"/>
  <c r="M50" i="3"/>
  <c r="G50" i="3"/>
  <c r="D50" i="3"/>
  <c r="R50" i="3"/>
  <c r="N50" i="3"/>
  <c r="L50" i="3"/>
  <c r="B50" i="3"/>
  <c r="F50" i="3"/>
  <c r="H50" i="3"/>
  <c r="Q50" i="3"/>
  <c r="M8" i="3"/>
  <c r="H62" i="3"/>
  <c r="Q25" i="3"/>
  <c r="J25" i="3"/>
  <c r="D25" i="3"/>
  <c r="T25" i="3"/>
  <c r="P25" i="3"/>
  <c r="C25" i="3"/>
  <c r="G25" i="3"/>
  <c r="N25" i="3"/>
  <c r="L25" i="3"/>
  <c r="B25" i="3"/>
  <c r="B22" i="3"/>
  <c r="N22" i="3"/>
  <c r="G22" i="3"/>
  <c r="P22" i="3"/>
  <c r="F22" i="3"/>
  <c r="E22" i="3"/>
  <c r="M22" i="3"/>
  <c r="J22" i="3"/>
  <c r="L22" i="3"/>
  <c r="Q22" i="3"/>
  <c r="O22" i="3"/>
  <c r="C22" i="3"/>
  <c r="Q15" i="3"/>
  <c r="T15" i="3"/>
  <c r="K15" i="3"/>
  <c r="I15" i="3"/>
  <c r="M15" i="3"/>
  <c r="N15" i="3"/>
  <c r="R15" i="3"/>
  <c r="O15" i="3"/>
  <c r="P15" i="3"/>
  <c r="E15" i="3"/>
  <c r="H15" i="3"/>
  <c r="D15" i="3"/>
  <c r="B51" i="3"/>
  <c r="J28" i="3"/>
  <c r="N28" i="3"/>
  <c r="D28" i="3"/>
  <c r="B10" i="3"/>
  <c r="G10" i="3"/>
  <c r="K29" i="3"/>
  <c r="B29" i="3"/>
  <c r="G31" i="3"/>
  <c r="T31" i="3"/>
  <c r="J31" i="3"/>
  <c r="B68" i="3"/>
  <c r="E68" i="3"/>
  <c r="H12" i="3"/>
  <c r="I12" i="3"/>
  <c r="D66" i="3"/>
  <c r="C66" i="3"/>
  <c r="H48" i="3"/>
  <c r="I48" i="3"/>
  <c r="B48" i="3"/>
  <c r="P48" i="3"/>
  <c r="E48" i="3"/>
  <c r="F59" i="3"/>
  <c r="B59" i="3"/>
  <c r="C39" i="3"/>
  <c r="F39" i="3"/>
  <c r="B11" i="3"/>
  <c r="G11" i="3"/>
  <c r="O11" i="3"/>
  <c r="M11" i="3"/>
  <c r="E11" i="3"/>
  <c r="D36" i="3"/>
  <c r="N36" i="3"/>
  <c r="F52" i="3"/>
  <c r="B52" i="3"/>
  <c r="R53" i="3"/>
  <c r="P53" i="3"/>
  <c r="D53" i="3"/>
  <c r="L53" i="3"/>
  <c r="B53" i="3"/>
  <c r="L24" i="3"/>
  <c r="J24" i="3"/>
  <c r="L9" i="3"/>
  <c r="N9" i="3"/>
  <c r="R7" i="3"/>
  <c r="I7" i="3"/>
  <c r="J7" i="3"/>
  <c r="F7" i="3"/>
  <c r="H7" i="3"/>
  <c r="F65" i="3"/>
  <c r="T65" i="3"/>
  <c r="J35" i="3"/>
  <c r="Q35" i="3"/>
  <c r="L35" i="3"/>
  <c r="D34" i="3"/>
  <c r="G34" i="3"/>
  <c r="O34" i="3"/>
  <c r="J34" i="3"/>
  <c r="R34" i="3"/>
  <c r="H21" i="3"/>
  <c r="I21" i="3"/>
  <c r="D45" i="3"/>
  <c r="I49" i="3"/>
  <c r="C49" i="3"/>
  <c r="R46" i="3"/>
  <c r="G46" i="3"/>
  <c r="H25" i="3"/>
  <c r="I25" i="3"/>
  <c r="R37" i="3"/>
  <c r="D22" i="3"/>
  <c r="I22" i="3"/>
  <c r="L15" i="3"/>
  <c r="B15" i="3"/>
  <c r="K30" i="3"/>
  <c r="I30" i="3"/>
  <c r="R30" i="3"/>
  <c r="N30" i="3"/>
  <c r="G30" i="3"/>
  <c r="B30" i="3"/>
  <c r="D30" i="3"/>
  <c r="L30" i="3"/>
  <c r="C30" i="3"/>
  <c r="P30" i="3"/>
  <c r="O30" i="3"/>
  <c r="M51" i="3"/>
  <c r="E18" i="3"/>
  <c r="R18" i="3"/>
  <c r="Q18" i="3"/>
  <c r="T18" i="3"/>
  <c r="I18" i="3"/>
  <c r="O18" i="3"/>
  <c r="J18" i="3"/>
  <c r="K18" i="3"/>
  <c r="M18" i="3"/>
  <c r="D18" i="3"/>
  <c r="H18" i="3"/>
  <c r="G18" i="3"/>
  <c r="N18" i="3"/>
  <c r="B46" i="3"/>
  <c r="D46" i="3"/>
  <c r="O46" i="3"/>
  <c r="L46" i="3"/>
  <c r="P46" i="3"/>
  <c r="K46" i="3"/>
  <c r="N46" i="3"/>
  <c r="M46" i="3"/>
  <c r="E25" i="3"/>
  <c r="M25" i="3"/>
  <c r="T22" i="3"/>
  <c r="C15" i="3"/>
  <c r="S15" i="3"/>
  <c r="J41" i="3"/>
  <c r="L41" i="3"/>
  <c r="D41" i="3"/>
  <c r="Q41" i="3"/>
  <c r="E41" i="3"/>
  <c r="N41" i="3"/>
  <c r="P41" i="3"/>
  <c r="O41" i="3"/>
  <c r="C41" i="3"/>
  <c r="B41" i="3"/>
  <c r="T41" i="3"/>
  <c r="K41" i="3"/>
  <c r="T51" i="3"/>
  <c r="Q13" i="3"/>
  <c r="C13" i="3"/>
  <c r="N13" i="3"/>
  <c r="I13" i="3"/>
  <c r="P13" i="3"/>
  <c r="F13" i="3"/>
  <c r="T13" i="3"/>
  <c r="E13" i="3"/>
  <c r="L13" i="3"/>
  <c r="G13" i="3"/>
  <c r="R13" i="3"/>
  <c r="D13" i="3"/>
  <c r="J13" i="3"/>
  <c r="G35" i="3"/>
  <c r="I35" i="3"/>
  <c r="O49" i="3"/>
  <c r="B49" i="3"/>
  <c r="C46" i="3"/>
  <c r="J46" i="3"/>
  <c r="R25" i="3"/>
  <c r="F25" i="3"/>
  <c r="R22" i="3"/>
  <c r="G15" i="3"/>
  <c r="N58" i="3"/>
  <c r="J58" i="3"/>
  <c r="T58" i="3"/>
  <c r="H58" i="3"/>
  <c r="C58" i="3"/>
  <c r="E58" i="3"/>
  <c r="G58" i="3"/>
  <c r="K58" i="3"/>
  <c r="L58" i="3"/>
  <c r="M58" i="3"/>
  <c r="D58" i="3"/>
  <c r="F41" i="3"/>
  <c r="S41" i="3"/>
  <c r="O51" i="3"/>
  <c r="K13" i="3"/>
  <c r="B35" i="3"/>
  <c r="M35" i="3"/>
  <c r="F35" i="3"/>
  <c r="H66" i="3"/>
  <c r="I66" i="3"/>
  <c r="O66" i="3"/>
  <c r="N66" i="3"/>
  <c r="R66" i="3"/>
  <c r="O39" i="3"/>
  <c r="I39" i="3"/>
  <c r="P39" i="3"/>
  <c r="R39" i="3"/>
  <c r="G39" i="3"/>
  <c r="H52" i="3"/>
  <c r="Q52" i="3"/>
  <c r="O52" i="3"/>
  <c r="K52" i="3"/>
  <c r="L52" i="3"/>
  <c r="K9" i="3"/>
  <c r="B9" i="3"/>
  <c r="E9" i="3"/>
  <c r="R9" i="3"/>
  <c r="O9" i="3"/>
  <c r="D35" i="3"/>
  <c r="E35" i="3"/>
  <c r="E45" i="3"/>
  <c r="P45" i="3"/>
  <c r="Q45" i="3"/>
  <c r="O45" i="3"/>
  <c r="T45" i="3"/>
  <c r="K45" i="3"/>
  <c r="C45" i="3"/>
  <c r="F49" i="3"/>
  <c r="F46" i="3"/>
  <c r="T46" i="3"/>
  <c r="K25" i="3"/>
  <c r="S25" i="3"/>
  <c r="N37" i="3"/>
  <c r="O37" i="3"/>
  <c r="C37" i="3"/>
  <c r="Q37" i="3"/>
  <c r="L37" i="3"/>
  <c r="E37" i="3"/>
  <c r="T37" i="3"/>
  <c r="J37" i="3"/>
  <c r="G37" i="3"/>
  <c r="K37" i="3"/>
  <c r="F37" i="3"/>
  <c r="K22" i="3"/>
  <c r="J15" i="3"/>
  <c r="O58" i="3"/>
  <c r="Q58" i="3"/>
  <c r="I41" i="3"/>
  <c r="M13" i="3"/>
  <c r="G51" i="3"/>
  <c r="D51" i="3"/>
  <c r="N51" i="3"/>
  <c r="E51" i="3"/>
  <c r="H51" i="3"/>
  <c r="K51" i="3"/>
  <c r="C51" i="3"/>
  <c r="F51" i="3"/>
  <c r="P51" i="3"/>
  <c r="Q51" i="3"/>
  <c r="L51" i="3"/>
  <c r="J51" i="3"/>
  <c r="G49" i="3"/>
  <c r="D49" i="3"/>
  <c r="P49" i="3"/>
  <c r="H49" i="3"/>
  <c r="J49" i="3"/>
  <c r="F28" i="3"/>
  <c r="K28" i="3"/>
  <c r="Q31" i="3"/>
  <c r="E31" i="3"/>
  <c r="T12" i="3"/>
  <c r="N12" i="3"/>
  <c r="B12" i="3"/>
  <c r="K12" i="3"/>
  <c r="Q12" i="3"/>
  <c r="K66" i="3"/>
  <c r="M66" i="3"/>
  <c r="T66" i="3"/>
  <c r="J59" i="3"/>
  <c r="C59" i="3"/>
  <c r="G59" i="3"/>
  <c r="L59" i="3"/>
  <c r="R59" i="3"/>
  <c r="K39" i="3"/>
  <c r="B39" i="3"/>
  <c r="E39" i="3"/>
  <c r="F36" i="3"/>
  <c r="I36" i="3"/>
  <c r="J36" i="3"/>
  <c r="Q36" i="3"/>
  <c r="L36" i="3"/>
  <c r="T52" i="3"/>
  <c r="J52" i="3"/>
  <c r="I52" i="3"/>
  <c r="E24" i="3"/>
  <c r="F24" i="3"/>
  <c r="H24" i="3"/>
  <c r="N24" i="3"/>
  <c r="B24" i="3"/>
  <c r="T9" i="3"/>
  <c r="J9" i="3"/>
  <c r="G9" i="3"/>
  <c r="J65" i="3"/>
  <c r="D65" i="3"/>
  <c r="L65" i="3"/>
  <c r="I65" i="3"/>
  <c r="P65" i="3"/>
  <c r="H35" i="3"/>
  <c r="C35" i="3"/>
  <c r="T21" i="3"/>
  <c r="N21" i="3"/>
  <c r="B21" i="3"/>
  <c r="K21" i="3"/>
  <c r="G21" i="3"/>
  <c r="S19" i="3"/>
  <c r="R45" i="3"/>
  <c r="H45" i="3"/>
  <c r="T49" i="3"/>
  <c r="L49" i="3"/>
  <c r="K49" i="3"/>
  <c r="Q46" i="3"/>
  <c r="E46" i="3"/>
  <c r="O25" i="3"/>
  <c r="H37" i="3"/>
  <c r="D37" i="3"/>
  <c r="H22" i="3"/>
  <c r="F15" i="3"/>
  <c r="B58" i="3"/>
  <c r="I58" i="3"/>
  <c r="H41" i="3"/>
  <c r="I51" i="3"/>
  <c r="E40" i="3"/>
  <c r="J40" i="3"/>
  <c r="Q40" i="3"/>
  <c r="P40" i="3"/>
  <c r="L40" i="3"/>
  <c r="B40" i="3"/>
  <c r="F40" i="3"/>
  <c r="K40" i="3"/>
  <c r="M40" i="3"/>
  <c r="C40" i="3"/>
  <c r="N40" i="3"/>
  <c r="H40" i="3"/>
  <c r="T40" i="3"/>
  <c r="H13" i="3"/>
  <c r="O54" i="3"/>
  <c r="N54" i="3"/>
  <c r="Q55" i="3"/>
  <c r="B55" i="3"/>
  <c r="D32" i="3"/>
  <c r="I32" i="3"/>
  <c r="F57" i="3"/>
  <c r="M57" i="3"/>
  <c r="D38" i="3"/>
  <c r="I38" i="3"/>
  <c r="B64" i="3"/>
  <c r="J64" i="3"/>
  <c r="E26" i="3"/>
  <c r="L26" i="3"/>
  <c r="E23" i="3"/>
  <c r="L23" i="3"/>
  <c r="G44" i="3"/>
  <c r="F61" i="3"/>
  <c r="L60" i="3"/>
  <c r="O60" i="3"/>
  <c r="K60" i="3"/>
  <c r="F60" i="3"/>
  <c r="P60" i="3"/>
  <c r="D60" i="3"/>
  <c r="B60" i="3"/>
  <c r="I60" i="3"/>
  <c r="J60" i="3"/>
  <c r="M60" i="3"/>
  <c r="J44" i="3"/>
  <c r="C44" i="3"/>
  <c r="O44" i="3"/>
  <c r="N44" i="3"/>
  <c r="T44" i="3"/>
  <c r="B44" i="3"/>
  <c r="D44" i="3"/>
  <c r="R44" i="3"/>
  <c r="L44" i="3"/>
  <c r="Q44" i="3"/>
  <c r="J61" i="3"/>
  <c r="R61" i="3"/>
  <c r="L61" i="3"/>
  <c r="Q61" i="3"/>
  <c r="I61" i="3"/>
  <c r="M61" i="3"/>
  <c r="D61" i="3"/>
  <c r="B61" i="3"/>
  <c r="O61" i="3"/>
  <c r="P61" i="3"/>
  <c r="O6" i="3"/>
  <c r="C6" i="3"/>
  <c r="N19" i="3"/>
  <c r="B19" i="3"/>
  <c r="I43" i="3"/>
  <c r="O43" i="3"/>
  <c r="I14" i="3"/>
  <c r="C14" i="3"/>
  <c r="N14" i="3"/>
  <c r="F14" i="3"/>
  <c r="P14" i="3"/>
  <c r="T14" i="3"/>
  <c r="O14" i="3"/>
  <c r="E14" i="3"/>
  <c r="H17" i="3"/>
  <c r="T17" i="3"/>
  <c r="P17" i="3"/>
  <c r="L17" i="3"/>
  <c r="D17" i="3"/>
  <c r="N17" i="3"/>
  <c r="J17" i="3"/>
  <c r="O17" i="3"/>
  <c r="S50" i="3" l="1"/>
  <c r="S48" i="3"/>
  <c r="S23" i="3"/>
  <c r="S24" i="3"/>
  <c r="S46" i="3"/>
  <c r="S22" i="3"/>
  <c r="S57" i="3"/>
  <c r="S31" i="3"/>
  <c r="S43" i="3"/>
  <c r="S12" i="3"/>
  <c r="S11" i="3"/>
  <c r="S60" i="3"/>
  <c r="S9" i="3"/>
  <c r="S36" i="3"/>
  <c r="S33" i="3"/>
  <c r="S32" i="3"/>
  <c r="S13" i="3"/>
  <c r="S7" i="3"/>
  <c r="S18" i="3"/>
  <c r="S27" i="3"/>
  <c r="S29" i="3"/>
  <c r="S54" i="3"/>
  <c r="S56" i="3"/>
  <c r="S40" i="3"/>
  <c r="S51" i="3"/>
  <c r="S64" i="3"/>
  <c r="S34" i="3"/>
  <c r="S44" i="3"/>
  <c r="S61" i="3"/>
  <c r="S38" i="3"/>
  <c r="S30" i="3"/>
  <c r="S8" i="3"/>
  <c r="S49" i="3"/>
</calcChain>
</file>

<file path=xl/sharedStrings.xml><?xml version="1.0" encoding="utf-8"?>
<sst xmlns="http://schemas.openxmlformats.org/spreadsheetml/2006/main" count="3276" uniqueCount="234">
  <si>
    <t>전년동기대비 증감액 및 증감율</t>
  </si>
  <si>
    <t>전년도</t>
  </si>
  <si>
    <t>단위:천원</t>
  </si>
  <si>
    <t>당기년도</t>
  </si>
  <si>
    <t>매출금액</t>
  </si>
  <si>
    <t>수금액(V+)</t>
  </si>
  <si>
    <t>생산원가(V-)</t>
  </si>
  <si>
    <t>총경비</t>
  </si>
  <si>
    <t>영업이익(V-)</t>
  </si>
  <si>
    <t>전년대비증감액</t>
  </si>
  <si>
    <t>시작월</t>
  </si>
  <si>
    <t>구분</t>
  </si>
  <si>
    <t>전체 매출금액</t>
  </si>
  <si>
    <t>전체 수금액(V+)</t>
  </si>
  <si>
    <t>전체 생산원가(V-)</t>
  </si>
  <si>
    <t>전체 총경비</t>
  </si>
  <si>
    <t>전체 영업이익(V-)</t>
  </si>
  <si>
    <t>종료월</t>
  </si>
  <si>
    <t>동일</t>
  </si>
  <si>
    <t>신규</t>
  </si>
  <si>
    <t>폐점</t>
  </si>
  <si>
    <t>행사</t>
  </si>
  <si>
    <t>총합계</t>
  </si>
  <si>
    <t>전기대비 매출 증가분의 당기 매출기여도</t>
  </si>
  <si>
    <t>매출차이</t>
  </si>
  <si>
    <t>수금액(V+)차이</t>
  </si>
  <si>
    <t>생산원가(V-)차이</t>
  </si>
  <si>
    <t>총경비차이</t>
  </si>
  <si>
    <t>영업이익(V-)차이</t>
  </si>
  <si>
    <t>동일매장분석</t>
  </si>
  <si>
    <t>단위: 천원</t>
  </si>
  <si>
    <t>★ 구분 시트에서 구분 변경 시 자동 반영</t>
  </si>
  <si>
    <t>매장명</t>
  </si>
  <si>
    <t>당기기준
신장률</t>
  </si>
  <si>
    <t>매출대비
수금율</t>
  </si>
  <si>
    <t>매출대비
원가배수</t>
  </si>
  <si>
    <t>매출대비
경비율</t>
  </si>
  <si>
    <t>매출대비
이익률</t>
  </si>
  <si>
    <t>공헌
이익률</t>
  </si>
  <si>
    <t>증감액</t>
  </si>
  <si>
    <t>폐점매장분석</t>
  </si>
  <si>
    <t>★ 구분 시트에서 폐점 변경 시 자동 반영</t>
  </si>
  <si>
    <t>비 고</t>
  </si>
  <si>
    <t>행사매장분석</t>
  </si>
  <si>
    <t>★ 구분 시트에서 행사 변경 시 자동 반영</t>
  </si>
  <si>
    <t>신규매장분석</t>
  </si>
  <si>
    <t>★ 구분 시트에서 신규 추가 시 자동 반영</t>
  </si>
  <si>
    <t>년</t>
  </si>
  <si>
    <t>월</t>
  </si>
  <si>
    <t>년-월</t>
  </si>
  <si>
    <t>매장코드</t>
  </si>
  <si>
    <t>수금액(V-)</t>
  </si>
  <si>
    <t>영업이익-총경비
(순이익)</t>
  </si>
  <si>
    <t>영업이익-총경비
(순이익율)</t>
  </si>
  <si>
    <t>00101</t>
  </si>
  <si>
    <t>롯데잠실점</t>
  </si>
  <si>
    <t>00102</t>
  </si>
  <si>
    <t>롯데관악점</t>
  </si>
  <si>
    <t>00106</t>
  </si>
  <si>
    <t>롯데광주점</t>
  </si>
  <si>
    <t>00110</t>
  </si>
  <si>
    <t>롯데강남점</t>
  </si>
  <si>
    <t>00111</t>
  </si>
  <si>
    <t>롯데포항점</t>
  </si>
  <si>
    <t>00112</t>
  </si>
  <si>
    <t>롯데울산점</t>
  </si>
  <si>
    <t>00113</t>
  </si>
  <si>
    <t>롯데동래점</t>
  </si>
  <si>
    <t>00114</t>
  </si>
  <si>
    <t>롯데창원점</t>
  </si>
  <si>
    <t>00119</t>
  </si>
  <si>
    <t>롯데상인점</t>
  </si>
  <si>
    <t>00120</t>
  </si>
  <si>
    <t>롯데미아점</t>
  </si>
  <si>
    <t>00125</t>
  </si>
  <si>
    <t>롯데구리점</t>
  </si>
  <si>
    <t>00126</t>
  </si>
  <si>
    <t>롯데영등포점</t>
  </si>
  <si>
    <t>00128</t>
  </si>
  <si>
    <t>롯데부산본점</t>
  </si>
  <si>
    <t>00129</t>
  </si>
  <si>
    <t>롯데평촌점</t>
  </si>
  <si>
    <t>00130</t>
  </si>
  <si>
    <t>롯데안산점</t>
  </si>
  <si>
    <t>00131</t>
  </si>
  <si>
    <t>롯데노원점</t>
  </si>
  <si>
    <t>00132</t>
  </si>
  <si>
    <t>롯데광복점</t>
  </si>
  <si>
    <t>00135</t>
  </si>
  <si>
    <t>롯데수원점</t>
  </si>
  <si>
    <t>00137</t>
  </si>
  <si>
    <t>롯데대구점</t>
  </si>
  <si>
    <t>00139</t>
  </si>
  <si>
    <t>롯데전주점</t>
  </si>
  <si>
    <t>00140</t>
  </si>
  <si>
    <t>롯데분당점</t>
  </si>
  <si>
    <t>00141</t>
  </si>
  <si>
    <t>롯데인천터미널점</t>
  </si>
  <si>
    <t>00142</t>
  </si>
  <si>
    <t>롯데동탄점</t>
  </si>
  <si>
    <t>00201</t>
  </si>
  <si>
    <t>현대천호점</t>
  </si>
  <si>
    <t>00203</t>
  </si>
  <si>
    <t>현대울산점</t>
  </si>
  <si>
    <t>00208</t>
  </si>
  <si>
    <t>현대미아점</t>
  </si>
  <si>
    <t>00209</t>
  </si>
  <si>
    <t>현대목동점</t>
  </si>
  <si>
    <t>00210</t>
  </si>
  <si>
    <t>현대중동점</t>
  </si>
  <si>
    <t>00213</t>
  </si>
  <si>
    <t>현대대구점</t>
  </si>
  <si>
    <t>00214</t>
  </si>
  <si>
    <t>현대충청점</t>
  </si>
  <si>
    <t>00216</t>
  </si>
  <si>
    <t>현대디큐브시티점</t>
  </si>
  <si>
    <t>00218</t>
  </si>
  <si>
    <t>현대동구점</t>
  </si>
  <si>
    <t>00219</t>
  </si>
  <si>
    <t>현대판교점</t>
  </si>
  <si>
    <t>00301</t>
  </si>
  <si>
    <t>신세계광주점</t>
  </si>
  <si>
    <t>00303</t>
  </si>
  <si>
    <t>신세계마산점</t>
  </si>
  <si>
    <t>00304</t>
  </si>
  <si>
    <t>신세계강남점</t>
  </si>
  <si>
    <t>00306</t>
  </si>
  <si>
    <t>신세계경기점</t>
  </si>
  <si>
    <t>00307</t>
  </si>
  <si>
    <t>신세계센텀점</t>
  </si>
  <si>
    <t>00308</t>
  </si>
  <si>
    <t>신세계타임스퀘어점</t>
  </si>
  <si>
    <t>00309</t>
  </si>
  <si>
    <t>신세계천안아산점</t>
  </si>
  <si>
    <t>00310</t>
  </si>
  <si>
    <t>신세계의정부점</t>
  </si>
  <si>
    <t>00311</t>
  </si>
  <si>
    <t>신세계김해점</t>
  </si>
  <si>
    <t>00313</t>
  </si>
  <si>
    <t>신세계스타필드하남점</t>
  </si>
  <si>
    <t>00314</t>
  </si>
  <si>
    <t>신세계대구점</t>
  </si>
  <si>
    <t>00315</t>
  </si>
  <si>
    <t>신세계대전점</t>
  </si>
  <si>
    <t>00503</t>
  </si>
  <si>
    <t>갤러리아천안점</t>
  </si>
  <si>
    <t>00504</t>
  </si>
  <si>
    <t>갤러리아광교점</t>
  </si>
  <si>
    <t>00505</t>
  </si>
  <si>
    <t>갤러리아진주점</t>
  </si>
  <si>
    <t>00506</t>
  </si>
  <si>
    <t>갤러리아타임월드점</t>
  </si>
  <si>
    <t>00601</t>
  </si>
  <si>
    <r>
      <rPr>
        <sz val="10"/>
        <color theme="1"/>
        <rFont val="Microsoft NeoGothic"/>
        <family val="3"/>
        <charset val="129"/>
      </rPr>
      <t>AK</t>
    </r>
    <r>
      <rPr>
        <sz val="10"/>
        <color theme="1"/>
        <rFont val="Noto Sans CJK SC"/>
        <family val="2"/>
      </rPr>
      <t>프라자분당점</t>
    </r>
  </si>
  <si>
    <t>01305</t>
  </si>
  <si>
    <t>신세계본점</t>
  </si>
  <si>
    <t>05002</t>
  </si>
  <si>
    <t>롯데아울렛김해점</t>
  </si>
  <si>
    <t>05003</t>
  </si>
  <si>
    <t>롯데아울렛이천점</t>
  </si>
  <si>
    <t>05004</t>
  </si>
  <si>
    <t>롯데아울렛광명점</t>
  </si>
  <si>
    <t>05005</t>
  </si>
  <si>
    <t>롯데아울렛고양점</t>
  </si>
  <si>
    <t>05006</t>
  </si>
  <si>
    <t>롯데아울렛광교점</t>
  </si>
  <si>
    <t>05007</t>
  </si>
  <si>
    <t>롯데아울렛군산점</t>
  </si>
  <si>
    <t>05009</t>
  </si>
  <si>
    <t>롯데아울렛동부산점</t>
  </si>
  <si>
    <t>05013</t>
  </si>
  <si>
    <t>롯데아울렛여수점</t>
  </si>
  <si>
    <t>05201</t>
  </si>
  <si>
    <r>
      <rPr>
        <sz val="10"/>
        <color theme="1"/>
        <rFont val="Microsoft NeoGothic"/>
        <family val="3"/>
        <charset val="129"/>
      </rPr>
      <t>LF</t>
    </r>
    <r>
      <rPr>
        <sz val="10"/>
        <color theme="1"/>
        <rFont val="Noto Sans CJK SC"/>
        <family val="2"/>
      </rPr>
      <t>스퀘어양주점</t>
    </r>
  </si>
  <si>
    <t>05552</t>
  </si>
  <si>
    <t>신세계아울렛파주점</t>
  </si>
  <si>
    <t>05601</t>
  </si>
  <si>
    <t>현대아울렛대전점</t>
  </si>
  <si>
    <t>05602</t>
  </si>
  <si>
    <t>현대아울렛남양주점</t>
  </si>
  <si>
    <t>00222</t>
  </si>
  <si>
    <t>현대신촌점</t>
  </si>
  <si>
    <t>05008</t>
  </si>
  <si>
    <t>롯데아울렛기흥점</t>
  </si>
  <si>
    <t>2025-06</t>
  </si>
  <si>
    <t>2025-07</t>
  </si>
  <si>
    <t>2025-08</t>
  </si>
  <si>
    <t>00212</t>
  </si>
  <si>
    <t>현대킨텍스점</t>
  </si>
  <si>
    <t>00603</t>
  </si>
  <si>
    <r>
      <rPr>
        <sz val="10"/>
        <color theme="1"/>
        <rFont val="Microsoft NeoGothic"/>
        <family val="3"/>
        <charset val="129"/>
      </rPr>
      <t>AK</t>
    </r>
    <r>
      <rPr>
        <sz val="10"/>
        <color theme="1"/>
        <rFont val="Noto Sans CJK SC"/>
        <family val="2"/>
      </rPr>
      <t>프라자수원점</t>
    </r>
  </si>
  <si>
    <t>2025-09</t>
  </si>
  <si>
    <t>2025-10</t>
  </si>
  <si>
    <t>2025-11</t>
  </si>
  <si>
    <t>2025-12</t>
  </si>
  <si>
    <t>2026-01</t>
  </si>
  <si>
    <t>2026-02</t>
  </si>
  <si>
    <t>2026-03</t>
  </si>
  <si>
    <t>05553</t>
  </si>
  <si>
    <t>신세계아울렛부산점</t>
  </si>
  <si>
    <t>행 레이블</t>
  </si>
  <si>
    <r>
      <rPr>
        <b/>
        <sz val="8"/>
        <color rgb="FF808080"/>
        <rFont val="Noto Sans CJK SC"/>
        <family val="2"/>
      </rPr>
      <t>동일</t>
    </r>
    <r>
      <rPr>
        <b/>
        <sz val="8"/>
        <color rgb="FF808080"/>
        <rFont val="Cambria"/>
        <family val="1"/>
      </rPr>
      <t>_</t>
    </r>
    <r>
      <rPr>
        <b/>
        <sz val="8"/>
        <color rgb="FF808080"/>
        <rFont val="Noto Sans CJK SC"/>
        <family val="2"/>
      </rPr>
      <t>순번</t>
    </r>
  </si>
  <si>
    <r>
      <rPr>
        <b/>
        <sz val="8"/>
        <color rgb="FF808080"/>
        <rFont val="Noto Sans CJK SC"/>
        <family val="2"/>
      </rPr>
      <t>폐점</t>
    </r>
    <r>
      <rPr>
        <b/>
        <sz val="8"/>
        <color rgb="FF808080"/>
        <rFont val="Cambria"/>
        <family val="1"/>
      </rPr>
      <t>_</t>
    </r>
    <r>
      <rPr>
        <b/>
        <sz val="8"/>
        <color rgb="FF808080"/>
        <rFont val="Noto Sans CJK SC"/>
        <family val="2"/>
      </rPr>
      <t>순번</t>
    </r>
  </si>
  <si>
    <r>
      <rPr>
        <b/>
        <sz val="8"/>
        <color rgb="FF808080"/>
        <rFont val="Noto Sans CJK SC"/>
        <family val="2"/>
      </rPr>
      <t>행사</t>
    </r>
    <r>
      <rPr>
        <b/>
        <sz val="8"/>
        <color rgb="FF808080"/>
        <rFont val="Cambria"/>
        <family val="1"/>
      </rPr>
      <t>_</t>
    </r>
    <r>
      <rPr>
        <b/>
        <sz val="8"/>
        <color rgb="FF808080"/>
        <rFont val="Noto Sans CJK SC"/>
        <family val="2"/>
      </rPr>
      <t>순번</t>
    </r>
  </si>
  <si>
    <r>
      <rPr>
        <b/>
        <sz val="8"/>
        <color rgb="FF808080"/>
        <rFont val="Noto Sans CJK SC"/>
        <family val="2"/>
      </rPr>
      <t>신규</t>
    </r>
    <r>
      <rPr>
        <b/>
        <sz val="8"/>
        <color rgb="FF808080"/>
        <rFont val="Cambria"/>
        <family val="1"/>
      </rPr>
      <t>_</t>
    </r>
    <r>
      <rPr>
        <b/>
        <sz val="8"/>
        <color rgb="FF808080"/>
        <rFont val="Noto Sans CJK SC"/>
        <family val="2"/>
      </rPr>
      <t>순번</t>
    </r>
  </si>
  <si>
    <r>
      <rPr>
        <sz val="9"/>
        <color theme="1"/>
        <rFont val="Microsoft NeoGothic"/>
        <family val="3"/>
        <charset val="129"/>
      </rPr>
      <t>AK</t>
    </r>
    <r>
      <rPr>
        <sz val="9"/>
        <color theme="1"/>
        <rFont val="Noto Sans CJK SC"/>
        <family val="2"/>
      </rPr>
      <t>프라자분당점</t>
    </r>
  </si>
  <si>
    <r>
      <rPr>
        <sz val="9"/>
        <color theme="1"/>
        <rFont val="Microsoft NeoGothic"/>
        <family val="3"/>
        <charset val="129"/>
      </rPr>
      <t>AK</t>
    </r>
    <r>
      <rPr>
        <sz val="9"/>
        <color theme="1"/>
        <rFont val="Noto Sans CJK SC"/>
        <family val="2"/>
      </rPr>
      <t>프라자수원점</t>
    </r>
  </si>
  <si>
    <r>
      <rPr>
        <sz val="9"/>
        <color theme="1"/>
        <rFont val="Microsoft NeoGothic"/>
        <family val="3"/>
        <charset val="129"/>
      </rPr>
      <t>LF</t>
    </r>
    <r>
      <rPr>
        <sz val="9"/>
        <color theme="1"/>
        <rFont val="Noto Sans CJK SC"/>
        <family val="2"/>
      </rPr>
      <t>스퀘어양주점</t>
    </r>
  </si>
  <si>
    <t>폐점</t>
    <phoneticPr fontId="25" type="noConversion"/>
  </si>
  <si>
    <t>2026-03폐점</t>
  </si>
  <si>
    <t>2026-03폐점</t>
    <phoneticPr fontId="25" type="noConversion"/>
  </si>
  <si>
    <t>2025-06폐점</t>
    <phoneticPr fontId="25" type="noConversion"/>
  </si>
  <si>
    <t>00143</t>
  </si>
  <si>
    <t>롯데잠실캐슬프라자점</t>
  </si>
  <si>
    <t>롯데잠실캐슬프라자점</t>
    <phoneticPr fontId="25" type="noConversion"/>
  </si>
  <si>
    <t>행사</t>
    <phoneticPr fontId="25" type="noConversion"/>
  </si>
  <si>
    <t>2026-04</t>
  </si>
  <si>
    <t>AK프라자분당점</t>
  </si>
  <si>
    <t>AK프라자수원점</t>
  </si>
  <si>
    <t>LF스퀘어양주점</t>
  </si>
  <si>
    <t>▼ SUMIFS 파라미터 (월초에 이곳만 수정)</t>
  </si>
  <si>
    <t>★ Ver2: SUMIFS 자동화 - 표1에 데이터 추가 시 즉시 자동갱신 (피벗 불필요)</t>
  </si>
  <si>
    <t>2026-04 행사</t>
    <phoneticPr fontId="25" type="noConversion"/>
  </si>
  <si>
    <t>2025년 2~11월 합계</t>
  </si>
  <si>
    <t>★ Q열(2026 영업이익) 기준 자동 내림차순 정렬</t>
  </si>
  <si>
    <t>2026 영업이익 높은순 정렬</t>
  </si>
  <si>
    <t>2025 영업이익 높은순 정렬</t>
  </si>
  <si>
    <t>2026-05</t>
  </si>
  <si>
    <t>00207</t>
  </si>
  <si>
    <t>현대압구정본점</t>
  </si>
  <si>
    <t>행사</t>
    <phoneticPr fontId="25" type="noConversion"/>
  </si>
  <si>
    <t>2026-05행사</t>
    <phoneticPr fontId="25" type="noConversion"/>
  </si>
  <si>
    <t>2026-03행사</t>
    <phoneticPr fontId="25" type="noConversion"/>
  </si>
  <si>
    <t>2025-02~03행사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</si>
</sst>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\-_);_(@_)"/>
    <numFmt numFmtId="177" formatCode="#,##0,_ ;[Red]\-#,##0,\ "/>
    <numFmt numFmtId="178" formatCode="0.0%"/>
    <numFmt numFmtId="179" formatCode="#,##0.00_ "/>
    <numFmt numFmtId="180" formatCode="0.00_ "/>
    <numFmt numFmtId="181" formatCode="#,##0_ ;[Red]\-#,##0\ "/>
    <numFmt numFmtId="182" formatCode="m/d/yyyy"/>
  </numFmts>
  <fonts count="31"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9"/>
      <color theme="1"/>
      <name val="돋움체"/>
      <family val="2"/>
      <charset val="129"/>
    </font>
    <font>
      <sz val="9"/>
      <name val="돋움체"/>
      <family val="3"/>
      <charset val="129"/>
    </font>
    <font>
      <sz val="10"/>
      <name val="Microsoft NeoGothic"/>
      <family val="3"/>
      <charset val="129"/>
    </font>
    <font>
      <b/>
      <sz val="10"/>
      <color theme="1"/>
      <name val="Microsoft NeoGothic"/>
      <family val="3"/>
      <charset val="129"/>
    </font>
    <font>
      <b/>
      <sz val="10"/>
      <color theme="4" tint="-0.249977111117893"/>
      <name val="Microsoft NeoGothic"/>
      <family val="3"/>
      <charset val="129"/>
    </font>
    <font>
      <sz val="10"/>
      <color theme="4" tint="-0.249977111117893"/>
      <name val="Microsoft NeoGothic"/>
      <family val="3"/>
      <charset val="129"/>
    </font>
    <font>
      <sz val="12"/>
      <name val="Microsoft NeoGothic"/>
      <family val="3"/>
      <charset val="129"/>
    </font>
    <font>
      <u/>
      <sz val="16"/>
      <name val="Microsoft NeoGothic"/>
      <family val="3"/>
      <charset val="129"/>
    </font>
    <font>
      <b/>
      <sz val="10"/>
      <name val="Microsoft NeoGothic"/>
      <family val="3"/>
      <charset val="129"/>
    </font>
    <font>
      <sz val="9"/>
      <name val="Microsoft NeoGothic"/>
      <family val="3"/>
      <charset val="129"/>
    </font>
    <font>
      <b/>
      <sz val="10"/>
      <color theme="0"/>
      <name val="Noto Sans CJK SC"/>
      <family val="2"/>
      <charset val="1"/>
    </font>
    <font>
      <sz val="10"/>
      <color theme="1"/>
      <name val="Microsoft NeoGothic"/>
      <family val="3"/>
      <charset val="129"/>
    </font>
    <font>
      <sz val="10"/>
      <color theme="1"/>
      <name val="Noto Sans CJK SC"/>
      <family val="2"/>
      <charset val="1"/>
    </font>
    <font>
      <sz val="10"/>
      <color theme="1"/>
      <name val="Noto Sans CJK SC"/>
      <family val="2"/>
    </font>
    <font>
      <b/>
      <sz val="11"/>
      <color theme="1"/>
      <name val="Noto Sans CJK SC"/>
      <family val="2"/>
      <charset val="1"/>
    </font>
    <font>
      <sz val="9"/>
      <color theme="1"/>
      <name val="Noto Sans CJK SC"/>
      <family val="2"/>
      <charset val="1"/>
    </font>
    <font>
      <b/>
      <sz val="8"/>
      <color rgb="FF808080"/>
      <name val="Noto Sans CJK SC"/>
      <family val="2"/>
    </font>
    <font>
      <b/>
      <sz val="8"/>
      <color rgb="FF808080"/>
      <name val="Cambria"/>
      <family val="1"/>
    </font>
    <font>
      <b/>
      <sz val="11"/>
      <color theme="1"/>
      <name val="Microsoft NeoGothic"/>
      <family val="3"/>
      <charset val="129"/>
    </font>
    <font>
      <sz val="9"/>
      <color rgb="FF0070C0"/>
      <name val="Noto Sans CJK SC"/>
      <family val="2"/>
      <charset val="1"/>
    </font>
    <font>
      <sz val="9"/>
      <color theme="1"/>
      <name val="Microsoft NeoGothic"/>
      <family val="3"/>
      <charset val="129"/>
    </font>
    <font>
      <sz val="9"/>
      <color theme="1"/>
      <name val="Noto Sans CJK SC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9"/>
      <color rgb="FF0070C0"/>
      <name val="Microsoft NeoGothic"/>
      <family val="3"/>
      <charset val="129"/>
    </font>
    <font>
      <b/>
      <sz val="9"/>
      <color rgb="FFFF0000"/>
      <name val="Microsoft NeoGothic"/>
      <family val="3"/>
      <charset val="129"/>
    </font>
    <font>
      <sz val="11"/>
      <color theme="1"/>
      <name val="Microsoft NeoGothic"/>
      <family val="3"/>
      <charset val="129"/>
    </font>
    <font>
      <sz val="11"/>
      <name val="Microsoft Neo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9"/>
        <bgColor rgb="FF47D45A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theme="4" tint="0.39988402966399123"/>
      </bottom>
      <diagonal/>
    </border>
    <border>
      <left/>
      <right/>
      <top style="thin">
        <color theme="4" tint="0.39988402966399123"/>
      </top>
      <bottom/>
      <diagonal/>
    </border>
    <border>
      <left style="thin">
        <color theme="1" tint="0.49989318521683401"/>
      </left>
      <right/>
      <top style="thin">
        <color theme="1" tint="0.49989318521683401"/>
      </top>
      <bottom/>
      <diagonal/>
    </border>
    <border>
      <left/>
      <right style="thin">
        <color theme="1" tint="0.49989318521683401"/>
      </right>
      <top style="thin">
        <color theme="1" tint="0.49989318521683401"/>
      </top>
      <bottom/>
      <diagonal/>
    </border>
    <border>
      <left style="thin">
        <color theme="1" tint="0.49989318521683401"/>
      </left>
      <right style="thin">
        <color theme="1" tint="0.49989318521683401"/>
      </right>
      <top style="thin">
        <color theme="1" tint="0.49989318521683401"/>
      </top>
      <bottom/>
      <diagonal/>
    </border>
    <border>
      <left style="thin">
        <color theme="1" tint="0.49989318521683401"/>
      </left>
      <right/>
      <top/>
      <bottom/>
      <diagonal/>
    </border>
    <border>
      <left/>
      <right style="thin">
        <color theme="1" tint="0.49989318521683401"/>
      </right>
      <top/>
      <bottom/>
      <diagonal/>
    </border>
    <border>
      <left style="thin">
        <color theme="1" tint="0.49989318521683401"/>
      </left>
      <right/>
      <top style="thin">
        <color theme="1" tint="0.49989318521683401"/>
      </top>
      <bottom style="thin">
        <color theme="1" tint="0.49989318521683401"/>
      </bottom>
      <diagonal/>
    </border>
    <border>
      <left/>
      <right style="thin">
        <color theme="1" tint="0.49989318521683401"/>
      </right>
      <top style="thin">
        <color theme="1" tint="0.49989318521683401"/>
      </top>
      <bottom style="thin">
        <color theme="1" tint="0.49989318521683401"/>
      </bottom>
      <diagonal/>
    </border>
    <border>
      <left/>
      <right/>
      <top style="thin">
        <color theme="1" tint="0.49989318521683401"/>
      </top>
      <bottom style="thin">
        <color theme="1" tint="0.49989318521683401"/>
      </bottom>
      <diagonal/>
    </border>
    <border>
      <left/>
      <right/>
      <top style="thin">
        <color theme="1" tint="0.49989318521683401"/>
      </top>
      <bottom/>
      <diagonal/>
    </border>
    <border>
      <left style="thin">
        <color theme="1" tint="0.49989318521683401"/>
      </left>
      <right/>
      <top/>
      <bottom style="thin">
        <color theme="1" tint="0.49989318521683401"/>
      </bottom>
      <diagonal/>
    </border>
    <border>
      <left/>
      <right/>
      <top/>
      <bottom style="thin">
        <color theme="1" tint="0.49989318521683401"/>
      </bottom>
      <diagonal/>
    </border>
    <border>
      <left/>
      <right style="thin">
        <color theme="1" tint="0.49989318521683401"/>
      </right>
      <top/>
      <bottom style="thin">
        <color theme="1" tint="0.49989318521683401"/>
      </bottom>
      <diagonal/>
    </border>
    <border>
      <left style="thin">
        <color theme="1" tint="0.4998931852168340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1" tint="0.49989318521683401"/>
      </right>
      <top/>
      <bottom style="thin">
        <color auto="1"/>
      </bottom>
      <diagonal/>
    </border>
    <border>
      <left style="thin">
        <color theme="1" tint="0.49989318521683401"/>
      </left>
      <right/>
      <top/>
      <bottom style="thin">
        <color theme="4" tint="0.39988402966399123"/>
      </bottom>
      <diagonal/>
    </border>
    <border>
      <left/>
      <right style="thin">
        <color theme="1" tint="0.49989318521683401"/>
      </right>
      <top/>
      <bottom style="thin">
        <color theme="4" tint="0.39988402966399123"/>
      </bottom>
      <diagonal/>
    </border>
    <border>
      <left style="thin">
        <color theme="1" tint="0.49989318521683401"/>
      </left>
      <right/>
      <top style="thin">
        <color theme="4" tint="0.39988402966399123"/>
      </top>
      <bottom style="thin">
        <color theme="1" tint="0.49989318521683401"/>
      </bottom>
      <diagonal/>
    </border>
    <border>
      <left/>
      <right/>
      <top style="thin">
        <color theme="4" tint="0.39988402966399123"/>
      </top>
      <bottom style="thin">
        <color theme="1" tint="0.49989318521683401"/>
      </bottom>
      <diagonal/>
    </border>
    <border>
      <left/>
      <right style="thin">
        <color theme="1" tint="0.49989318521683401"/>
      </right>
      <top style="thin">
        <color theme="4" tint="0.39988402966399123"/>
      </top>
      <bottom style="thin">
        <color theme="1" tint="0.49989318521683401"/>
      </bottom>
      <diagonal/>
    </border>
    <border>
      <left/>
      <right/>
      <top style="thin">
        <color theme="9" tint="0.39988402966399123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4">
    <xf numFmtId="0" fontId="0" fillId="0" borderId="0"/>
    <xf numFmtId="0" fontId="24" fillId="0" borderId="0">
      <alignment horizontal="left"/>
    </xf>
    <xf numFmtId="0" fontId="24" fillId="0" borderId="0"/>
    <xf numFmtId="0" fontId="24" fillId="0" borderId="0"/>
    <xf numFmtId="0" fontId="1" fillId="0" borderId="0"/>
    <xf numFmtId="0" fontId="1" fillId="0" borderId="0">
      <alignment horizontal="left"/>
    </xf>
    <xf numFmtId="0" fontId="24" fillId="0" borderId="0"/>
    <xf numFmtId="176" fontId="24" fillId="0" borderId="0"/>
    <xf numFmtId="176" fontId="24" fillId="0" borderId="0"/>
    <xf numFmtId="0" fontId="2" fillId="0" borderId="0">
      <alignment vertical="center"/>
    </xf>
    <xf numFmtId="0" fontId="3" fillId="0" borderId="0"/>
    <xf numFmtId="0" fontId="24" fillId="0" borderId="0"/>
    <xf numFmtId="0" fontId="3" fillId="0" borderId="0"/>
    <xf numFmtId="9" fontId="24" fillId="0" borderId="0" applyFont="0" applyFill="0" applyBorder="0" applyAlignment="0" applyProtection="0">
      <alignment vertical="center"/>
    </xf>
  </cellStyleXfs>
  <cellXfs count="132">
    <xf numFmtId="0" fontId="0" fillId="0" borderId="0" xfId="0"/>
    <xf numFmtId="0" fontId="4" fillId="2" borderId="0" xfId="0" applyFont="1" applyFill="1"/>
    <xf numFmtId="0" fontId="4" fillId="0" borderId="0" xfId="0" applyFont="1"/>
    <xf numFmtId="0" fontId="5" fillId="3" borderId="0" xfId="0" applyFont="1" applyFill="1"/>
    <xf numFmtId="0" fontId="5" fillId="3" borderId="1" xfId="0" applyFont="1" applyFill="1" applyBorder="1" applyAlignment="1">
      <alignment horizontal="center" vertical="center"/>
    </xf>
    <xf numFmtId="177" fontId="4" fillId="0" borderId="0" xfId="0" applyNumberFormat="1" applyFont="1"/>
    <xf numFmtId="177" fontId="5" fillId="3" borderId="2" xfId="0" applyNumberFormat="1" applyFont="1" applyFill="1" applyBorder="1"/>
    <xf numFmtId="177" fontId="4" fillId="2" borderId="0" xfId="0" applyNumberFormat="1" applyFont="1" applyFill="1"/>
    <xf numFmtId="178" fontId="4" fillId="0" borderId="0" xfId="0" applyNumberFormat="1" applyFont="1"/>
    <xf numFmtId="178" fontId="5" fillId="3" borderId="2" xfId="0" applyNumberFormat="1" applyFont="1" applyFill="1" applyBorder="1"/>
    <xf numFmtId="10" fontId="4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3" xfId="0" applyFont="1" applyFill="1" applyBorder="1"/>
    <xf numFmtId="0" fontId="5" fillId="3" borderId="4" xfId="0" applyFont="1" applyFill="1" applyBorder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178" fontId="6" fillId="0" borderId="7" xfId="0" applyNumberFormat="1" applyFont="1" applyBorder="1" applyAlignment="1">
      <alignment vertical="center"/>
    </xf>
    <xf numFmtId="177" fontId="4" fillId="0" borderId="6" xfId="0" applyNumberFormat="1" applyFont="1" applyBorder="1" applyAlignment="1">
      <alignment vertical="center"/>
    </xf>
    <xf numFmtId="177" fontId="4" fillId="0" borderId="0" xfId="0" applyNumberFormat="1" applyFont="1" applyAlignment="1">
      <alignment vertical="center"/>
    </xf>
    <xf numFmtId="178" fontId="7" fillId="0" borderId="7" xfId="0" applyNumberFormat="1" applyFont="1" applyBorder="1" applyAlignment="1">
      <alignment vertical="center"/>
    </xf>
    <xf numFmtId="179" fontId="7" fillId="0" borderId="7" xfId="0" applyNumberFormat="1" applyFont="1" applyBorder="1" applyAlignment="1">
      <alignment vertical="center"/>
    </xf>
    <xf numFmtId="178" fontId="7" fillId="0" borderId="0" xfId="0" applyNumberFormat="1" applyFont="1" applyAlignment="1">
      <alignment vertical="center"/>
    </xf>
    <xf numFmtId="177" fontId="4" fillId="0" borderId="7" xfId="0" applyNumberFormat="1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177" fontId="5" fillId="3" borderId="8" xfId="0" applyNumberFormat="1" applyFont="1" applyFill="1" applyBorder="1" applyAlignment="1">
      <alignment vertical="center"/>
    </xf>
    <xf numFmtId="178" fontId="6" fillId="3" borderId="9" xfId="0" applyNumberFormat="1" applyFont="1" applyFill="1" applyBorder="1" applyAlignment="1">
      <alignment vertical="center"/>
    </xf>
    <xf numFmtId="180" fontId="6" fillId="3" borderId="9" xfId="0" applyNumberFormat="1" applyFont="1" applyFill="1" applyBorder="1" applyAlignment="1">
      <alignment vertical="center"/>
    </xf>
    <xf numFmtId="178" fontId="6" fillId="3" borderId="10" xfId="0" applyNumberFormat="1" applyFont="1" applyFill="1" applyBorder="1" applyAlignment="1">
      <alignment vertical="center"/>
    </xf>
    <xf numFmtId="177" fontId="5" fillId="3" borderId="10" xfId="0" applyNumberFormat="1" applyFont="1" applyFill="1" applyBorder="1" applyAlignment="1">
      <alignment vertical="center"/>
    </xf>
    <xf numFmtId="177" fontId="5" fillId="3" borderId="9" xfId="0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5" fillId="3" borderId="11" xfId="0" applyFont="1" applyFill="1" applyBorder="1"/>
    <xf numFmtId="0" fontId="5" fillId="2" borderId="6" xfId="0" applyFont="1" applyFill="1" applyBorder="1" applyAlignment="1">
      <alignment horizontal="left"/>
    </xf>
    <xf numFmtId="177" fontId="4" fillId="2" borderId="0" xfId="0" applyNumberFormat="1" applyFont="1" applyFill="1" applyAlignment="1">
      <alignment vertical="center"/>
    </xf>
    <xf numFmtId="178" fontId="6" fillId="2" borderId="0" xfId="0" applyNumberFormat="1" applyFont="1" applyFill="1" applyAlignment="1">
      <alignment vertical="center"/>
    </xf>
    <xf numFmtId="179" fontId="6" fillId="2" borderId="0" xfId="0" applyNumberFormat="1" applyFont="1" applyFill="1" applyAlignment="1">
      <alignment vertical="center"/>
    </xf>
    <xf numFmtId="177" fontId="4" fillId="2" borderId="7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left"/>
    </xf>
    <xf numFmtId="0" fontId="5" fillId="2" borderId="12" xfId="0" applyFont="1" applyFill="1" applyBorder="1" applyAlignment="1">
      <alignment horizontal="left"/>
    </xf>
    <xf numFmtId="177" fontId="4" fillId="2" borderId="13" xfId="0" applyNumberFormat="1" applyFont="1" applyFill="1" applyBorder="1" applyAlignment="1">
      <alignment vertical="center"/>
    </xf>
    <xf numFmtId="178" fontId="6" fillId="2" borderId="13" xfId="0" applyNumberFormat="1" applyFont="1" applyFill="1" applyBorder="1" applyAlignment="1">
      <alignment vertical="center"/>
    </xf>
    <xf numFmtId="179" fontId="6" fillId="2" borderId="13" xfId="0" applyNumberFormat="1" applyFont="1" applyFill="1" applyBorder="1" applyAlignment="1">
      <alignment vertical="center"/>
    </xf>
    <xf numFmtId="177" fontId="4" fillId="2" borderId="14" xfId="0" applyNumberFormat="1" applyFont="1" applyFill="1" applyBorder="1" applyAlignment="1">
      <alignment vertical="center"/>
    </xf>
    <xf numFmtId="0" fontId="5" fillId="3" borderId="16" xfId="0" applyFont="1" applyFill="1" applyBorder="1" applyAlignment="1">
      <alignment vertical="center"/>
    </xf>
    <xf numFmtId="177" fontId="5" fillId="3" borderId="16" xfId="0" applyNumberFormat="1" applyFont="1" applyFill="1" applyBorder="1" applyAlignment="1">
      <alignment vertical="center"/>
    </xf>
    <xf numFmtId="178" fontId="6" fillId="3" borderId="16" xfId="0" applyNumberFormat="1" applyFont="1" applyFill="1" applyBorder="1" applyAlignment="1">
      <alignment vertical="center"/>
    </xf>
    <xf numFmtId="180" fontId="6" fillId="3" borderId="16" xfId="0" applyNumberFormat="1" applyFont="1" applyFill="1" applyBorder="1" applyAlignment="1">
      <alignment vertical="center"/>
    </xf>
    <xf numFmtId="177" fontId="5" fillId="3" borderId="17" xfId="0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77" fontId="5" fillId="3" borderId="0" xfId="0" applyNumberFormat="1" applyFont="1" applyFill="1"/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5" fillId="3" borderId="3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3" borderId="19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3" borderId="21" xfId="0" applyFont="1" applyFill="1" applyBorder="1"/>
    <xf numFmtId="177" fontId="5" fillId="3" borderId="20" xfId="0" applyNumberFormat="1" applyFont="1" applyFill="1" applyBorder="1"/>
    <xf numFmtId="177" fontId="5" fillId="3" borderId="22" xfId="0" applyNumberFormat="1" applyFont="1" applyFill="1" applyBorder="1"/>
    <xf numFmtId="177" fontId="5" fillId="3" borderId="21" xfId="0" applyNumberFormat="1" applyFont="1" applyFill="1" applyBorder="1"/>
    <xf numFmtId="182" fontId="4" fillId="0" borderId="0" xfId="0" applyNumberFormat="1" applyFont="1"/>
    <xf numFmtId="181" fontId="4" fillId="0" borderId="0" xfId="0" applyNumberFormat="1" applyFont="1"/>
    <xf numFmtId="0" fontId="12" fillId="4" borderId="0" xfId="0" applyFont="1" applyFill="1"/>
    <xf numFmtId="182" fontId="12" fillId="4" borderId="0" xfId="0" applyNumberFormat="1" applyFont="1" applyFill="1"/>
    <xf numFmtId="181" fontId="12" fillId="4" borderId="0" xfId="0" applyNumberFormat="1" applyFont="1" applyFill="1"/>
    <xf numFmtId="181" fontId="12" fillId="4" borderId="0" xfId="0" applyNumberFormat="1" applyFont="1" applyFill="1" applyAlignment="1">
      <alignment wrapText="1"/>
    </xf>
    <xf numFmtId="9" fontId="12" fillId="4" borderId="0" xfId="0" applyNumberFormat="1" applyFont="1" applyFill="1" applyAlignment="1">
      <alignment wrapText="1"/>
    </xf>
    <xf numFmtId="0" fontId="13" fillId="0" borderId="23" xfId="0" applyFont="1" applyBorder="1"/>
    <xf numFmtId="182" fontId="13" fillId="0" borderId="23" xfId="0" applyNumberFormat="1" applyFont="1" applyBorder="1"/>
    <xf numFmtId="0" fontId="14" fillId="0" borderId="23" xfId="0" applyFont="1" applyBorder="1"/>
    <xf numFmtId="181" fontId="13" fillId="0" borderId="23" xfId="0" applyNumberFormat="1" applyFont="1" applyBorder="1"/>
    <xf numFmtId="9" fontId="13" fillId="0" borderId="23" xfId="0" applyNumberFormat="1" applyFont="1" applyBorder="1"/>
    <xf numFmtId="0" fontId="13" fillId="0" borderId="0" xfId="0" applyFont="1"/>
    <xf numFmtId="182" fontId="13" fillId="0" borderId="0" xfId="0" applyNumberFormat="1" applyFont="1"/>
    <xf numFmtId="0" fontId="14" fillId="0" borderId="0" xfId="0" applyFont="1"/>
    <xf numFmtId="181" fontId="13" fillId="0" borderId="0" xfId="0" applyNumberFormat="1" applyFont="1"/>
    <xf numFmtId="9" fontId="13" fillId="0" borderId="0" xfId="0" applyNumberFormat="1" applyFont="1"/>
    <xf numFmtId="49" fontId="13" fillId="0" borderId="0" xfId="0" applyNumberFormat="1" applyFont="1"/>
    <xf numFmtId="0" fontId="2" fillId="0" borderId="0" xfId="0" applyFont="1" applyAlignment="1">
      <alignment vertical="center"/>
    </xf>
    <xf numFmtId="0" fontId="16" fillId="3" borderId="1" xfId="0" applyFont="1" applyFill="1" applyBorder="1"/>
    <xf numFmtId="0" fontId="17" fillId="0" borderId="0" xfId="0" applyFont="1" applyAlignment="1">
      <alignment vertical="center"/>
    </xf>
    <xf numFmtId="0" fontId="18" fillId="0" borderId="0" xfId="0" applyFont="1"/>
    <xf numFmtId="0" fontId="20" fillId="0" borderId="1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21" fillId="0" borderId="0" xfId="0" applyFont="1"/>
    <xf numFmtId="0" fontId="20" fillId="5" borderId="1" xfId="0" applyFont="1" applyFill="1" applyBorder="1" applyAlignment="1">
      <alignment horizontal="left"/>
    </xf>
    <xf numFmtId="0" fontId="17" fillId="5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26" fillId="0" borderId="0" xfId="0" applyFont="1" applyAlignment="1">
      <alignment vertical="center"/>
    </xf>
    <xf numFmtId="0" fontId="20" fillId="6" borderId="1" xfId="0" applyFont="1" applyFill="1" applyBorder="1" applyAlignment="1">
      <alignment horizontal="left"/>
    </xf>
    <xf numFmtId="0" fontId="17" fillId="6" borderId="0" xfId="0" applyFont="1" applyFill="1" applyAlignment="1">
      <alignment horizontal="left"/>
    </xf>
    <xf numFmtId="0" fontId="4" fillId="2" borderId="0" xfId="0" applyFont="1" applyFill="1" applyAlignment="1">
      <alignment horizontal="right" vertical="center"/>
    </xf>
    <xf numFmtId="0" fontId="27" fillId="0" borderId="0" xfId="0" applyFont="1"/>
    <xf numFmtId="0" fontId="4" fillId="0" borderId="0" xfId="0" applyFont="1" applyAlignment="1">
      <alignment horizontal="left"/>
    </xf>
    <xf numFmtId="177" fontId="5" fillId="3" borderId="1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3" borderId="20" xfId="0" applyFont="1" applyFill="1" applyBorder="1" applyAlignment="1">
      <alignment horizontal="left"/>
    </xf>
    <xf numFmtId="0" fontId="26" fillId="0" borderId="0" xfId="0" applyFont="1" applyAlignment="1">
      <alignment horizontal="left"/>
    </xf>
    <xf numFmtId="0" fontId="13" fillId="0" borderId="24" xfId="0" applyFont="1" applyBorder="1"/>
    <xf numFmtId="14" fontId="13" fillId="0" borderId="0" xfId="0" applyNumberFormat="1" applyFont="1"/>
    <xf numFmtId="181" fontId="13" fillId="0" borderId="24" xfId="0" applyNumberFormat="1" applyFont="1" applyBorder="1"/>
    <xf numFmtId="9" fontId="13" fillId="0" borderId="24" xfId="13" applyFont="1" applyBorder="1" applyAlignment="1"/>
    <xf numFmtId="9" fontId="13" fillId="0" borderId="0" xfId="13" applyFont="1" applyBorder="1" applyAlignment="1"/>
    <xf numFmtId="0" fontId="28" fillId="0" borderId="0" xfId="0" applyFont="1"/>
    <xf numFmtId="0" fontId="5" fillId="3" borderId="0" xfId="0" applyFont="1" applyFill="1" applyAlignment="1">
      <alignment horizontal="center"/>
    </xf>
    <xf numFmtId="0" fontId="5" fillId="3" borderId="1" xfId="0" applyFont="1" applyFill="1" applyBorder="1"/>
    <xf numFmtId="0" fontId="5" fillId="3" borderId="2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30" fillId="0" borderId="0" xfId="0" applyFont="1"/>
    <xf numFmtId="0" fontId="4" fillId="2" borderId="13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</cellXfs>
  <cellStyles count="14"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  <cellStyle name="백분율" xfId="13" builtinId="5"/>
    <cellStyle name="쉼표 [0] 11" xfId="7" xr:uid="{00000000-0005-0000-0000-00000C000000}"/>
    <cellStyle name="쉼표 [0] 2" xfId="8" xr:uid="{00000000-0005-0000-0000-00000D000000}"/>
    <cellStyle name="표준" xfId="0" builtinId="0"/>
    <cellStyle name="표준 2" xfId="9" xr:uid="{00000000-0005-0000-0000-00000E000000}"/>
    <cellStyle name="표준 2 2" xfId="10" xr:uid="{00000000-0005-0000-0000-00000F000000}"/>
    <cellStyle name="표준 42 39" xfId="11" xr:uid="{00000000-0005-0000-0000-000010000000}"/>
    <cellStyle name="표준 5" xfId="12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47D45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2AA84"/>
      <rgbColor rgb="FFCC99FF"/>
      <rgbColor rgb="FFF6C6AD"/>
      <rgbColor rgb="FF3366FF"/>
      <rgbColor rgb="FF46B1E1"/>
      <rgbColor rgb="FF8ED973"/>
      <rgbColor rgb="FFFFCC00"/>
      <rgbColor rgb="FFFF9900"/>
      <rgbColor rgb="FFFF6600"/>
      <rgbColor rgb="FF666699"/>
      <rgbColor rgb="FF7F7F7F"/>
      <rgbColor rgb="FF104862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N1083" totalsRowShown="0">
  <autoFilter ref="A1:N1083" xr:uid="{00000000-0009-0000-0100-000001000000}">
    <filterColumn colId="4">
      <filters>
        <filter val="신세계센텀점"/>
      </filters>
    </filterColumn>
  </autoFilter>
  <tableColumns count="14">
    <tableColumn id="1" xr3:uid="{00000000-0010-0000-0000-000001000000}" name="년"/>
    <tableColumn id="2" xr3:uid="{00000000-0010-0000-0000-000002000000}" name="월"/>
    <tableColumn id="3" xr3:uid="{00000000-0010-0000-0000-000003000000}" name="년-월"/>
    <tableColumn id="4" xr3:uid="{00000000-0010-0000-0000-000004000000}" name="매장코드"/>
    <tableColumn id="5" xr3:uid="{00000000-0010-0000-0000-000005000000}" name="매장명"/>
    <tableColumn id="6" xr3:uid="{00000000-0010-0000-0000-000006000000}" name="구분"/>
    <tableColumn id="7" xr3:uid="{00000000-0010-0000-0000-000007000000}" name="매출금액"/>
    <tableColumn id="8" xr3:uid="{00000000-0010-0000-0000-000008000000}" name="수금액(V+)"/>
    <tableColumn id="9" xr3:uid="{00000000-0010-0000-0000-000009000000}" name="수금액(V-)"/>
    <tableColumn id="10" xr3:uid="{00000000-0010-0000-0000-00000A000000}" name="생산원가(V-)"/>
    <tableColumn id="11" xr3:uid="{00000000-0010-0000-0000-00000B000000}" name="영업이익(V-)"/>
    <tableColumn id="12" xr3:uid="{00000000-0010-0000-0000-00000C000000}" name="총경비"/>
    <tableColumn id="13" xr3:uid="{00000000-0010-0000-0000-00000D000000}" name="영업이익-총경비_x000a_(순이익)"/>
    <tableColumn id="14" xr3:uid="{00000000-0010-0000-0000-00000E000000}" name="영업이익-총경비_x000a_(순이익율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7D45A"/>
  </sheetPr>
  <dimension ref="A1:IO60"/>
  <sheetViews>
    <sheetView zoomScaleNormal="10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T14" sqref="T14"/>
    </sheetView>
  </sheetViews>
  <sheetFormatPr defaultColWidth="8.796875" defaultRowHeight="14.4" outlineLevelCol="1"/>
  <cols>
    <col min="1" max="1" width="8.796875" style="1"/>
    <col min="2" max="2" width="6.796875" style="2" customWidth="1"/>
    <col min="3" max="3" width="9.69921875" style="2" customWidth="1"/>
    <col min="4" max="4" width="9.59765625" style="2" customWidth="1"/>
    <col min="5" max="5" width="8.8984375" style="2" customWidth="1"/>
    <col min="6" max="6" width="8.796875" style="2"/>
    <col min="7" max="7" width="9" style="2" customWidth="1"/>
    <col min="8" max="8" width="9.19921875" style="2" customWidth="1"/>
    <col min="9" max="9" width="8.8984375" style="2" customWidth="1"/>
    <col min="10" max="11" width="8.796875" style="2"/>
    <col min="12" max="12" width="9.09765625" style="2" customWidth="1"/>
    <col min="13" max="13" width="13.3984375" style="2" hidden="1" customWidth="1" outlineLevel="1"/>
    <col min="14" max="14" width="15.09765625" style="2" hidden="1" customWidth="1" outlineLevel="1"/>
    <col min="15" max="15" width="16.09765625" style="2" hidden="1" customWidth="1" outlineLevel="1"/>
    <col min="16" max="16" width="12" style="2" hidden="1" customWidth="1" outlineLevel="1"/>
    <col min="17" max="17" width="16.09765625" style="2" hidden="1" customWidth="1" outlineLevel="1"/>
    <col min="18" max="18" width="8.796875" style="1" collapsed="1"/>
    <col min="19" max="249" width="8.796875" style="1"/>
    <col min="250" max="16384" width="8.796875" style="2"/>
  </cols>
  <sheetData>
    <row r="1" spans="2:24" s="1" customFormat="1" ht="14.25" customHeight="1">
      <c r="W1" s="111" t="s">
        <v>220</v>
      </c>
    </row>
    <row r="2" spans="2:24" s="1" customFormat="1" ht="30" customHeight="1">
      <c r="B2" s="124" t="s">
        <v>0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S2" s="98" t="s">
        <v>221</v>
      </c>
      <c r="W2" s="1" t="s">
        <v>1</v>
      </c>
      <c r="X2" s="1">
        <v>2025</v>
      </c>
    </row>
    <row r="3" spans="2:24" s="1" customFormat="1" ht="15" customHeight="1">
      <c r="L3" s="1" t="s">
        <v>2</v>
      </c>
      <c r="W3" s="1" t="s">
        <v>3</v>
      </c>
      <c r="X3" s="1">
        <v>2026</v>
      </c>
    </row>
    <row r="4" spans="2:24" ht="15" customHeight="1">
      <c r="B4" s="3" t="str">
        <f>("("&amp;$X$4&amp;"~"&amp;$X$5&amp;"월)")</f>
        <v>(1~5월)</v>
      </c>
      <c r="C4" s="127" t="s">
        <v>4</v>
      </c>
      <c r="D4" s="127"/>
      <c r="E4" s="127" t="s">
        <v>5</v>
      </c>
      <c r="F4" s="127"/>
      <c r="G4" s="127" t="s">
        <v>6</v>
      </c>
      <c r="H4" s="127"/>
      <c r="I4" s="127" t="s">
        <v>7</v>
      </c>
      <c r="J4" s="127"/>
      <c r="K4" s="127" t="s">
        <v>8</v>
      </c>
      <c r="L4" s="127"/>
      <c r="M4" s="127" t="s">
        <v>9</v>
      </c>
      <c r="N4" s="127"/>
      <c r="O4" s="127"/>
      <c r="P4" s="127"/>
      <c r="Q4" s="127"/>
      <c r="W4" s="1" t="s">
        <v>10</v>
      </c>
      <c r="X4" s="1">
        <v>1</v>
      </c>
    </row>
    <row r="5" spans="2:24" ht="15" customHeight="1">
      <c r="B5" s="113" t="s">
        <v>11</v>
      </c>
      <c r="C5" s="4">
        <v>2025</v>
      </c>
      <c r="D5" s="4">
        <v>2026</v>
      </c>
      <c r="E5" s="4">
        <v>2025</v>
      </c>
      <c r="F5" s="4">
        <v>2026</v>
      </c>
      <c r="G5" s="4">
        <v>2025</v>
      </c>
      <c r="H5" s="4">
        <v>2026</v>
      </c>
      <c r="I5" s="4">
        <v>2025</v>
      </c>
      <c r="J5" s="4">
        <v>2026</v>
      </c>
      <c r="K5" s="4">
        <v>2025</v>
      </c>
      <c r="L5" s="4">
        <v>2026</v>
      </c>
      <c r="M5" s="112" t="s">
        <v>12</v>
      </c>
      <c r="N5" s="112" t="s">
        <v>13</v>
      </c>
      <c r="O5" s="112" t="s">
        <v>14</v>
      </c>
      <c r="P5" s="112" t="s">
        <v>15</v>
      </c>
      <c r="Q5" s="112" t="s">
        <v>16</v>
      </c>
      <c r="W5" s="1" t="s">
        <v>17</v>
      </c>
      <c r="X5" s="1">
        <v>5</v>
      </c>
    </row>
    <row r="6" spans="2:24" ht="14.25" customHeight="1">
      <c r="B6" s="99" t="s">
        <v>18</v>
      </c>
      <c r="C6" s="5">
        <f>SUMIFS(표1[매출금액],표1[구분],"동일",표1[년],$X$2,표1[월],"&gt;="&amp;$X$4,표1[월],"&lt;="&amp;$X$5)</f>
        <v>14422510974</v>
      </c>
      <c r="D6" s="5">
        <f>SUMIFS(표1[매출금액],표1[구분],"동일",표1[년],$X$3,표1[월],"&gt;="&amp;$X$4,표1[월],"&lt;="&amp;$X$5)</f>
        <v>15777050580</v>
      </c>
      <c r="E6" s="5">
        <f>SUMIFS(표1[수금액(V+)],표1[구분],"동일",표1[년],$X$2,표1[월],"&gt;="&amp;$X$4,표1[월],"&lt;="&amp;$X$5)</f>
        <v>9595031940</v>
      </c>
      <c r="F6" s="5">
        <f>SUMIFS(표1[수금액(V+)],표1[구분],"동일",표1[년],$X$3,표1[월],"&gt;="&amp;$X$4,표1[월],"&lt;="&amp;$X$5)</f>
        <v>10388921006</v>
      </c>
      <c r="G6" s="5">
        <f>SUMIFS(표1[생산원가(V-)],표1[구분],"동일",표1[년],$X$2,표1[월],"&gt;="&amp;$X$4,표1[월],"&lt;="&amp;$X$5)</f>
        <v>4474694123</v>
      </c>
      <c r="H6" s="5">
        <f>SUMIFS(표1[생산원가(V-)],표1[구분],"동일",표1[년],$X$3,표1[월],"&gt;="&amp;$X$4,표1[월],"&lt;="&amp;$X$5)</f>
        <v>4600259340</v>
      </c>
      <c r="I6" s="5">
        <f>SUMIFS(표1[총경비],표1[구분],"동일",표1[년],$X$2,표1[월],"&gt;="&amp;$X$4,표1[월],"&lt;="&amp;$X$5)</f>
        <v>2219504148</v>
      </c>
      <c r="J6" s="5">
        <f>SUMIFS(표1[총경비],표1[구분],"동일",표1[년],$X$3,표1[월],"&gt;="&amp;$X$4,표1[월],"&lt;="&amp;$X$5)</f>
        <v>2385842435</v>
      </c>
      <c r="K6" s="5">
        <f>SUMIFS(표1[영업이익(V-)],표1[구분],"동일",표1[년],$X$2,표1[월],"&gt;="&amp;$X$4,표1[월],"&lt;="&amp;$X$5)</f>
        <v>4248062190</v>
      </c>
      <c r="L6" s="5">
        <f>SUMIFS(표1[영업이익(V-)],표1[구분],"동일",표1[년],$X$3,표1[월],"&gt;="&amp;$X$4,표1[월],"&lt;="&amp;$X$5)</f>
        <v>4844214303</v>
      </c>
      <c r="M6" s="5">
        <f>D6-C6</f>
        <v>1354539606</v>
      </c>
      <c r="N6" s="5">
        <f>F6-E6</f>
        <v>793889066</v>
      </c>
      <c r="O6" s="5">
        <f>H6-G6</f>
        <v>125565217</v>
      </c>
      <c r="P6" s="5">
        <f>J6-I6</f>
        <v>166338287</v>
      </c>
      <c r="Q6" s="5">
        <f>L6-K6</f>
        <v>596152113</v>
      </c>
    </row>
    <row r="7" spans="2:24" ht="14.25" customHeight="1">
      <c r="B7" s="99" t="s">
        <v>19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f>D7-C7</f>
        <v>0</v>
      </c>
      <c r="N7" s="5">
        <f>F7-E7</f>
        <v>0</v>
      </c>
      <c r="O7" s="5">
        <f>H7-G7</f>
        <v>0</v>
      </c>
      <c r="P7" s="5">
        <f>J7-I7</f>
        <v>0</v>
      </c>
      <c r="Q7" s="5">
        <f>L7-K7</f>
        <v>0</v>
      </c>
    </row>
    <row r="8" spans="2:24" ht="14.25" customHeight="1">
      <c r="B8" s="99" t="s">
        <v>20</v>
      </c>
      <c r="C8" s="5">
        <f>SUMIFS(표1[매출금액],표1[구분],"폐점",표1[년],$X$2,표1[월],"&gt;="&amp;$X$4,표1[월],"&lt;="&amp;$X$5)</f>
        <v>417681420</v>
      </c>
      <c r="D8" s="5">
        <f>SUMIFS(표1[매출금액],표1[구분],"폐점",표1[년],$X$3,표1[월],"&gt;="&amp;$X$4,표1[월],"&lt;="&amp;$X$5)</f>
        <v>341598380</v>
      </c>
      <c r="E8" s="5">
        <f>SUMIFS(표1[수금액(V+)],표1[구분],"폐점",표1[년],$X$2,표1[월],"&gt;="&amp;$X$4,표1[월],"&lt;="&amp;$X$5)</f>
        <v>264322482</v>
      </c>
      <c r="F8" s="5">
        <f>SUMIFS(표1[수금액(V+)],표1[구분],"폐점",표1[년],$X$3,표1[월],"&gt;="&amp;$X$4,표1[월],"&lt;="&amp;$X$5)</f>
        <v>216949145</v>
      </c>
      <c r="G8" s="5">
        <f>SUMIFS(표1[생산원가(V-)],표1[구분],"폐점",표1[년],$X$2,표1[월],"&gt;="&amp;$X$4,표1[월],"&lt;="&amp;$X$5)</f>
        <v>130013101</v>
      </c>
      <c r="H8" s="5">
        <f>SUMIFS(표1[생산원가(V-)],표1[구분],"폐점",표1[년],$X$3,표1[월],"&gt;="&amp;$X$4,표1[월],"&lt;="&amp;$X$5)</f>
        <v>98933054</v>
      </c>
      <c r="I8" s="5">
        <f>SUMIFS(표1[총경비],표1[구분],"폐점",표1[년],$X$2,표1[월],"&gt;="&amp;$X$4,표1[월],"&lt;="&amp;$X$5)</f>
        <v>78643790</v>
      </c>
      <c r="J8" s="5">
        <f>SUMIFS(표1[총경비],표1[구분],"폐점",표1[년],$X$3,표1[월],"&gt;="&amp;$X$4,표1[월],"&lt;="&amp;$X$5)</f>
        <v>40754380</v>
      </c>
      <c r="K8" s="5">
        <f>SUMIFS(표1[영업이익(V-)],표1[구분],"폐점",표1[년],$X$2,표1[월],"&gt;="&amp;$X$4,표1[월],"&lt;="&amp;$X$5)</f>
        <v>110280065</v>
      </c>
      <c r="L8" s="5">
        <f>SUMIFS(표1[영업이익(V-)],표1[구분],"폐점",표1[년],$X$3,표1[월],"&gt;="&amp;$X$4,표1[월],"&lt;="&amp;$X$5)</f>
        <v>98293442</v>
      </c>
      <c r="M8" s="5">
        <f>D8-C8</f>
        <v>-76083040</v>
      </c>
      <c r="N8" s="5">
        <f>F8-E8</f>
        <v>-47373337</v>
      </c>
      <c r="O8" s="5">
        <f>H8-G8</f>
        <v>-31080047</v>
      </c>
      <c r="P8" s="5">
        <f>J8-I8</f>
        <v>-37889410</v>
      </c>
      <c r="Q8" s="5">
        <f>L8-K8</f>
        <v>-11986623</v>
      </c>
    </row>
    <row r="9" spans="2:24" ht="14.25" customHeight="1">
      <c r="B9" s="99" t="s">
        <v>21</v>
      </c>
      <c r="C9" s="5">
        <f>SUMIFS(표1[매출금액],표1[구분],"행사",표1[년],$X$2,표1[월],"&gt;="&amp;$X$4,표1[월],"&lt;="&amp;$X$5)</f>
        <v>51781440</v>
      </c>
      <c r="D9" s="5">
        <f>SUMIFS(표1[매출금액],표1[구분],"행사",표1[년],$X$3,표1[월],"&gt;="&amp;$X$4,표1[월],"&lt;="&amp;$X$5)</f>
        <v>126402630</v>
      </c>
      <c r="E9" s="5">
        <f>SUMIFS(표1[수금액(V+)],표1[구분],"행사",표1[년],$X$2,표1[월],"&gt;="&amp;$X$4,표1[월],"&lt;="&amp;$X$5)</f>
        <v>39612855</v>
      </c>
      <c r="F9" s="5">
        <f>SUMIFS(표1[수금액(V+)],표1[구분],"행사",표1[년],$X$3,표1[월],"&gt;="&amp;$X$4,표1[월],"&lt;="&amp;$X$5)</f>
        <v>87509788</v>
      </c>
      <c r="G9" s="5">
        <f>SUMIFS(표1[생산원가(V-)],표1[구분],"행사",표1[년],$X$2,표1[월],"&gt;="&amp;$X$4,표1[월],"&lt;="&amp;$X$5)</f>
        <v>16155346</v>
      </c>
      <c r="H9" s="5">
        <f>SUMIFS(표1[생산원가(V-)],표1[구분],"행사",표1[년],$X$3,표1[월],"&gt;="&amp;$X$4,표1[월],"&lt;="&amp;$X$5)</f>
        <v>33716815</v>
      </c>
      <c r="I9" s="5">
        <f>SUMIFS(표1[총경비],표1[구분],"행사",표1[년],$X$2,표1[월],"&gt;="&amp;$X$4,표1[월],"&lt;="&amp;$X$5)</f>
        <v>7987030</v>
      </c>
      <c r="J9" s="5">
        <f>SUMIFS(표1[총경비],표1[구분],"행사",표1[년],$X$3,표1[월],"&gt;="&amp;$X$4,표1[월],"&lt;="&amp;$X$5)</f>
        <v>4640000</v>
      </c>
      <c r="K9" s="5">
        <f>SUMIFS(표1[영업이익(V-)],표1[구분],"행사",표1[년],$X$2,표1[월],"&gt;="&amp;$X$4,표1[월],"&lt;="&amp;$X$5)</f>
        <v>19856341</v>
      </c>
      <c r="L9" s="5">
        <f>SUMIFS(표1[영업이익(V-)],표1[구분],"행사",표1[년],$X$3,표1[월],"&gt;="&amp;$X$4,표1[월],"&lt;="&amp;$X$5)</f>
        <v>45837538</v>
      </c>
      <c r="M9" s="5">
        <f>D9-C9</f>
        <v>74621190</v>
      </c>
      <c r="N9" s="5">
        <f>F9-E9</f>
        <v>47896933</v>
      </c>
      <c r="O9" s="5">
        <f>H9-G9</f>
        <v>17561469</v>
      </c>
      <c r="P9" s="5">
        <f>J9-I9</f>
        <v>-3347030</v>
      </c>
      <c r="Q9" s="5">
        <f>L9-K9</f>
        <v>25981197</v>
      </c>
    </row>
    <row r="10" spans="2:24" ht="14.25" customHeight="1">
      <c r="B10" s="114" t="s">
        <v>22</v>
      </c>
      <c r="C10" s="6">
        <f t="shared" ref="C10:Q10" si="0">SUM(C6:C9)</f>
        <v>14891973834</v>
      </c>
      <c r="D10" s="6">
        <f t="shared" si="0"/>
        <v>16245051590</v>
      </c>
      <c r="E10" s="6">
        <f t="shared" si="0"/>
        <v>9898967277</v>
      </c>
      <c r="F10" s="6">
        <f t="shared" si="0"/>
        <v>10693379939</v>
      </c>
      <c r="G10" s="6">
        <f t="shared" si="0"/>
        <v>4620862570</v>
      </c>
      <c r="H10" s="6">
        <f t="shared" si="0"/>
        <v>4732909209</v>
      </c>
      <c r="I10" s="6">
        <f t="shared" si="0"/>
        <v>2306134968</v>
      </c>
      <c r="J10" s="6">
        <f t="shared" si="0"/>
        <v>2431236815</v>
      </c>
      <c r="K10" s="6">
        <f t="shared" si="0"/>
        <v>4378198596</v>
      </c>
      <c r="L10" s="6">
        <f t="shared" si="0"/>
        <v>4988345283</v>
      </c>
      <c r="M10" s="6">
        <f t="shared" si="0"/>
        <v>1353077756</v>
      </c>
      <c r="N10" s="6">
        <f t="shared" si="0"/>
        <v>794412662</v>
      </c>
      <c r="O10" s="6">
        <f t="shared" si="0"/>
        <v>112046639</v>
      </c>
      <c r="P10" s="6">
        <f t="shared" si="0"/>
        <v>125101847</v>
      </c>
      <c r="Q10" s="6">
        <f t="shared" si="0"/>
        <v>610146687</v>
      </c>
      <c r="S10" s="7"/>
    </row>
    <row r="11" spans="2:24" s="1" customFormat="1" ht="14.25" customHeight="1"/>
    <row r="12" spans="2:24" s="1" customFormat="1" ht="15" customHeight="1">
      <c r="L12" s="1" t="s">
        <v>2</v>
      </c>
    </row>
    <row r="13" spans="2:24" ht="16.5" customHeight="1">
      <c r="B13" s="3" t="str">
        <f>B4</f>
        <v>(1~5월)</v>
      </c>
      <c r="C13" s="128" t="s">
        <v>23</v>
      </c>
      <c r="D13" s="128"/>
      <c r="E13" s="128"/>
      <c r="F13" s="128"/>
      <c r="G13" s="128"/>
      <c r="H13" s="128"/>
      <c r="I13" s="128"/>
      <c r="J13" s="128"/>
      <c r="K13" s="128"/>
      <c r="L13" s="128"/>
      <c r="M13" s="1"/>
      <c r="N13" s="1"/>
      <c r="O13" s="1"/>
      <c r="P13" s="1"/>
      <c r="Q13" s="1"/>
    </row>
    <row r="14" spans="2:24" ht="15" customHeight="1">
      <c r="B14" s="113" t="s">
        <v>11</v>
      </c>
      <c r="C14" s="127" t="s">
        <v>24</v>
      </c>
      <c r="D14" s="127"/>
      <c r="E14" s="127" t="s">
        <v>25</v>
      </c>
      <c r="F14" s="127"/>
      <c r="G14" s="127" t="s">
        <v>26</v>
      </c>
      <c r="H14" s="127"/>
      <c r="I14" s="127" t="s">
        <v>27</v>
      </c>
      <c r="J14" s="127"/>
      <c r="K14" s="127" t="s">
        <v>28</v>
      </c>
      <c r="L14" s="127"/>
      <c r="M14" s="1"/>
      <c r="N14" s="1"/>
      <c r="O14" s="1"/>
      <c r="P14" s="1"/>
      <c r="Q14" s="1"/>
    </row>
    <row r="15" spans="2:24" ht="14.25" customHeight="1">
      <c r="B15" s="99" t="s">
        <v>18</v>
      </c>
      <c r="C15" s="5">
        <f>M6</f>
        <v>1354539606</v>
      </c>
      <c r="D15" s="8">
        <f>C15/D$10</f>
        <v>8.3381674628464506E-2</v>
      </c>
      <c r="E15" s="5">
        <f>N6</f>
        <v>793889066</v>
      </c>
      <c r="F15" s="8">
        <f>E15/F$10</f>
        <v>7.4241172625373039E-2</v>
      </c>
      <c r="G15" s="5">
        <f>O6</f>
        <v>125565217</v>
      </c>
      <c r="H15" s="8">
        <f>G15/H$10</f>
        <v>2.6530239955000159E-2</v>
      </c>
      <c r="I15" s="5">
        <f>P6</f>
        <v>166338287</v>
      </c>
      <c r="J15" s="8">
        <f>I15/J$10</f>
        <v>6.8417147179469645E-2</v>
      </c>
      <c r="K15" s="5">
        <f>Q6</f>
        <v>596152113</v>
      </c>
      <c r="L15" s="8">
        <f>K15/L$10</f>
        <v>0.11950899129449857</v>
      </c>
      <c r="M15" s="1"/>
      <c r="N15" s="1"/>
      <c r="O15" s="1"/>
      <c r="P15" s="1"/>
      <c r="Q15" s="1"/>
    </row>
    <row r="16" spans="2:24" ht="14.25" customHeight="1">
      <c r="B16" s="99" t="s">
        <v>19</v>
      </c>
      <c r="C16" s="5">
        <f>M7</f>
        <v>0</v>
      </c>
      <c r="D16" s="8">
        <f>C16/D$10</f>
        <v>0</v>
      </c>
      <c r="E16" s="5">
        <f>N7</f>
        <v>0</v>
      </c>
      <c r="F16" s="8">
        <f>E16/F$10</f>
        <v>0</v>
      </c>
      <c r="G16" s="5">
        <f>O7</f>
        <v>0</v>
      </c>
      <c r="H16" s="8">
        <f>G16/H$10</f>
        <v>0</v>
      </c>
      <c r="I16" s="5">
        <f>P7</f>
        <v>0</v>
      </c>
      <c r="J16" s="8">
        <f>I16/J$10</f>
        <v>0</v>
      </c>
      <c r="K16" s="5">
        <f>Q7</f>
        <v>0</v>
      </c>
      <c r="L16" s="8">
        <f>K16/L$10</f>
        <v>0</v>
      </c>
      <c r="M16" s="1"/>
      <c r="N16" s="1"/>
      <c r="O16" s="1"/>
      <c r="P16" s="1"/>
      <c r="Q16" s="1"/>
    </row>
    <row r="17" spans="2:17" ht="14.25" customHeight="1">
      <c r="B17" s="99" t="s">
        <v>20</v>
      </c>
      <c r="C17" s="5">
        <f>M8</f>
        <v>-76083040</v>
      </c>
      <c r="D17" s="8">
        <f>C17/D$10</f>
        <v>-4.6834594263052134E-3</v>
      </c>
      <c r="E17" s="5">
        <f>N8</f>
        <v>-47373337</v>
      </c>
      <c r="F17" s="8">
        <f>E17/F$10</f>
        <v>-4.4301555981588131E-3</v>
      </c>
      <c r="G17" s="5">
        <f>O8</f>
        <v>-31080047</v>
      </c>
      <c r="H17" s="8">
        <f>G17/H$10</f>
        <v>-6.5667955220647042E-3</v>
      </c>
      <c r="I17" s="5">
        <f>P8</f>
        <v>-37889410</v>
      </c>
      <c r="J17" s="8">
        <f>I17/J$10</f>
        <v>-1.5584417678374124E-2</v>
      </c>
      <c r="K17" s="5">
        <f>Q8</f>
        <v>-11986623</v>
      </c>
      <c r="L17" s="8">
        <f>K17/L$10</f>
        <v>-2.4029256837632585E-3</v>
      </c>
      <c r="M17" s="1"/>
      <c r="N17" s="1"/>
      <c r="O17" s="1"/>
      <c r="P17" s="1"/>
      <c r="Q17" s="1"/>
    </row>
    <row r="18" spans="2:17" ht="14.25" customHeight="1">
      <c r="B18" s="99" t="s">
        <v>21</v>
      </c>
      <c r="C18" s="5">
        <f>M9</f>
        <v>74621190</v>
      </c>
      <c r="D18" s="8">
        <f>C18/D$10</f>
        <v>4.5934720235628378E-3</v>
      </c>
      <c r="E18" s="5">
        <f>N9</f>
        <v>47896933</v>
      </c>
      <c r="F18" s="8">
        <f>E18/F$10</f>
        <v>4.4791200979696156E-3</v>
      </c>
      <c r="G18" s="5">
        <f>O9</f>
        <v>17561469</v>
      </c>
      <c r="H18" s="8">
        <f>G18/H$10</f>
        <v>3.7105019818688858E-3</v>
      </c>
      <c r="I18" s="5">
        <f>P9</f>
        <v>-3347030</v>
      </c>
      <c r="J18" s="8">
        <f>I18/J$10</f>
        <v>-1.3766779029298305E-3</v>
      </c>
      <c r="K18" s="5">
        <f>Q9</f>
        <v>25981197</v>
      </c>
      <c r="L18" s="8">
        <f>K18/L$10</f>
        <v>5.2083798386094995E-3</v>
      </c>
      <c r="M18" s="1"/>
      <c r="N18" s="1"/>
      <c r="O18" s="1"/>
      <c r="P18" s="1"/>
      <c r="Q18" s="1"/>
    </row>
    <row r="19" spans="2:17" ht="14.25" customHeight="1">
      <c r="B19" s="114" t="s">
        <v>22</v>
      </c>
      <c r="C19" s="6">
        <f>SUM(C15:C18)</f>
        <v>1353077756</v>
      </c>
      <c r="D19" s="9">
        <f>C19/D$10</f>
        <v>8.3291687225722125E-2</v>
      </c>
      <c r="E19" s="6">
        <f>SUM(E15:E18)</f>
        <v>794412662</v>
      </c>
      <c r="F19" s="9">
        <f>E19/F$10</f>
        <v>7.4290137125183842E-2</v>
      </c>
      <c r="G19" s="6">
        <f>SUM(G15:G18)</f>
        <v>112046639</v>
      </c>
      <c r="H19" s="9">
        <f>G19/H$10</f>
        <v>2.3673946414804341E-2</v>
      </c>
      <c r="I19" s="6">
        <f>SUM(I15:I18)</f>
        <v>125101847</v>
      </c>
      <c r="J19" s="9">
        <f>I19/J$10</f>
        <v>5.1456051598165686E-2</v>
      </c>
      <c r="K19" s="6">
        <f>SUM(K15:K18)</f>
        <v>610146687</v>
      </c>
      <c r="L19" s="9">
        <f>K19/L$10</f>
        <v>0.12231444544934481</v>
      </c>
      <c r="M19" s="1"/>
      <c r="N19" s="1"/>
      <c r="O19" s="1"/>
      <c r="P19" s="1"/>
      <c r="Q19" s="1"/>
    </row>
    <row r="20" spans="2:17" s="1" customFormat="1" ht="14.25" customHeight="1"/>
    <row r="21" spans="2:17" s="1" customFormat="1" ht="14.25" customHeight="1"/>
    <row r="22" spans="2:17" s="1" customFormat="1" ht="14.25" customHeight="1">
      <c r="D22" s="10"/>
    </row>
    <row r="23" spans="2:17" s="1" customFormat="1" ht="14.25" customHeight="1"/>
    <row r="24" spans="2:17" s="1" customFormat="1" ht="14.25" customHeight="1"/>
    <row r="25" spans="2:17" s="1" customFormat="1" ht="14.25" customHeight="1"/>
    <row r="26" spans="2:17" s="1" customFormat="1" ht="14.25" customHeight="1"/>
    <row r="27" spans="2:17" s="1" customFormat="1" ht="14.25" customHeight="1"/>
    <row r="28" spans="2:17" s="1" customFormat="1" ht="14.25" customHeight="1"/>
    <row r="29" spans="2:17" s="1" customFormat="1" ht="14.25" customHeight="1"/>
    <row r="30" spans="2:17" s="1" customFormat="1" ht="14.25" customHeight="1"/>
    <row r="31" spans="2:17" s="1" customFormat="1" ht="14.25" customHeight="1"/>
    <row r="32" spans="2:17" s="1" customFormat="1" ht="14.25" customHeight="1"/>
    <row r="33" s="1" customFormat="1" ht="14.25" customHeight="1"/>
    <row r="34" s="1" customFormat="1" ht="14.25" customHeight="1"/>
    <row r="35" s="1" customFormat="1" ht="14.25" customHeight="1"/>
    <row r="36" s="1" customFormat="1" ht="14.25" customHeight="1"/>
    <row r="37" s="1" customFormat="1" ht="14.25" customHeight="1"/>
    <row r="38" s="1" customFormat="1" ht="14.25" customHeight="1"/>
    <row r="39" s="1" customFormat="1" ht="14.25" customHeight="1"/>
    <row r="40" s="1" customFormat="1" ht="14.25" customHeight="1"/>
    <row r="41" s="1" customFormat="1" ht="14.25" customHeight="1"/>
    <row r="42" s="1" customFormat="1" ht="14.25" customHeight="1"/>
    <row r="43" s="1" customFormat="1" ht="14.25" customHeight="1"/>
    <row r="44" s="1" customFormat="1" ht="14.25" customHeight="1"/>
    <row r="45" s="1" customFormat="1" ht="14.25" customHeight="1"/>
    <row r="46" s="1" customFormat="1" ht="14.25" customHeight="1"/>
    <row r="47" s="1" customFormat="1" ht="14.25" customHeight="1"/>
    <row r="48" s="1" customFormat="1" ht="14.25" customHeight="1"/>
    <row r="49" s="1" customFormat="1" ht="14.25" customHeight="1"/>
    <row r="50" s="1" customFormat="1" ht="14.25" customHeight="1"/>
    <row r="51" s="1" customFormat="1" ht="14.25" customHeight="1"/>
    <row r="52" s="1" customFormat="1" ht="14.25" customHeight="1"/>
    <row r="53" s="1" customFormat="1" ht="14.25" customHeight="1"/>
    <row r="54" s="1" customFormat="1" ht="14.25" customHeight="1"/>
    <row r="55" s="1" customFormat="1" ht="14.25" customHeight="1"/>
    <row r="56" s="1" customFormat="1" ht="14.25" customHeight="1"/>
    <row r="57" s="1" customFormat="1" ht="14.25" customHeight="1"/>
    <row r="58" s="1" customFormat="1" ht="14.25" customHeight="1"/>
    <row r="59" s="1" customFormat="1" ht="14.25" customHeight="1"/>
    <row r="60" s="1" customFormat="1" ht="14.25" customHeight="1"/>
  </sheetData>
  <mergeCells count="13">
    <mergeCell ref="M4:Q4"/>
    <mergeCell ref="C13:L13"/>
    <mergeCell ref="C14:D14"/>
    <mergeCell ref="E14:F14"/>
    <mergeCell ref="G14:H14"/>
    <mergeCell ref="I14:J14"/>
    <mergeCell ref="K14:L14"/>
    <mergeCell ref="B2:L2"/>
    <mergeCell ref="C4:D4"/>
    <mergeCell ref="E4:F4"/>
    <mergeCell ref="G4:H4"/>
    <mergeCell ref="I4:J4"/>
    <mergeCell ref="K4:L4"/>
  </mergeCells>
  <phoneticPr fontId="25" type="noConversion"/>
  <pageMargins left="0.82708333333333295" right="0.15763888888888899" top="0.74791666666666701" bottom="0.7479166666666670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6C6AD"/>
    <pageSetUpPr fitToPage="1"/>
  </sheetPr>
  <dimension ref="A1:AA113"/>
  <sheetViews>
    <sheetView zoomScaleNormal="100" workbookViewId="0">
      <pane xSplit="3" ySplit="5" topLeftCell="D51" activePane="bottomRight" state="frozen"/>
      <selection pane="topRight" activeCell="D1" sqref="D1"/>
      <selection pane="bottomLeft" activeCell="A45" sqref="A45"/>
      <selection pane="bottomRight" activeCell="D66" sqref="D66"/>
    </sheetView>
  </sheetViews>
  <sheetFormatPr defaultColWidth="8.8984375" defaultRowHeight="14.4"/>
  <cols>
    <col min="1" max="1" width="8.8984375" style="11"/>
    <col min="2" max="2" width="6.59765625" style="12" customWidth="1"/>
    <col min="3" max="3" width="12.59765625" style="12" customWidth="1"/>
    <col min="4" max="4" width="9.69921875" style="12" customWidth="1"/>
    <col min="5" max="5" width="8.796875" style="12" customWidth="1"/>
    <col min="6" max="6" width="7.796875" style="12" customWidth="1"/>
    <col min="7" max="7" width="8.796875" style="12" customWidth="1"/>
    <col min="8" max="8" width="8.59765625" style="12" customWidth="1"/>
    <col min="9" max="9" width="7.796875" style="12" customWidth="1"/>
    <col min="10" max="10" width="8.796875" style="12" customWidth="1"/>
    <col min="11" max="11" width="9" style="12" customWidth="1"/>
    <col min="12" max="12" width="7.796875" style="12" customWidth="1"/>
    <col min="13" max="13" width="8.796875" style="12" customWidth="1"/>
    <col min="14" max="14" width="8.59765625" style="12" customWidth="1"/>
    <col min="15" max="15" width="7.796875" style="12" customWidth="1"/>
    <col min="16" max="16" width="8.796875" style="12" customWidth="1"/>
    <col min="17" max="17" width="9" style="12" customWidth="1"/>
    <col min="18" max="20" width="7.796875" style="12" customWidth="1"/>
    <col min="21" max="27" width="8.8984375" style="11"/>
    <col min="28" max="16384" width="8.8984375" style="12"/>
  </cols>
  <sheetData>
    <row r="1" spans="1:27" s="11" customFormat="1" ht="14.25" customHeight="1"/>
    <row r="2" spans="1:27" s="11" customFormat="1" ht="22.5" customHeight="1">
      <c r="B2" s="124" t="s">
        <v>29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</row>
    <row r="3" spans="1:27" s="11" customFormat="1" ht="15" customHeight="1">
      <c r="T3" s="97" t="s">
        <v>30</v>
      </c>
      <c r="V3" s="98" t="s">
        <v>31</v>
      </c>
    </row>
    <row r="4" spans="1:27" s="2" customFormat="1" ht="15" customHeight="1">
      <c r="A4" s="1"/>
      <c r="B4" s="13" t="str">
        <f>피벗값_구분!B4</f>
        <v>(1~5월)</v>
      </c>
      <c r="C4" s="14"/>
      <c r="D4" s="125" t="s">
        <v>4</v>
      </c>
      <c r="E4" s="125"/>
      <c r="F4" s="125"/>
      <c r="G4" s="125" t="s">
        <v>5</v>
      </c>
      <c r="H4" s="125"/>
      <c r="I4" s="125"/>
      <c r="J4" s="125" t="s">
        <v>6</v>
      </c>
      <c r="K4" s="125"/>
      <c r="L4" s="125"/>
      <c r="M4" s="126" t="s">
        <v>7</v>
      </c>
      <c r="N4" s="126"/>
      <c r="O4" s="126"/>
      <c r="P4" s="125" t="s">
        <v>8</v>
      </c>
      <c r="Q4" s="125"/>
      <c r="R4" s="125"/>
      <c r="S4" s="125"/>
      <c r="T4" s="125"/>
      <c r="U4" s="1"/>
      <c r="V4" s="1"/>
      <c r="W4" s="1"/>
      <c r="X4" s="1"/>
      <c r="Y4" s="1"/>
      <c r="Z4" s="1"/>
      <c r="AA4" s="1"/>
    </row>
    <row r="5" spans="1:27" s="17" customFormat="1" ht="28.5" customHeight="1">
      <c r="A5" s="15"/>
      <c r="B5" s="116" t="s">
        <v>18</v>
      </c>
      <c r="C5" s="122" t="s">
        <v>32</v>
      </c>
      <c r="D5" s="116">
        <v>2025</v>
      </c>
      <c r="E5" s="16">
        <v>2026</v>
      </c>
      <c r="F5" s="118" t="s">
        <v>33</v>
      </c>
      <c r="G5" s="116">
        <v>2025</v>
      </c>
      <c r="H5" s="16">
        <v>2026</v>
      </c>
      <c r="I5" s="118" t="s">
        <v>34</v>
      </c>
      <c r="J5" s="116">
        <v>2025</v>
      </c>
      <c r="K5" s="16">
        <v>2026</v>
      </c>
      <c r="L5" s="118" t="s">
        <v>35</v>
      </c>
      <c r="M5" s="116">
        <v>2025</v>
      </c>
      <c r="N5" s="16">
        <v>2026</v>
      </c>
      <c r="O5" s="117" t="s">
        <v>36</v>
      </c>
      <c r="P5" s="116">
        <v>2025</v>
      </c>
      <c r="Q5" s="16">
        <v>2026</v>
      </c>
      <c r="R5" s="117" t="s">
        <v>37</v>
      </c>
      <c r="S5" s="117" t="s">
        <v>38</v>
      </c>
      <c r="T5" s="118" t="s">
        <v>39</v>
      </c>
      <c r="U5" s="15"/>
      <c r="V5" s="15" t="s">
        <v>226</v>
      </c>
      <c r="W5" s="15"/>
      <c r="X5" s="15"/>
      <c r="Y5" s="15"/>
      <c r="Z5" s="15"/>
      <c r="AA5" s="15"/>
    </row>
    <row r="6" spans="1:27" ht="14.25" customHeight="1">
      <c r="B6" s="18" t="str">
        <f>IFERROR(INDEX(구분!$B:$B,MATCH(1,구분!$E:$E,0)),"")</f>
        <v>00101</v>
      </c>
      <c r="C6" s="99" t="str">
        <f>IFERROR(VLOOKUP(B6,구분!$B:$C,2,0),"")</f>
        <v>롯데잠실점</v>
      </c>
      <c r="D6" s="5">
        <f>IFERROR(IF(B6="",0,SUMIFS(표1[매출금액],표1[매장코드],B6,표1[년],피벗값_구분!$X$2,표1[월],"&gt;="&amp;피벗값_구분!$X$4,표1[월],"&lt;="&amp;피벗값_구분!$X$5)),0)</f>
        <v>304063520</v>
      </c>
      <c r="E6" s="5">
        <f>IFERROR(IF(B6="",0,SUMIFS(표1[매출금액],표1[매장코드],B6,표1[년],피벗값_구분!$X$3,표1[월],"&gt;="&amp;피벗값_구분!$X$4,표1[월],"&lt;="&amp;피벗값_구분!$X$5)),0)</f>
        <v>369840250</v>
      </c>
      <c r="F6" s="19">
        <f>IFERROR(IF(B6="","",(E6-D6)/D6),"")</f>
        <v>0.21632562169904498</v>
      </c>
      <c r="G6" s="20">
        <f>IFERROR(IF(B6="",0,SUMIFS(표1[수금액(V+)],표1[매장코드],B6,표1[년],피벗값_구분!$X$2,표1[월],"&gt;="&amp;피벗값_구분!$X$4,표1[월],"&lt;="&amp;피벗값_구분!$X$5)),0)</f>
        <v>195026705</v>
      </c>
      <c r="H6" s="21">
        <f>IFERROR(IF(B6="",0,SUMIFS(표1[수금액(V+)],표1[매장코드],B6,표1[년],피벗값_구분!$X$3,표1[월],"&gt;="&amp;피벗값_구분!$X$4,표1[월],"&lt;="&amp;피벗값_구분!$X$5)),0)</f>
        <v>236914267</v>
      </c>
      <c r="I6" s="22">
        <f t="shared" ref="I6:I37" si="0">IFERROR(IF(B6="","",H6/E6),"")</f>
        <v>0.64058540680739862</v>
      </c>
      <c r="J6" s="20">
        <f>IFERROR(IF(B6="",0,SUMIFS(표1[생산원가(V-)],표1[매장코드],B6,표1[년],피벗값_구분!$X$2,표1[월],"&gt;="&amp;피벗값_구분!$X$4,표1[월],"&lt;="&amp;피벗값_구분!$X$5)),0)</f>
        <v>88822778</v>
      </c>
      <c r="K6" s="21">
        <f>IFERROR(IF(B6="",0,SUMIFS(표1[생산원가(V-)],표1[매장코드],B6,표1[년],피벗값_구분!$X$3,표1[월],"&gt;="&amp;피벗값_구분!$X$4,표1[월],"&lt;="&amp;피벗값_구분!$X$5)),0)</f>
        <v>107012131</v>
      </c>
      <c r="L6" s="23">
        <f t="shared" ref="L6:L37" si="1">IFERROR(IF(B6="","",E6/1.1/K6),"")</f>
        <v>3.1418719162868465</v>
      </c>
      <c r="M6" s="20">
        <f>IFERROR(IF(B6="",0,SUMIFS(표1[총경비],표1[매장코드],B6,표1[년],피벗값_구분!$X$2,표1[월],"&gt;="&amp;피벗값_구분!$X$4,표1[월],"&lt;="&amp;피벗값_구분!$X$5)),0)</f>
        <v>32165690</v>
      </c>
      <c r="N6" s="21">
        <f>IFERROR(IF(B6="",0,SUMIFS(표1[총경비],표1[매장코드],B6,표1[년],피벗값_구분!$X$3,표1[월],"&gt;="&amp;피벗값_구분!$X$4,표1[월],"&lt;="&amp;피벗값_구분!$X$5)),0)</f>
        <v>35215740</v>
      </c>
      <c r="O6" s="24">
        <f t="shared" ref="O6:O37" si="2">IFERROR(IF(B6="","",N6/E6),"")</f>
        <v>9.5218787030346211E-2</v>
      </c>
      <c r="P6" s="20">
        <f>IFERROR(IF(B6="",0,SUMIFS(표1[영업이익(V-)],표1[매장코드],B6,표1[년],피벗값_구분!$X$2,표1[월],"&gt;="&amp;피벗값_구분!$X$4,표1[월],"&lt;="&amp;피벗값_구분!$X$5)),0)</f>
        <v>88474227</v>
      </c>
      <c r="Q6" s="21">
        <f>IFERROR(IF(B6="",0,SUMIFS(표1[영업이익(V-)],표1[매장코드],B6,표1[년],피벗값_구분!$X$3,표1[월],"&gt;="&amp;피벗값_구분!$X$4,표1[월],"&lt;="&amp;피벗값_구분!$X$5)),0)</f>
        <v>108364475</v>
      </c>
      <c r="R6" s="24">
        <f t="shared" ref="R6:R37" si="3">IFERROR(IF(B6="","",Q6/(E6/1.1)),"")</f>
        <v>0.32230381225407456</v>
      </c>
      <c r="S6" s="24">
        <f>Q6/$Q$70</f>
        <v>2.2369876355984163E-2</v>
      </c>
      <c r="T6" s="25">
        <f t="shared" ref="T6:T37" si="4">IF(B6="","",Q6-P6)</f>
        <v>19890248</v>
      </c>
    </row>
    <row r="7" spans="1:27" ht="14.25" customHeight="1">
      <c r="B7" s="18" t="str">
        <f>IFERROR(INDEX(구분!$B:$B,MATCH(2,구분!$E:$E,0)),"")</f>
        <v>00102</v>
      </c>
      <c r="C7" s="99" t="str">
        <f>IFERROR(VLOOKUP(B7,구분!$B:$C,2,0),"")</f>
        <v>롯데관악점</v>
      </c>
      <c r="D7" s="5">
        <f>IFERROR(IF(B7="",0,SUMIFS(표1[매출금액],표1[매장코드],B7,표1[년],피벗값_구분!$X$2,표1[월],"&gt;="&amp;피벗값_구분!$X$4,표1[월],"&lt;="&amp;피벗값_구분!$X$5)),0)</f>
        <v>98863760</v>
      </c>
      <c r="E7" s="5">
        <f>IFERROR(IF(B7="",0,SUMIFS(표1[매출금액],표1[매장코드],B7,표1[년],피벗값_구분!$X$3,표1[월],"&gt;="&amp;피벗값_구분!$X$4,표1[월],"&lt;="&amp;피벗값_구분!$X$5)),0)</f>
        <v>99962340</v>
      </c>
      <c r="F7" s="19">
        <f t="shared" ref="F7:F37" si="5">IFERROR(IF(B7="","",(E7-D7)/D7),"")</f>
        <v>1.1112059666757566E-2</v>
      </c>
      <c r="G7" s="20">
        <f>IFERROR(IF(B7="",0,SUMIFS(표1[수금액(V+)],표1[매장코드],B7,표1[년],피벗값_구분!$X$2,표1[월],"&gt;="&amp;피벗값_구분!$X$4,표1[월],"&lt;="&amp;피벗값_구분!$X$5)),0)</f>
        <v>64332399</v>
      </c>
      <c r="H7" s="21">
        <f>IFERROR(IF(B7="",0,SUMIFS(표1[수금액(V+)],표1[매장코드],B7,표1[년],피벗값_구분!$X$3,표1[월],"&gt;="&amp;피벗값_구분!$X$4,표1[월],"&lt;="&amp;피벗값_구분!$X$5)),0)</f>
        <v>65028151</v>
      </c>
      <c r="I7" s="22">
        <f t="shared" si="0"/>
        <v>0.65052649827925202</v>
      </c>
      <c r="J7" s="20">
        <f>IFERROR(IF(B7="",0,SUMIFS(표1[생산원가(V-)],표1[매장코드],B7,표1[년],피벗값_구분!$X$2,표1[월],"&gt;="&amp;피벗값_구분!$X$4,표1[월],"&lt;="&amp;피벗값_구분!$X$5)),0)</f>
        <v>31586409</v>
      </c>
      <c r="K7" s="21">
        <f>IFERROR(IF(B7="",0,SUMIFS(표1[생산원가(V-)],표1[매장코드],B7,표1[년],피벗값_구분!$X$3,표1[월],"&gt;="&amp;피벗값_구분!$X$4,표1[월],"&lt;="&amp;피벗값_구분!$X$5)),0)</f>
        <v>30402138</v>
      </c>
      <c r="L7" s="23">
        <f t="shared" si="1"/>
        <v>2.9890942059882279</v>
      </c>
      <c r="M7" s="20">
        <f>IFERROR(IF(B7="",0,SUMIFS(표1[총경비],표1[매장코드],B7,표1[년],피벗값_구분!$X$2,표1[월],"&gt;="&amp;피벗값_구분!$X$4,표1[월],"&lt;="&amp;피벗값_구분!$X$5)),0)</f>
        <v>24760380</v>
      </c>
      <c r="N7" s="21">
        <f>IFERROR(IF(B7="",0,SUMIFS(표1[총경비],표1[매장코드],B7,표1[년],피벗값_구분!$X$3,표1[월],"&gt;="&amp;피벗값_구분!$X$4,표1[월],"&lt;="&amp;피벗값_구분!$X$5)),0)</f>
        <v>25129410</v>
      </c>
      <c r="O7" s="24">
        <f t="shared" si="2"/>
        <v>0.25138877301191631</v>
      </c>
      <c r="P7" s="20">
        <f>IFERROR(IF(B7="",0,SUMIFS(표1[영업이익(V-)],표1[매장코드],B7,표1[년],피벗값_구분!$X$2,표1[월],"&gt;="&amp;피벗값_구분!$X$4,표1[월],"&lt;="&amp;피벗값_구분!$X$5)),0)</f>
        <v>26897590</v>
      </c>
      <c r="Q7" s="21">
        <f>IFERROR(IF(B7="",0,SUMIFS(표1[영업이익(V-)],표1[매장코드],B7,표1[년],피벗값_구분!$X$3,표1[월],"&gt;="&amp;피벗값_구분!$X$4,표1[월],"&lt;="&amp;피벗값_구분!$X$5)),0)</f>
        <v>28714363</v>
      </c>
      <c r="R7" s="24">
        <f t="shared" si="3"/>
        <v>0.31597698993440937</v>
      </c>
      <c r="S7" s="24">
        <f t="shared" ref="S7:S67" si="6">Q7/$Q$70</f>
        <v>5.9275583621924664E-3</v>
      </c>
      <c r="T7" s="25">
        <f t="shared" si="4"/>
        <v>1816773</v>
      </c>
    </row>
    <row r="8" spans="1:27" ht="14.25" customHeight="1">
      <c r="B8" s="18" t="str">
        <f>IFERROR(INDEX(구분!$B:$B,MATCH(3,구분!$E:$E,0)),"")</f>
        <v>00106</v>
      </c>
      <c r="C8" s="99" t="str">
        <f>IFERROR(VLOOKUP(B8,구분!$B:$C,2,0),"")</f>
        <v>롯데광주점</v>
      </c>
      <c r="D8" s="5">
        <f>IFERROR(IF(B8="",0,SUMIFS(표1[매출금액],표1[매장코드],B8,표1[년],피벗값_구분!$X$2,표1[월],"&gt;="&amp;피벗값_구분!$X$4,표1[월],"&lt;="&amp;피벗값_구분!$X$5)),0)</f>
        <v>260717950</v>
      </c>
      <c r="E8" s="5">
        <f>IFERROR(IF(B8="",0,SUMIFS(표1[매출금액],표1[매장코드],B8,표1[년],피벗값_구분!$X$3,표1[월],"&gt;="&amp;피벗값_구분!$X$4,표1[월],"&lt;="&amp;피벗값_구분!$X$5)),0)</f>
        <v>256148830</v>
      </c>
      <c r="F8" s="19">
        <f t="shared" si="5"/>
        <v>-1.7525145468503416E-2</v>
      </c>
      <c r="G8" s="20">
        <f>IFERROR(IF(B8="",0,SUMIFS(표1[수금액(V+)],표1[매장코드],B8,표1[년],피벗값_구분!$X$2,표1[월],"&gt;="&amp;피벗값_구분!$X$4,표1[월],"&lt;="&amp;피벗값_구분!$X$5)),0)</f>
        <v>167079816</v>
      </c>
      <c r="H8" s="21">
        <f>IFERROR(IF(B8="",0,SUMIFS(표1[수금액(V+)],표1[매장코드],B8,표1[년],피벗값_구분!$X$3,표1[월],"&gt;="&amp;피벗값_구분!$X$4,표1[월],"&lt;="&amp;피벗값_구분!$X$5)),0)</f>
        <v>163826099</v>
      </c>
      <c r="I8" s="22">
        <f>IFERROR(IF(B8="","",H8/E8),"")</f>
        <v>0.63957387195561266</v>
      </c>
      <c r="J8" s="20">
        <f>IFERROR(IF(B8="",0,SUMIFS(표1[생산원가(V-)],표1[매장코드],B8,표1[년],피벗값_구분!$X$2,표1[월],"&gt;="&amp;피벗값_구분!$X$4,표1[월],"&lt;="&amp;피벗값_구분!$X$5)),0)</f>
        <v>82989002</v>
      </c>
      <c r="K8" s="21">
        <f>IFERROR(IF(B8="",0,SUMIFS(표1[생산원가(V-)],표1[매장코드],B8,표1[년],피벗값_구분!$X$3,표1[월],"&gt;="&amp;피벗값_구분!$X$4,표1[월],"&lt;="&amp;피벗값_구분!$X$5)),0)</f>
        <v>77026418</v>
      </c>
      <c r="L8" s="23">
        <f t="shared" si="1"/>
        <v>3.0231520402165493</v>
      </c>
      <c r="M8" s="20">
        <f>IFERROR(IF(B8="",0,SUMIFS(표1[총경비],표1[매장코드],B8,표1[년],피벗값_구분!$X$2,표1[월],"&gt;="&amp;피벗값_구분!$X$4,표1[월],"&lt;="&amp;피벗값_구분!$X$5)),0)</f>
        <v>33584010</v>
      </c>
      <c r="N8" s="21">
        <f>IFERROR(IF(B8="",0,SUMIFS(표1[총경비],표1[매장코드],B8,표1[년],피벗값_구분!$X$3,표1[월],"&gt;="&amp;피벗값_구분!$X$4,표1[월],"&lt;="&amp;피벗값_구분!$X$5)),0)</f>
        <v>34545970</v>
      </c>
      <c r="O8" s="24">
        <f t="shared" si="2"/>
        <v>0.13486678818716447</v>
      </c>
      <c r="P8" s="20">
        <f>IFERROR(IF(B8="",0,SUMIFS(표1[영업이익(V-)],표1[매장코드],B8,표1[년],피벗값_구분!$X$2,표1[월],"&gt;="&amp;피벗값_구분!$X$4,표1[월],"&lt;="&amp;피벗값_구분!$X$5)),0)</f>
        <v>68901739</v>
      </c>
      <c r="Q8" s="21">
        <f>IFERROR(IF(B8="",0,SUMIFS(표1[영업이익(V-)],표1[매장코드],B8,표1[년],피벗값_구분!$X$3,표1[월],"&gt;="&amp;피벗값_구분!$X$4,표1[월],"&lt;="&amp;피벗값_구분!$X$5)),0)</f>
        <v>71906400</v>
      </c>
      <c r="R8" s="24">
        <f t="shared" si="3"/>
        <v>0.30879329021334978</v>
      </c>
      <c r="S8" s="24">
        <f t="shared" si="6"/>
        <v>1.4843769392173399E-2</v>
      </c>
      <c r="T8" s="25">
        <f t="shared" si="4"/>
        <v>3004661</v>
      </c>
    </row>
    <row r="9" spans="1:27" ht="14.25" customHeight="1">
      <c r="B9" s="18" t="str">
        <f>IFERROR(INDEX(구분!$B:$B,MATCH(4,구분!$E:$E,0)),"")</f>
        <v>00110</v>
      </c>
      <c r="C9" s="99" t="str">
        <f>IFERROR(VLOOKUP(B9,구분!$B:$C,2,0),"")</f>
        <v>롯데강남점</v>
      </c>
      <c r="D9" s="5">
        <f>IFERROR(IF(B9="",0,SUMIFS(표1[매출금액],표1[매장코드],B9,표1[년],피벗값_구분!$X$2,표1[월],"&gt;="&amp;피벗값_구분!$X$4,표1[월],"&lt;="&amp;피벗값_구분!$X$5)),0)</f>
        <v>160310570</v>
      </c>
      <c r="E9" s="5">
        <f>IFERROR(IF(B9="",0,SUMIFS(표1[매출금액],표1[매장코드],B9,표1[년],피벗값_구분!$X$3,표1[월],"&gt;="&amp;피벗값_구분!$X$4,표1[월],"&lt;="&amp;피벗값_구분!$X$5)),0)</f>
        <v>166624390</v>
      </c>
      <c r="F9" s="19">
        <f t="shared" si="5"/>
        <v>3.938492639630687E-2</v>
      </c>
      <c r="G9" s="20">
        <f>IFERROR(IF(B9="",0,SUMIFS(표1[수금액(V+)],표1[매장코드],B9,표1[년],피벗값_구분!$X$2,표1[월],"&gt;="&amp;피벗값_구분!$X$4,표1[월],"&lt;="&amp;피벗값_구분!$X$5)),0)</f>
        <v>102582703</v>
      </c>
      <c r="H9" s="21">
        <f>IFERROR(IF(B9="",0,SUMIFS(표1[수금액(V+)],표1[매장코드],B9,표1[년],피벗값_구분!$X$3,표1[월],"&gt;="&amp;피벗값_구분!$X$4,표1[월],"&lt;="&amp;피벗값_구분!$X$5)),0)</f>
        <v>106778299</v>
      </c>
      <c r="I9" s="22">
        <f t="shared" si="0"/>
        <v>0.64083234753327534</v>
      </c>
      <c r="J9" s="20">
        <f>IFERROR(IF(B9="",0,SUMIFS(표1[생산원가(V-)],표1[매장코드],B9,표1[년],피벗값_구분!$X$2,표1[월],"&gt;="&amp;피벗값_구분!$X$4,표1[월],"&lt;="&amp;피벗값_구분!$X$5)),0)</f>
        <v>48357983</v>
      </c>
      <c r="K9" s="21">
        <f>IFERROR(IF(B9="",0,SUMIFS(표1[생산원가(V-)],표1[매장코드],B9,표1[년],피벗값_구분!$X$3,표1[월],"&gt;="&amp;피벗값_구분!$X$4,표1[월],"&lt;="&amp;피벗값_구분!$X$5)),0)</f>
        <v>49190055</v>
      </c>
      <c r="L9" s="23">
        <f t="shared" si="1"/>
        <v>3.0794175404320683</v>
      </c>
      <c r="M9" s="20">
        <f>IFERROR(IF(B9="",0,SUMIFS(표1[총경비],표1[매장코드],B9,표1[년],피벗값_구분!$X$2,표1[월],"&gt;="&amp;피벗값_구분!$X$4,표1[월],"&lt;="&amp;피벗값_구분!$X$5)),0)</f>
        <v>26271390</v>
      </c>
      <c r="N9" s="21">
        <f>IFERROR(IF(B9="",0,SUMIFS(표1[총경비],표1[매장코드],B9,표1[년],피벗값_구분!$X$3,표1[월],"&gt;="&amp;피벗값_구분!$X$4,표1[월],"&lt;="&amp;피벗값_구분!$X$5)),0)</f>
        <v>26831460</v>
      </c>
      <c r="O9" s="24">
        <f t="shared" si="2"/>
        <v>0.16102960677005329</v>
      </c>
      <c r="P9" s="20">
        <f>IFERROR(IF(B9="",0,SUMIFS(표1[영업이익(V-)],표1[매장코드],B9,표1[년],피벗값_구분!$X$2,표1[월],"&gt;="&amp;피벗값_구분!$X$4,표1[월],"&lt;="&amp;피벗값_구분!$X$5)),0)</f>
        <v>44899019</v>
      </c>
      <c r="Q9" s="21">
        <f>IFERROR(IF(B9="",0,SUMIFS(표1[영업이익(V-)],표1[매장코드],B9,표1[년],피벗값_구분!$X$3,표1[월],"&gt;="&amp;피벗값_구분!$X$4,표1[월],"&lt;="&amp;피벗값_구분!$X$5)),0)</f>
        <v>47881126</v>
      </c>
      <c r="R9" s="24">
        <f t="shared" si="3"/>
        <v>0.31609561241304474</v>
      </c>
      <c r="S9" s="24">
        <f t="shared" si="6"/>
        <v>9.8841882305552489E-3</v>
      </c>
      <c r="T9" s="25">
        <f t="shared" si="4"/>
        <v>2982107</v>
      </c>
    </row>
    <row r="10" spans="1:27" ht="14.25" customHeight="1">
      <c r="B10" s="18" t="str">
        <f>IFERROR(INDEX(구분!$B:$B,MATCH(5,구분!$E:$E,0)),"")</f>
        <v>00111</v>
      </c>
      <c r="C10" s="99" t="str">
        <f>IFERROR(VLOOKUP(B10,구분!$B:$C,2,0),"")</f>
        <v>롯데포항점</v>
      </c>
      <c r="D10" s="5">
        <f>IFERROR(IF(B10="",0,SUMIFS(표1[매출금액],표1[매장코드],B10,표1[년],피벗값_구분!$X$2,표1[월],"&gt;="&amp;피벗값_구분!$X$4,표1[월],"&lt;="&amp;피벗값_구분!$X$5)),0)</f>
        <v>282624550</v>
      </c>
      <c r="E10" s="5">
        <f>IFERROR(IF(B10="",0,SUMIFS(표1[매출금액],표1[매장코드],B10,표1[년],피벗값_구분!$X$3,표1[월],"&gt;="&amp;피벗값_구분!$X$4,표1[월],"&lt;="&amp;피벗값_구분!$X$5)),0)</f>
        <v>293790280</v>
      </c>
      <c r="F10" s="19">
        <f t="shared" si="5"/>
        <v>3.9507289794888663E-2</v>
      </c>
      <c r="G10" s="20">
        <f>IFERROR(IF(B10="",0,SUMIFS(표1[수금액(V+)],표1[매장코드],B10,표1[년],피벗값_구분!$X$2,표1[월],"&gt;="&amp;피벗값_구분!$X$4,표1[월],"&lt;="&amp;피벗값_구분!$X$5)),0)</f>
        <v>181269907</v>
      </c>
      <c r="H10" s="21">
        <f>IFERROR(IF(B10="",0,SUMIFS(표1[수금액(V+)],표1[매장코드],B10,표1[년],피벗값_구분!$X$3,표1[월],"&gt;="&amp;피벗값_구분!$X$4,표1[월],"&lt;="&amp;피벗값_구분!$X$5)),0)</f>
        <v>188363309</v>
      </c>
      <c r="I10" s="22">
        <f t="shared" si="0"/>
        <v>0.64114888007867377</v>
      </c>
      <c r="J10" s="20">
        <f>IFERROR(IF(B10="",0,SUMIFS(표1[생산원가(V-)],표1[매장코드],B10,표1[년],피벗값_구분!$X$2,표1[월],"&gt;="&amp;피벗값_구분!$X$4,표1[월],"&lt;="&amp;피벗값_구분!$X$5)),0)</f>
        <v>84181505</v>
      </c>
      <c r="K10" s="21">
        <f>IFERROR(IF(B10="",0,SUMIFS(표1[생산원가(V-)],표1[매장코드],B10,표1[년],피벗값_구분!$X$3,표1[월],"&gt;="&amp;피벗값_구분!$X$4,표1[월],"&lt;="&amp;피벗값_구분!$X$5)),0)</f>
        <v>83812337</v>
      </c>
      <c r="L10" s="23">
        <f t="shared" si="1"/>
        <v>3.1866677661938088</v>
      </c>
      <c r="M10" s="20">
        <f>IFERROR(IF(B10="",0,SUMIFS(표1[총경비],표1[매장코드],B10,표1[년],피벗값_구분!$X$2,표1[월],"&gt;="&amp;피벗값_구분!$X$4,표1[월],"&lt;="&amp;피벗값_구분!$X$5)),0)</f>
        <v>41640450</v>
      </c>
      <c r="N10" s="21">
        <f>IFERROR(IF(B10="",0,SUMIFS(표1[총경비],표1[매장코드],B10,표1[년],피벗값_구분!$X$3,표1[월],"&gt;="&amp;피벗값_구분!$X$4,표1[월],"&lt;="&amp;피벗값_구분!$X$5)),0)</f>
        <v>43422940</v>
      </c>
      <c r="O10" s="24">
        <f t="shared" si="2"/>
        <v>0.1478025072851287</v>
      </c>
      <c r="P10" s="20">
        <f>IFERROR(IF(B10="",0,SUMIFS(표1[영업이익(V-)],표1[매장코드],B10,표1[년],피벗값_구분!$X$2,표1[월],"&gt;="&amp;피벗값_구분!$X$4,표1[월],"&lt;="&amp;피벗값_구분!$X$5)),0)</f>
        <v>80609320</v>
      </c>
      <c r="Q10" s="21">
        <f>IFERROR(IF(B10="",0,SUMIFS(표1[영업이익(V-)],표1[매장코드],B10,표1[년],피벗값_구분!$X$3,표1[월],"&gt;="&amp;피벗값_구분!$X$4,표1[월],"&lt;="&amp;피벗값_구분!$X$5)),0)</f>
        <v>87427035</v>
      </c>
      <c r="R10" s="24">
        <f t="shared" si="3"/>
        <v>0.32734145765475975</v>
      </c>
      <c r="S10" s="24">
        <f t="shared" si="6"/>
        <v>1.8047722402755144E-2</v>
      </c>
      <c r="T10" s="25">
        <f t="shared" si="4"/>
        <v>6817715</v>
      </c>
    </row>
    <row r="11" spans="1:27" ht="14.25" customHeight="1">
      <c r="B11" s="18" t="str">
        <f>IFERROR(INDEX(구분!$B:$B,MATCH(6,구분!$E:$E,0)),"")</f>
        <v>00112</v>
      </c>
      <c r="C11" s="99" t="str">
        <f>IFERROR(VLOOKUP(B11,구분!$B:$C,2,0),"")</f>
        <v>롯데울산점</v>
      </c>
      <c r="D11" s="5">
        <f>IFERROR(IF(B11="",0,SUMIFS(표1[매출금액],표1[매장코드],B11,표1[년],피벗값_구분!$X$2,표1[월],"&gt;="&amp;피벗값_구분!$X$4,표1[월],"&lt;="&amp;피벗값_구분!$X$5)),0)</f>
        <v>103482570</v>
      </c>
      <c r="E11" s="5">
        <f>IFERROR(IF(B11="",0,SUMIFS(표1[매출금액],표1[매장코드],B11,표1[년],피벗값_구분!$X$3,표1[월],"&gt;="&amp;피벗값_구분!$X$4,표1[월],"&lt;="&amp;피벗값_구분!$X$5)),0)</f>
        <v>134001550</v>
      </c>
      <c r="F11" s="19">
        <f t="shared" si="5"/>
        <v>0.29491903805636061</v>
      </c>
      <c r="G11" s="20">
        <f>IFERROR(IF(B11="",0,SUMIFS(표1[수금액(V+)],표1[매장코드],B11,표1[년],피벗값_구분!$X$2,표1[월],"&gt;="&amp;피벗값_구분!$X$4,표1[월],"&lt;="&amp;피벗값_구분!$X$5)),0)</f>
        <v>66235283</v>
      </c>
      <c r="H11" s="21">
        <f>IFERROR(IF(B11="",0,SUMIFS(표1[수금액(V+)],표1[매장코드],B11,표1[년],피벗값_구분!$X$3,표1[월],"&gt;="&amp;피벗값_구분!$X$4,표1[월],"&lt;="&amp;피벗값_구분!$X$5)),0)</f>
        <v>85873002</v>
      </c>
      <c r="I11" s="22">
        <f t="shared" si="0"/>
        <v>0.64083588585355911</v>
      </c>
      <c r="J11" s="20">
        <f>IFERROR(IF(B11="",0,SUMIFS(표1[생산원가(V-)],표1[매장코드],B11,표1[년],피벗값_구분!$X$2,표1[월],"&gt;="&amp;피벗값_구분!$X$4,표1[월],"&lt;="&amp;피벗값_구분!$X$5)),0)</f>
        <v>31079900</v>
      </c>
      <c r="K11" s="21">
        <f>IFERROR(IF(B11="",0,SUMIFS(표1[생산원가(V-)],표1[매장코드],B11,표1[년],피벗값_구분!$X$3,표1[월],"&gt;="&amp;피벗값_구분!$X$4,표1[월],"&lt;="&amp;피벗값_구분!$X$5)),0)</f>
        <v>39617508</v>
      </c>
      <c r="L11" s="23">
        <f t="shared" si="1"/>
        <v>3.0748928203432406</v>
      </c>
      <c r="M11" s="20">
        <f>IFERROR(IF(B11="",0,SUMIFS(표1[총경비],표1[매장코드],B11,표1[년],피벗값_구분!$X$2,표1[월],"&gt;="&amp;피벗값_구분!$X$4,표1[월],"&lt;="&amp;피벗값_구분!$X$5)),0)</f>
        <v>25080060</v>
      </c>
      <c r="N11" s="21">
        <f>IFERROR(IF(B11="",0,SUMIFS(표1[총경비],표1[매장코드],B11,표1[년],피벗값_구분!$X$3,표1[월],"&gt;="&amp;피벗값_구분!$X$4,표1[월],"&lt;="&amp;피벗값_구분!$X$5)),0)</f>
        <v>23789890</v>
      </c>
      <c r="O11" s="24">
        <f t="shared" si="2"/>
        <v>0.17753443896731044</v>
      </c>
      <c r="P11" s="20">
        <f>IFERROR(IF(B11="",0,SUMIFS(표1[영업이익(V-)],표1[매장코드],B11,표1[년],피벗값_구분!$X$2,표1[월],"&gt;="&amp;피벗값_구분!$X$4,표1[월],"&lt;="&amp;피벗값_구분!$X$5)),0)</f>
        <v>29133993</v>
      </c>
      <c r="Q11" s="21">
        <f>IFERROR(IF(B11="",0,SUMIFS(표1[영업이익(V-)],표1[매장코드],B11,표1[년],피벗값_구분!$X$3,표1[월],"&gt;="&amp;피벗값_구분!$X$4,표1[월],"&lt;="&amp;피벗값_구분!$X$5)),0)</f>
        <v>38448857</v>
      </c>
      <c r="R11" s="24">
        <f t="shared" si="3"/>
        <v>0.31562129467905409</v>
      </c>
      <c r="S11" s="24">
        <f t="shared" si="6"/>
        <v>7.9370677255522736E-3</v>
      </c>
      <c r="T11" s="25">
        <f t="shared" si="4"/>
        <v>9314864</v>
      </c>
    </row>
    <row r="12" spans="1:27" ht="14.25" customHeight="1">
      <c r="B12" s="18" t="str">
        <f>IFERROR(INDEX(구분!$B:$B,MATCH(7,구분!$E:$E,0)),"")</f>
        <v>00113</v>
      </c>
      <c r="C12" s="99" t="str">
        <f>IFERROR(VLOOKUP(B12,구분!$B:$C,2,0),"")</f>
        <v>롯데동래점</v>
      </c>
      <c r="D12" s="5">
        <f>IFERROR(IF(B12="",0,SUMIFS(표1[매출금액],표1[매장코드],B12,표1[년],피벗값_구분!$X$2,표1[월],"&gt;="&amp;피벗값_구분!$X$4,표1[월],"&lt;="&amp;피벗값_구분!$X$5)),0)</f>
        <v>137501710</v>
      </c>
      <c r="E12" s="5">
        <f>IFERROR(IF(B12="",0,SUMIFS(표1[매출금액],표1[매장코드],B12,표1[년],피벗값_구분!$X$3,표1[월],"&gt;="&amp;피벗값_구분!$X$4,표1[월],"&lt;="&amp;피벗값_구분!$X$5)),0)</f>
        <v>138875100</v>
      </c>
      <c r="F12" s="19">
        <f t="shared" si="5"/>
        <v>9.9881666926178586E-3</v>
      </c>
      <c r="G12" s="20">
        <f>IFERROR(IF(B12="",0,SUMIFS(표1[수금액(V+)],표1[매장코드],B12,표1[년],피벗값_구분!$X$2,표1[월],"&gt;="&amp;피벗값_구분!$X$4,표1[월],"&lt;="&amp;피벗값_구분!$X$5)),0)</f>
        <v>88584162</v>
      </c>
      <c r="H12" s="21">
        <f>IFERROR(IF(B12="",0,SUMIFS(표1[수금액(V+)],표1[매장코드],B12,표1[년],피벗값_구분!$X$3,표1[월],"&gt;="&amp;피벗값_구분!$X$4,표1[월],"&lt;="&amp;피벗값_구분!$X$5)),0)</f>
        <v>89765125</v>
      </c>
      <c r="I12" s="22">
        <f t="shared" si="0"/>
        <v>0.64637307191858007</v>
      </c>
      <c r="J12" s="20">
        <f>IFERROR(IF(B12="",0,SUMIFS(표1[생산원가(V-)],표1[매장코드],B12,표1[년],피벗값_구분!$X$2,표1[월],"&gt;="&amp;피벗값_구분!$X$4,표1[월],"&lt;="&amp;피벗값_구분!$X$5)),0)</f>
        <v>47370915</v>
      </c>
      <c r="K12" s="21">
        <f>IFERROR(IF(B12="",0,SUMIFS(표1[생산원가(V-)],표1[매장코드],B12,표1[년],피벗값_구분!$X$3,표1[월],"&gt;="&amp;피벗값_구분!$X$4,표1[월],"&lt;="&amp;피벗값_구분!$X$5)),0)</f>
        <v>44995233</v>
      </c>
      <c r="L12" s="23">
        <f t="shared" si="1"/>
        <v>2.8058548093103748</v>
      </c>
      <c r="M12" s="20">
        <f>IFERROR(IF(B12="",0,SUMIFS(표1[총경비],표1[매장코드],B12,표1[년],피벗값_구분!$X$2,표1[월],"&gt;="&amp;피벗값_구분!$X$4,표1[월],"&lt;="&amp;피벗값_구분!$X$5)),0)</f>
        <v>31226320</v>
      </c>
      <c r="N12" s="21">
        <f>IFERROR(IF(B12="",0,SUMIFS(표1[총경비],표1[매장코드],B12,표1[년],피벗값_구분!$X$3,표1[월],"&gt;="&amp;피벗값_구분!$X$4,표1[월],"&lt;="&amp;피벗값_구분!$X$5)),0)</f>
        <v>26328970</v>
      </c>
      <c r="O12" s="24">
        <f t="shared" si="2"/>
        <v>0.18958740623769127</v>
      </c>
      <c r="P12" s="20">
        <f>IFERROR(IF(B12="",0,SUMIFS(표1[영업이익(V-)],표1[매장코드],B12,표1[년],피벗값_구분!$X$2,표1[월],"&gt;="&amp;피벗값_구분!$X$4,표1[월],"&lt;="&amp;피벗값_구분!$X$5)),0)</f>
        <v>33160142</v>
      </c>
      <c r="Q12" s="21">
        <f>IFERROR(IF(B12="",0,SUMIFS(표1[영업이익(V-)],표1[매장코드],B12,표1[년],피벗값_구분!$X$3,표1[월],"&gt;="&amp;피벗값_구분!$X$4,표1[월],"&lt;="&amp;피벗값_구분!$X$5)),0)</f>
        <v>36609426</v>
      </c>
      <c r="R12" s="24">
        <f t="shared" si="3"/>
        <v>0.28997544268194952</v>
      </c>
      <c r="S12" s="24">
        <f t="shared" si="6"/>
        <v>7.557350626979477E-3</v>
      </c>
      <c r="T12" s="25">
        <f t="shared" si="4"/>
        <v>3449284</v>
      </c>
    </row>
    <row r="13" spans="1:27" ht="14.25" customHeight="1">
      <c r="B13" s="18" t="str">
        <f>IFERROR(INDEX(구분!$B:$B,MATCH(8,구분!$E:$E,0)),"")</f>
        <v>00114</v>
      </c>
      <c r="C13" s="99" t="str">
        <f>IFERROR(VLOOKUP(B13,구분!$B:$C,2,0),"")</f>
        <v>롯데창원점</v>
      </c>
      <c r="D13" s="5">
        <f>IFERROR(IF(B13="",0,SUMIFS(표1[매출금액],표1[매장코드],B13,표1[년],피벗값_구분!$X$2,표1[월],"&gt;="&amp;피벗값_구분!$X$4,표1[월],"&lt;="&amp;피벗값_구분!$X$5)),0)</f>
        <v>299016680</v>
      </c>
      <c r="E13" s="5">
        <f>IFERROR(IF(B13="",0,SUMIFS(표1[매출금액],표1[매장코드],B13,표1[년],피벗값_구분!$X$3,표1[월],"&gt;="&amp;피벗값_구분!$X$4,표1[월],"&lt;="&amp;피벗값_구분!$X$5)),0)</f>
        <v>276462270</v>
      </c>
      <c r="F13" s="19">
        <f t="shared" si="5"/>
        <v>-7.5428601508116533E-2</v>
      </c>
      <c r="G13" s="20">
        <f>IFERROR(IF(B13="",0,SUMIFS(표1[수금액(V+)],표1[매장코드],B13,표1[년],피벗값_구분!$X$2,표1[월],"&gt;="&amp;피벗값_구분!$X$4,표1[월],"&lt;="&amp;피벗값_구분!$X$5)),0)</f>
        <v>191524203</v>
      </c>
      <c r="H13" s="21">
        <f>IFERROR(IF(B13="",0,SUMIFS(표1[수금액(V+)],표1[매장코드],B13,표1[년],피벗값_구분!$X$3,표1[월],"&gt;="&amp;피벗값_구분!$X$4,표1[월],"&lt;="&amp;피벗값_구분!$X$5)),0)</f>
        <v>177069746</v>
      </c>
      <c r="I13" s="22">
        <f t="shared" si="0"/>
        <v>0.64048430912471344</v>
      </c>
      <c r="J13" s="20">
        <f>IFERROR(IF(B13="",0,SUMIFS(표1[생산원가(V-)],표1[매장코드],B13,표1[년],피벗값_구분!$X$2,표1[월],"&gt;="&amp;피벗값_구분!$X$4,표1[월],"&lt;="&amp;피벗값_구분!$X$5)),0)</f>
        <v>92390173</v>
      </c>
      <c r="K13" s="21">
        <f>IFERROR(IF(B13="",0,SUMIFS(표1[생산원가(V-)],표1[매장코드],B13,표1[년],피벗값_구분!$X$3,표1[월],"&gt;="&amp;피벗값_구분!$X$4,표1[월],"&lt;="&amp;피벗값_구분!$X$5)),0)</f>
        <v>80314201</v>
      </c>
      <c r="L13" s="23">
        <f t="shared" si="1"/>
        <v>3.1293262366344945</v>
      </c>
      <c r="M13" s="20">
        <f>IFERROR(IF(B13="",0,SUMIFS(표1[총경비],표1[매장코드],B13,표1[년],피벗값_구분!$X$2,표1[월],"&gt;="&amp;피벗값_구분!$X$4,표1[월],"&lt;="&amp;피벗값_구분!$X$5)),0)</f>
        <v>40081750</v>
      </c>
      <c r="N13" s="21">
        <f>IFERROR(IF(B13="",0,SUMIFS(표1[총경비],표1[매장코드],B13,표1[년],피벗값_구분!$X$3,표1[월],"&gt;="&amp;피벗값_구분!$X$4,표1[월],"&lt;="&amp;피벗값_구분!$X$5)),0)</f>
        <v>35734470</v>
      </c>
      <c r="O13" s="24">
        <f t="shared" si="2"/>
        <v>0.12925622726023336</v>
      </c>
      <c r="P13" s="20">
        <f>IFERROR(IF(B13="",0,SUMIFS(표1[영업이익(V-)],표1[매장코드],B13,표1[년],피벗값_구분!$X$2,표1[월],"&gt;="&amp;피벗값_구분!$X$4,표1[월],"&lt;="&amp;피벗값_구분!$X$5)),0)</f>
        <v>81722739</v>
      </c>
      <c r="Q13" s="21">
        <f>IFERROR(IF(B13="",0,SUMIFS(표1[영업이익(V-)],표1[매장코드],B13,표1[년],피벗값_구분!$X$3,표1[월],"&gt;="&amp;피벗값_구분!$X$4,표1[월],"&lt;="&amp;피벗값_구분!$X$5)),0)</f>
        <v>80658295</v>
      </c>
      <c r="R13" s="24">
        <f t="shared" si="3"/>
        <v>0.32092670186061922</v>
      </c>
      <c r="S13" s="24">
        <f t="shared" si="6"/>
        <v>1.6650439050569808E-2</v>
      </c>
      <c r="T13" s="25">
        <f t="shared" si="4"/>
        <v>-1064444</v>
      </c>
    </row>
    <row r="14" spans="1:27" ht="14.25" customHeight="1">
      <c r="B14" s="18" t="str">
        <f>IFERROR(INDEX(구분!$B:$B,MATCH(9,구분!$E:$E,0)),"")</f>
        <v>00119</v>
      </c>
      <c r="C14" s="99" t="str">
        <f>IFERROR(VLOOKUP(B14,구분!$B:$C,2,0),"")</f>
        <v>롯데상인점</v>
      </c>
      <c r="D14" s="5">
        <f>IFERROR(IF(B14="",0,SUMIFS(표1[매출금액],표1[매장코드],B14,표1[년],피벗값_구분!$X$2,표1[월],"&gt;="&amp;피벗값_구분!$X$4,표1[월],"&lt;="&amp;피벗값_구분!$X$5)),0)</f>
        <v>106443340</v>
      </c>
      <c r="E14" s="5">
        <f>IFERROR(IF(B14="",0,SUMIFS(표1[매출금액],표1[매장코드],B14,표1[년],피벗값_구분!$X$3,표1[월],"&gt;="&amp;피벗값_구분!$X$4,표1[월],"&lt;="&amp;피벗값_구분!$X$5)),0)</f>
        <v>155318390</v>
      </c>
      <c r="F14" s="19">
        <f t="shared" si="5"/>
        <v>0.45916494164876825</v>
      </c>
      <c r="G14" s="20">
        <f>IFERROR(IF(B14="",0,SUMIFS(표1[수금액(V+)],표1[매장코드],B14,표1[년],피벗값_구분!$X$2,표1[월],"&gt;="&amp;피벗값_구분!$X$4,표1[월],"&lt;="&amp;피벗값_구분!$X$5)),0)</f>
        <v>68322156</v>
      </c>
      <c r="H14" s="21">
        <f>IFERROR(IF(B14="",0,SUMIFS(표1[수금액(V+)],표1[매장코드],B14,표1[년],피벗값_구분!$X$3,표1[월],"&gt;="&amp;피벗값_구분!$X$4,표1[월],"&lt;="&amp;피벗값_구분!$X$5)),0)</f>
        <v>100225186</v>
      </c>
      <c r="I14" s="22">
        <f t="shared" si="0"/>
        <v>0.64528859718414544</v>
      </c>
      <c r="J14" s="20">
        <f>IFERROR(IF(B14="",0,SUMIFS(표1[생산원가(V-)],표1[매장코드],B14,표1[년],피벗값_구분!$X$2,표1[월],"&gt;="&amp;피벗값_구분!$X$4,표1[월],"&lt;="&amp;피벗값_구분!$X$5)),0)</f>
        <v>30905544</v>
      </c>
      <c r="K14" s="21">
        <f>IFERROR(IF(B14="",0,SUMIFS(표1[생산원가(V-)],표1[매장코드],B14,표1[년],피벗값_구분!$X$3,표1[월],"&gt;="&amp;피벗값_구분!$X$4,표1[월],"&lt;="&amp;피벗값_구분!$X$5)),0)</f>
        <v>47335940</v>
      </c>
      <c r="L14" s="23">
        <f t="shared" si="1"/>
        <v>2.9829033999036745</v>
      </c>
      <c r="M14" s="20">
        <f>IFERROR(IF(B14="",0,SUMIFS(표1[총경비],표1[매장코드],B14,표1[년],피벗값_구분!$X$2,표1[월],"&gt;="&amp;피벗값_구분!$X$4,표1[월],"&lt;="&amp;피벗값_구분!$X$5)),0)</f>
        <v>26070060</v>
      </c>
      <c r="N14" s="21">
        <f>IFERROR(IF(B14="",0,SUMIFS(표1[총경비],표1[매장코드],B14,표1[년],피벗값_구분!$X$3,표1[월],"&gt;="&amp;피벗값_구분!$X$4,표1[월],"&lt;="&amp;피벗값_구분!$X$5)),0)</f>
        <v>28845460</v>
      </c>
      <c r="O14" s="24">
        <f t="shared" si="2"/>
        <v>0.18571825268083195</v>
      </c>
      <c r="P14" s="20">
        <f>IFERROR(IF(B14="",0,SUMIFS(표1[영업이익(V-)],표1[매장코드],B14,표1[년],피벗값_구분!$X$2,표1[월],"&gt;="&amp;피벗값_구분!$X$4,표1[월],"&lt;="&amp;피벗값_구분!$X$5)),0)</f>
        <v>31205507</v>
      </c>
      <c r="Q14" s="21">
        <f>IFERROR(IF(B14="",0,SUMIFS(표1[영업이익(V-)],표1[매장코드],B14,표1[년],피벗값_구분!$X$3,표1[월],"&gt;="&amp;피벗값_구분!$X$4,표1[월],"&lt;="&amp;피벗값_구분!$X$5)),0)</f>
        <v>43777865</v>
      </c>
      <c r="R14" s="24">
        <f t="shared" si="3"/>
        <v>0.31004475065702142</v>
      </c>
      <c r="S14" s="24">
        <f t="shared" si="6"/>
        <v>9.0371445732465982E-3</v>
      </c>
      <c r="T14" s="25">
        <f t="shared" si="4"/>
        <v>12572358</v>
      </c>
    </row>
    <row r="15" spans="1:27" ht="14.25" customHeight="1">
      <c r="B15" s="18" t="str">
        <f>IFERROR(INDEX(구분!$B:$B,MATCH(10,구분!$E:$E,0)),"")</f>
        <v>00120</v>
      </c>
      <c r="C15" s="99" t="str">
        <f>IFERROR(VLOOKUP(B15,구분!$B:$C,2,0),"")</f>
        <v>롯데미아점</v>
      </c>
      <c r="D15" s="5">
        <f>IFERROR(IF(B15="",0,SUMIFS(표1[매출금액],표1[매장코드],B15,표1[년],피벗값_구분!$X$2,표1[월],"&gt;="&amp;피벗값_구분!$X$4,표1[월],"&lt;="&amp;피벗값_구분!$X$5)),0)</f>
        <v>98651320</v>
      </c>
      <c r="E15" s="5">
        <f>IFERROR(IF(B15="",0,SUMIFS(표1[매출금액],표1[매장코드],B15,표1[년],피벗값_구분!$X$3,표1[월],"&gt;="&amp;피벗값_구분!$X$4,표1[월],"&lt;="&amp;피벗값_구분!$X$5)),0)</f>
        <v>77884180</v>
      </c>
      <c r="F15" s="19">
        <f t="shared" si="5"/>
        <v>-0.21051051318928118</v>
      </c>
      <c r="G15" s="20">
        <f>IFERROR(IF(B15="",0,SUMIFS(표1[수금액(V+)],표1[매장코드],B15,표1[년],피벗값_구분!$X$2,표1[월],"&gt;="&amp;피벗값_구분!$X$4,표1[월],"&lt;="&amp;피벗값_구분!$X$5)),0)</f>
        <v>64881409</v>
      </c>
      <c r="H15" s="21">
        <f>IFERROR(IF(B15="",0,SUMIFS(표1[수금액(V+)],표1[매장코드],B15,표1[년],피벗값_구분!$X$3,표1[월],"&gt;="&amp;피벗값_구분!$X$4,표1[월],"&lt;="&amp;피벗값_구분!$X$5)),0)</f>
        <v>50674357</v>
      </c>
      <c r="I15" s="22">
        <f t="shared" si="0"/>
        <v>0.6506373566493221</v>
      </c>
      <c r="J15" s="20">
        <f>IFERROR(IF(B15="",0,SUMIFS(표1[생산원가(V-)],표1[매장코드],B15,표1[년],피벗값_구분!$X$2,표1[월],"&gt;="&amp;피벗값_구분!$X$4,표1[월],"&lt;="&amp;피벗값_구분!$X$5)),0)</f>
        <v>34622269</v>
      </c>
      <c r="K15" s="21">
        <f>IFERROR(IF(B15="",0,SUMIFS(표1[생산원가(V-)],표1[매장코드],B15,표1[년],피벗값_구분!$X$3,표1[월],"&gt;="&amp;피벗값_구분!$X$4,표1[월],"&lt;="&amp;피벗값_구분!$X$5)),0)</f>
        <v>24510267</v>
      </c>
      <c r="L15" s="23">
        <f t="shared" si="1"/>
        <v>2.8887404612932204</v>
      </c>
      <c r="M15" s="20">
        <f>IFERROR(IF(B15="",0,SUMIFS(표1[총경비],표1[매장코드],B15,표1[년],피벗값_구분!$X$2,표1[월],"&gt;="&amp;피벗값_구분!$X$4,표1[월],"&lt;="&amp;피벗값_구분!$X$5)),0)</f>
        <v>23699270</v>
      </c>
      <c r="N15" s="21">
        <f>IFERROR(IF(B15="",0,SUMIFS(표1[총경비],표1[매장코드],B15,표1[년],피벗값_구분!$X$3,표1[월],"&gt;="&amp;피벗값_구분!$X$4,표1[월],"&lt;="&amp;피벗값_구분!$X$5)),0)</f>
        <v>19769880</v>
      </c>
      <c r="O15" s="24">
        <f t="shared" si="2"/>
        <v>0.25383691527599056</v>
      </c>
      <c r="P15" s="20">
        <f>IFERROR(IF(B15="",0,SUMIFS(표1[영업이익(V-)],표1[매장코드],B15,표1[년],피벗값_구분!$X$2,표1[월],"&gt;="&amp;피벗값_구분!$X$4,표1[월],"&lt;="&amp;피벗값_구분!$X$5)),0)</f>
        <v>24360830</v>
      </c>
      <c r="Q15" s="21">
        <f>IFERROR(IF(B15="",0,SUMIFS(표1[영업이익(V-)],표1[매장코드],B15,표1[년],피벗값_구분!$X$3,표1[월],"&gt;="&amp;피벗값_구분!$X$4,표1[월],"&lt;="&amp;피벗값_구분!$X$5)),0)</f>
        <v>21557331</v>
      </c>
      <c r="R15" s="24">
        <f t="shared" si="3"/>
        <v>0.30446573488993528</v>
      </c>
      <c r="S15" s="24">
        <f t="shared" si="6"/>
        <v>4.4501191837548644E-3</v>
      </c>
      <c r="T15" s="25">
        <f t="shared" si="4"/>
        <v>-2803499</v>
      </c>
    </row>
    <row r="16" spans="1:27" ht="14.25" customHeight="1">
      <c r="B16" s="18" t="str">
        <f>IFERROR(INDEX(구분!$B:$B,MATCH(11,구분!$E:$E,0)),"")</f>
        <v>00125</v>
      </c>
      <c r="C16" s="99" t="str">
        <f>IFERROR(VLOOKUP(B16,구분!$B:$C,2,0),"")</f>
        <v>롯데구리점</v>
      </c>
      <c r="D16" s="5">
        <f>IFERROR(IF(B16="",0,SUMIFS(표1[매출금액],표1[매장코드],B16,표1[년],피벗값_구분!$X$2,표1[월],"&gt;="&amp;피벗값_구분!$X$4,표1[월],"&lt;="&amp;피벗값_구분!$X$5)),0)</f>
        <v>143276750</v>
      </c>
      <c r="E16" s="5">
        <f>IFERROR(IF(B16="",0,SUMIFS(표1[매출금액],표1[매장코드],B16,표1[년],피벗값_구분!$X$3,표1[월],"&gt;="&amp;피벗값_구분!$X$4,표1[월],"&lt;="&amp;피벗값_구분!$X$5)),0)</f>
        <v>181778830</v>
      </c>
      <c r="F16" s="19">
        <f t="shared" si="5"/>
        <v>0.26872524676892795</v>
      </c>
      <c r="G16" s="20">
        <f>IFERROR(IF(B16="",0,SUMIFS(표1[수금액(V+)],표1[매장코드],B16,표1[년],피벗값_구분!$X$2,표1[월],"&gt;="&amp;피벗값_구분!$X$4,표1[월],"&lt;="&amp;피벗값_구분!$X$5)),0)</f>
        <v>91821991</v>
      </c>
      <c r="H16" s="21">
        <f>IFERROR(IF(B16="",0,SUMIFS(표1[수금액(V+)],표1[매장코드],B16,표1[년],피벗값_구분!$X$3,표1[월],"&gt;="&amp;피벗값_구분!$X$4,표1[월],"&lt;="&amp;피벗값_구분!$X$5)),0)</f>
        <v>116523928</v>
      </c>
      <c r="I16" s="22">
        <f t="shared" si="0"/>
        <v>0.64102034323798873</v>
      </c>
      <c r="J16" s="20">
        <f>IFERROR(IF(B16="",0,SUMIFS(표1[생산원가(V-)],표1[매장코드],B16,표1[년],피벗값_구분!$X$2,표1[월],"&gt;="&amp;피벗값_구분!$X$4,표1[월],"&lt;="&amp;피벗값_구분!$X$5)),0)</f>
        <v>44530712</v>
      </c>
      <c r="K16" s="21">
        <f>IFERROR(IF(B16="",0,SUMIFS(표1[생산원가(V-)],표1[매장코드],B16,표1[년],피벗값_구분!$X$3,표1[월],"&gt;="&amp;피벗값_구분!$X$4,표1[월],"&lt;="&amp;피벗값_구분!$X$5)),0)</f>
        <v>52199820</v>
      </c>
      <c r="L16" s="23">
        <f t="shared" si="1"/>
        <v>3.1657864302632044</v>
      </c>
      <c r="M16" s="20">
        <f>IFERROR(IF(B16="",0,SUMIFS(표1[총경비],표1[매장코드],B16,표1[년],피벗값_구분!$X$2,표1[월],"&gt;="&amp;피벗값_구분!$X$4,표1[월],"&lt;="&amp;피벗값_구분!$X$5)),0)</f>
        <v>29016700</v>
      </c>
      <c r="N16" s="21">
        <f>IFERROR(IF(B16="",0,SUMIFS(표1[총경비],표1[매장코드],B16,표1[년],피벗값_구분!$X$3,표1[월],"&gt;="&amp;피벗값_구분!$X$4,표1[월],"&lt;="&amp;피벗값_구분!$X$5)),0)</f>
        <v>29188010</v>
      </c>
      <c r="O16" s="24">
        <f t="shared" si="2"/>
        <v>0.1605688077098967</v>
      </c>
      <c r="P16" s="20">
        <f>IFERROR(IF(B16="",0,SUMIFS(표1[영업이익(V-)],표1[매장코드],B16,표1[년],피벗값_구분!$X$2,표1[월],"&gt;="&amp;피벗값_구분!$X$4,표1[월],"&lt;="&amp;피벗값_구분!$X$5)),0)</f>
        <v>38943825</v>
      </c>
      <c r="Q16" s="21">
        <f>IFERROR(IF(B16="",0,SUMIFS(표1[영업이익(V-)],표1[매장코드],B16,표1[년],피벗값_구분!$X$3,표1[월],"&gt;="&amp;피벗값_구분!$X$4,표1[월],"&lt;="&amp;피벗값_구분!$X$5)),0)</f>
        <v>53731024</v>
      </c>
      <c r="R16" s="24">
        <f t="shared" si="3"/>
        <v>0.32514306753982297</v>
      </c>
      <c r="S16" s="24">
        <f t="shared" si="6"/>
        <v>1.1091793351653461E-2</v>
      </c>
      <c r="T16" s="25">
        <f t="shared" si="4"/>
        <v>14787199</v>
      </c>
    </row>
    <row r="17" spans="2:20" ht="14.25" customHeight="1">
      <c r="B17" s="18" t="str">
        <f>IFERROR(INDEX(구분!$B:$B,MATCH(12,구분!$E:$E,0)),"")</f>
        <v>00126</v>
      </c>
      <c r="C17" s="99" t="str">
        <f>IFERROR(VLOOKUP(B17,구분!$B:$C,2,0),"")</f>
        <v>롯데영등포점</v>
      </c>
      <c r="D17" s="5">
        <f>IFERROR(IF(B17="",0,SUMIFS(표1[매출금액],표1[매장코드],B17,표1[년],피벗값_구분!$X$2,표1[월],"&gt;="&amp;피벗값_구분!$X$4,표1[월],"&lt;="&amp;피벗값_구분!$X$5)),0)</f>
        <v>177711470</v>
      </c>
      <c r="E17" s="5">
        <f>IFERROR(IF(B17="",0,SUMIFS(표1[매출금액],표1[매장코드],B17,표1[년],피벗값_구분!$X$3,표1[월],"&gt;="&amp;피벗값_구분!$X$4,표1[월],"&lt;="&amp;피벗값_구분!$X$5)),0)</f>
        <v>189650540</v>
      </c>
      <c r="F17" s="19">
        <f t="shared" si="5"/>
        <v>6.7182326498115175E-2</v>
      </c>
      <c r="G17" s="20">
        <f>IFERROR(IF(B17="",0,SUMIFS(표1[수금액(V+)],표1[매장코드],B17,표1[년],피벗값_구분!$X$2,표1[월],"&gt;="&amp;피벗값_구분!$X$4,표1[월],"&lt;="&amp;피벗값_구분!$X$5)),0)</f>
        <v>113866604</v>
      </c>
      <c r="H17" s="21">
        <f>IFERROR(IF(B17="",0,SUMIFS(표1[수금액(V+)],표1[매장코드],B17,표1[년],피벗값_구분!$X$3,표1[월],"&gt;="&amp;피벗값_구분!$X$4,표1[월],"&lt;="&amp;피벗값_구분!$X$5)),0)</f>
        <v>121334561</v>
      </c>
      <c r="I17" s="22">
        <f t="shared" si="0"/>
        <v>0.63977967581848172</v>
      </c>
      <c r="J17" s="20">
        <f>IFERROR(IF(B17="",0,SUMIFS(표1[생산원가(V-)],표1[매장코드],B17,표1[년],피벗값_구분!$X$2,표1[월],"&gt;="&amp;피벗값_구분!$X$4,표1[월],"&lt;="&amp;피벗값_구분!$X$5)),0)</f>
        <v>56681074</v>
      </c>
      <c r="K17" s="21">
        <f>IFERROR(IF(B17="",0,SUMIFS(표1[생산원가(V-)],표1[매장코드],B17,표1[년],피벗값_구분!$X$3,표1[월],"&gt;="&amp;피벗값_구분!$X$4,표1[월],"&lt;="&amp;피벗값_구분!$X$5)),0)</f>
        <v>56747511</v>
      </c>
      <c r="L17" s="23">
        <f t="shared" si="1"/>
        <v>3.038187557127956</v>
      </c>
      <c r="M17" s="20">
        <f>IFERROR(IF(B17="",0,SUMIFS(표1[총경비],표1[매장코드],B17,표1[년],피벗값_구분!$X$2,표1[월],"&gt;="&amp;피벗값_구분!$X$4,표1[월],"&lt;="&amp;피벗값_구분!$X$5)),0)</f>
        <v>25461490</v>
      </c>
      <c r="N17" s="21">
        <f>IFERROR(IF(B17="",0,SUMIFS(표1[총경비],표1[매장코드],B17,표1[년],피벗값_구분!$X$3,표1[월],"&gt;="&amp;피벗값_구분!$X$4,표1[월],"&lt;="&amp;피벗값_구분!$X$5)),0)</f>
        <v>27190460</v>
      </c>
      <c r="O17" s="24">
        <f t="shared" si="2"/>
        <v>0.14337138191117199</v>
      </c>
      <c r="P17" s="20">
        <f>IFERROR(IF(B17="",0,SUMIFS(표1[영업이익(V-)],표1[매장코드],B17,표1[년],피벗값_구분!$X$2,표1[월],"&gt;="&amp;피벗값_구분!$X$4,표1[월],"&lt;="&amp;피벗값_구분!$X$5)),0)</f>
        <v>46834021</v>
      </c>
      <c r="Q17" s="21">
        <f>IFERROR(IF(B17="",0,SUMIFS(표1[영업이익(V-)],표1[매장코드],B17,표1[년],피벗값_구분!$X$3,표1[월],"&gt;="&amp;피벗값_구분!$X$4,표1[월],"&lt;="&amp;피벗값_구분!$X$5)),0)</f>
        <v>53556635</v>
      </c>
      <c r="R17" s="24">
        <f t="shared" si="3"/>
        <v>0.31063607042721841</v>
      </c>
      <c r="S17" s="24">
        <f t="shared" si="6"/>
        <v>1.1055793912096873E-2</v>
      </c>
      <c r="T17" s="25">
        <f t="shared" si="4"/>
        <v>6722614</v>
      </c>
    </row>
    <row r="18" spans="2:20" ht="14.25" customHeight="1">
      <c r="B18" s="18" t="str">
        <f>IFERROR(INDEX(구분!$B:$B,MATCH(13,구분!$E:$E,0)),"")</f>
        <v>00128</v>
      </c>
      <c r="C18" s="99" t="str">
        <f>IFERROR(VLOOKUP(B18,구분!$B:$C,2,0),"")</f>
        <v>롯데부산본점</v>
      </c>
      <c r="D18" s="5">
        <f>IFERROR(IF(B18="",0,SUMIFS(표1[매출금액],표1[매장코드],B18,표1[년],피벗값_구분!$X$2,표1[월],"&gt;="&amp;피벗값_구분!$X$4,표1[월],"&lt;="&amp;피벗값_구분!$X$5)),0)</f>
        <v>318432220</v>
      </c>
      <c r="E18" s="5">
        <f>IFERROR(IF(B18="",0,SUMIFS(표1[매출금액],표1[매장코드],B18,표1[년],피벗값_구분!$X$3,표1[월],"&gt;="&amp;피벗값_구분!$X$4,표1[월],"&lt;="&amp;피벗값_구분!$X$5)),0)</f>
        <v>341686200</v>
      </c>
      <c r="F18" s="19">
        <f t="shared" si="5"/>
        <v>7.3026466982518287E-2</v>
      </c>
      <c r="G18" s="20">
        <f>IFERROR(IF(B18="",0,SUMIFS(표1[수금액(V+)],표1[매장코드],B18,표1[년],피벗값_구분!$X$2,표1[월],"&gt;="&amp;피벗값_구분!$X$4,표1[월],"&lt;="&amp;피벗값_구분!$X$5)),0)</f>
        <v>203796169</v>
      </c>
      <c r="H18" s="21">
        <f>IFERROR(IF(B18="",0,SUMIFS(표1[수금액(V+)],표1[매장코드],B18,표1[년],피벗값_구분!$X$3,표1[월],"&gt;="&amp;피벗값_구분!$X$4,표1[월],"&lt;="&amp;피벗값_구분!$X$5)),0)</f>
        <v>218843755</v>
      </c>
      <c r="I18" s="22">
        <f t="shared" si="0"/>
        <v>0.64048169051018156</v>
      </c>
      <c r="J18" s="20">
        <f>IFERROR(IF(B18="",0,SUMIFS(표1[생산원가(V-)],표1[매장코드],B18,표1[년],피벗값_구분!$X$2,표1[월],"&gt;="&amp;피벗값_구분!$X$4,표1[월],"&lt;="&amp;피벗값_구분!$X$5)),0)</f>
        <v>93232490</v>
      </c>
      <c r="K18" s="21">
        <f>IFERROR(IF(B18="",0,SUMIFS(표1[생산원가(V-)],표1[매장코드],B18,표1[년],피벗값_구분!$X$3,표1[월],"&gt;="&amp;피벗값_구분!$X$4,표1[월],"&lt;="&amp;피벗값_구분!$X$5)),0)</f>
        <v>97968242</v>
      </c>
      <c r="L18" s="23">
        <f t="shared" si="1"/>
        <v>3.1706582851799885</v>
      </c>
      <c r="M18" s="20">
        <f>IFERROR(IF(B18="",0,SUMIFS(표1[총경비],표1[매장코드],B18,표1[년],피벗값_구분!$X$2,표1[월],"&gt;="&amp;피벗값_구분!$X$4,표1[월],"&lt;="&amp;피벗값_구분!$X$5)),0)</f>
        <v>36971910</v>
      </c>
      <c r="N18" s="21">
        <f>IFERROR(IF(B18="",0,SUMIFS(표1[총경비],표1[매장코드],B18,표1[년],피벗값_구분!$X$3,표1[월],"&gt;="&amp;피벗값_구분!$X$4,표1[월],"&lt;="&amp;피벗값_구분!$X$5)),0)</f>
        <v>36020670</v>
      </c>
      <c r="O18" s="24">
        <f t="shared" si="2"/>
        <v>0.10542032426243729</v>
      </c>
      <c r="P18" s="20">
        <f>IFERROR(IF(B18="",0,SUMIFS(표1[영업이익(V-)],표1[매장코드],B18,표1[년],피벗값_구분!$X$2,표1[월],"&gt;="&amp;피벗값_구분!$X$4,표1[월],"&lt;="&amp;피벗값_구분!$X$5)),0)</f>
        <v>92036754</v>
      </c>
      <c r="Q18" s="21">
        <f>IFERROR(IF(B18="",0,SUMIFS(표1[영업이익(V-)],표1[매장코드],B18,표1[년],피벗값_구분!$X$3,표1[월],"&gt;="&amp;피벗값_구분!$X$4,표1[월],"&lt;="&amp;피벗값_구분!$X$5)),0)</f>
        <v>100980625</v>
      </c>
      <c r="R18" s="24">
        <f t="shared" si="3"/>
        <v>0.32508976803862732</v>
      </c>
      <c r="S18" s="24">
        <f t="shared" si="6"/>
        <v>2.0845614723829033E-2</v>
      </c>
      <c r="T18" s="25">
        <f t="shared" si="4"/>
        <v>8943871</v>
      </c>
    </row>
    <row r="19" spans="2:20" ht="14.25" customHeight="1">
      <c r="B19" s="18" t="str">
        <f>IFERROR(INDEX(구분!$B:$B,MATCH(14,구분!$E:$E,0)),"")</f>
        <v>00129</v>
      </c>
      <c r="C19" s="99" t="str">
        <f>IFERROR(VLOOKUP(B19,구분!$B:$C,2,0),"")</f>
        <v>롯데평촌점</v>
      </c>
      <c r="D19" s="5">
        <f>IFERROR(IF(B19="",0,SUMIFS(표1[매출금액],표1[매장코드],B19,표1[년],피벗값_구분!$X$2,표1[월],"&gt;="&amp;피벗값_구분!$X$4,표1[월],"&lt;="&amp;피벗값_구분!$X$5)),0)</f>
        <v>295984510</v>
      </c>
      <c r="E19" s="5">
        <f>IFERROR(IF(B19="",0,SUMIFS(표1[매출금액],표1[매장코드],B19,표1[년],피벗값_구분!$X$3,표1[월],"&gt;="&amp;피벗값_구분!$X$4,표1[월],"&lt;="&amp;피벗값_구분!$X$5)),0)</f>
        <v>355223110</v>
      </c>
      <c r="F19" s="19">
        <f t="shared" si="5"/>
        <v>0.20014087899397168</v>
      </c>
      <c r="G19" s="20">
        <f>IFERROR(IF(B19="",0,SUMIFS(표1[수금액(V+)],표1[매장코드],B19,표1[년],피벗값_구분!$X$2,표1[월],"&gt;="&amp;피벗값_구분!$X$4,표1[월],"&lt;="&amp;피벗값_구분!$X$5)),0)</f>
        <v>189974329</v>
      </c>
      <c r="H19" s="21">
        <f>IFERROR(IF(B19="",0,SUMIFS(표1[수금액(V+)],표1[매장코드],B19,표1[년],피벗값_구분!$X$3,표1[월],"&gt;="&amp;피벗값_구분!$X$4,표1[월],"&lt;="&amp;피벗값_구분!$X$5)),0)</f>
        <v>227708060</v>
      </c>
      <c r="I19" s="22">
        <f t="shared" si="0"/>
        <v>0.64102828219706764</v>
      </c>
      <c r="J19" s="20">
        <f>IFERROR(IF(B19="",0,SUMIFS(표1[생산원가(V-)],표1[매장코드],B19,표1[년],피벗값_구분!$X$2,표1[월],"&gt;="&amp;피벗값_구분!$X$4,표1[월],"&lt;="&amp;피벗값_구분!$X$5)),0)</f>
        <v>92654598</v>
      </c>
      <c r="K19" s="21">
        <f>IFERROR(IF(B19="",0,SUMIFS(표1[생산원가(V-)],표1[매장코드],B19,표1[년],피벗값_구분!$X$3,표1[월],"&gt;="&amp;피벗값_구분!$X$4,표1[월],"&lt;="&amp;피벗값_구분!$X$5)),0)</f>
        <v>102007171</v>
      </c>
      <c r="L19" s="23">
        <f t="shared" si="1"/>
        <v>3.1657588072901266</v>
      </c>
      <c r="M19" s="20">
        <f>IFERROR(IF(B19="",0,SUMIFS(표1[총경비],표1[매장코드],B19,표1[년],피벗값_구분!$X$2,표1[월],"&gt;="&amp;피벗값_구분!$X$4,표1[월],"&lt;="&amp;피벗값_구분!$X$5)),0)</f>
        <v>38190450</v>
      </c>
      <c r="N19" s="21">
        <f>IFERROR(IF(B19="",0,SUMIFS(표1[총경비],표1[매장코드],B19,표1[년],피벗값_구분!$X$3,표1[월],"&gt;="&amp;피벗값_구분!$X$4,표1[월],"&lt;="&amp;피벗값_구분!$X$5)),0)</f>
        <v>49458840</v>
      </c>
      <c r="O19" s="24">
        <f t="shared" si="2"/>
        <v>0.13923317094994186</v>
      </c>
      <c r="P19" s="20">
        <f>IFERROR(IF(B19="",0,SUMIFS(표1[영업이익(V-)],표1[매장코드],B19,표1[년],피벗값_구분!$X$2,표1[월],"&gt;="&amp;피벗값_구분!$X$4,표1[월],"&lt;="&amp;피벗값_구분!$X$5)),0)</f>
        <v>80049337</v>
      </c>
      <c r="Q19" s="21">
        <f>IFERROR(IF(B19="",0,SUMIFS(표1[영업이익(V-)],표1[매장코드],B19,표1[년],피벗값_구분!$X$3,표1[월],"&gt;="&amp;피벗값_구분!$X$4,표1[월],"&lt;="&amp;피벗값_구분!$X$5)),0)</f>
        <v>105000157</v>
      </c>
      <c r="R19" s="24">
        <f t="shared" si="3"/>
        <v>0.32514825034891454</v>
      </c>
      <c r="S19" s="24">
        <f t="shared" si="6"/>
        <v>2.1675374050849461E-2</v>
      </c>
      <c r="T19" s="25">
        <f t="shared" si="4"/>
        <v>24950820</v>
      </c>
    </row>
    <row r="20" spans="2:20" ht="14.25" customHeight="1">
      <c r="B20" s="18" t="str">
        <f>IFERROR(INDEX(구분!$B:$B,MATCH(15,구분!$E:$E,0)),"")</f>
        <v>00130</v>
      </c>
      <c r="C20" s="99" t="str">
        <f>IFERROR(VLOOKUP(B20,구분!$B:$C,2,0),"")</f>
        <v>롯데안산점</v>
      </c>
      <c r="D20" s="5">
        <f>IFERROR(IF(B20="",0,SUMIFS(표1[매출금액],표1[매장코드],B20,표1[년],피벗값_구분!$X$2,표1[월],"&gt;="&amp;피벗값_구분!$X$4,표1[월],"&lt;="&amp;피벗값_구분!$X$5)),0)</f>
        <v>159382210</v>
      </c>
      <c r="E20" s="5">
        <f>IFERROR(IF(B20="",0,SUMIFS(표1[매출금액],표1[매장코드],B20,표1[년],피벗값_구분!$X$3,표1[월],"&gt;="&amp;피벗값_구분!$X$4,표1[월],"&lt;="&amp;피벗값_구분!$X$5)),0)</f>
        <v>157492840</v>
      </c>
      <c r="F20" s="19">
        <f t="shared" si="5"/>
        <v>-1.1854334307448743E-2</v>
      </c>
      <c r="G20" s="20">
        <f>IFERROR(IF(B20="",0,SUMIFS(표1[수금액(V+)],표1[매장코드],B20,표1[년],피벗값_구분!$X$2,표1[월],"&gt;="&amp;피벗값_구분!$X$4,표1[월],"&lt;="&amp;피벗값_구분!$X$5)),0)</f>
        <v>104289246</v>
      </c>
      <c r="H20" s="21">
        <f>IFERROR(IF(B20="",0,SUMIFS(표1[수금액(V+)],표1[매장코드],B20,표1[년],피벗값_구분!$X$3,표1[월],"&gt;="&amp;피벗값_구분!$X$4,표1[월],"&lt;="&amp;피벗값_구분!$X$5)),0)</f>
        <v>103944753</v>
      </c>
      <c r="I20" s="22">
        <f t="shared" si="0"/>
        <v>0.65999668937330735</v>
      </c>
      <c r="J20" s="20">
        <f>IFERROR(IF(B20="",0,SUMIFS(표1[생산원가(V-)],표1[매장코드],B20,표1[년],피벗값_구분!$X$2,표1[월],"&gt;="&amp;피벗값_구분!$X$4,표1[월],"&lt;="&amp;피벗값_구분!$X$5)),0)</f>
        <v>48184072</v>
      </c>
      <c r="K20" s="21">
        <f>IFERROR(IF(B20="",0,SUMIFS(표1[생산원가(V-)],표1[매장코드],B20,표1[년],피벗값_구분!$X$3,표1[월],"&gt;="&amp;피벗값_구분!$X$4,표1[월],"&lt;="&amp;피벗값_구분!$X$5)),0)</f>
        <v>49094753</v>
      </c>
      <c r="L20" s="23">
        <f t="shared" si="1"/>
        <v>2.9163057219354802</v>
      </c>
      <c r="M20" s="20">
        <f>IFERROR(IF(B20="",0,SUMIFS(표1[총경비],표1[매장코드],B20,표1[년],피벗값_구분!$X$2,표1[월],"&gt;="&amp;피벗값_구분!$X$4,표1[월],"&lt;="&amp;피벗값_구분!$X$5)),0)</f>
        <v>28404420</v>
      </c>
      <c r="N20" s="21">
        <f>IFERROR(IF(B20="",0,SUMIFS(표1[총경비],표1[매장코드],B20,표1[년],피벗값_구분!$X$3,표1[월],"&gt;="&amp;피벗값_구분!$X$4,표1[월],"&lt;="&amp;피벗값_구분!$X$5)),0)</f>
        <v>30288810</v>
      </c>
      <c r="O20" s="24">
        <f t="shared" si="2"/>
        <v>0.19231864762867951</v>
      </c>
      <c r="P20" s="20">
        <f>IFERROR(IF(B20="",0,SUMIFS(표1[영업이익(V-)],표1[매장코드],B20,표1[년],피벗값_구분!$X$2,표1[월],"&gt;="&amp;피벗값_구분!$X$4,표1[월],"&lt;="&amp;피벗값_구분!$X$5)),0)</f>
        <v>46624334</v>
      </c>
      <c r="Q20" s="21">
        <f>IFERROR(IF(B20="",0,SUMIFS(표1[영업이익(V-)],표1[매장코드],B20,표1[년],피벗값_구분!$X$3,표1[월],"&gt;="&amp;피벗값_구분!$X$4,표1[월],"&lt;="&amp;피벗값_구분!$X$5)),0)</f>
        <v>45400476</v>
      </c>
      <c r="R20" s="24">
        <f t="shared" si="3"/>
        <v>0.31709710485886217</v>
      </c>
      <c r="S20" s="24">
        <f t="shared" si="6"/>
        <v>9.3721031234897459E-3</v>
      </c>
      <c r="T20" s="25">
        <f t="shared" si="4"/>
        <v>-1223858</v>
      </c>
    </row>
    <row r="21" spans="2:20" ht="14.25" customHeight="1">
      <c r="B21" s="18" t="str">
        <f>IFERROR(INDEX(구분!$B:$B,MATCH(16,구분!$E:$E,0)),"")</f>
        <v>00131</v>
      </c>
      <c r="C21" s="99" t="str">
        <f>IFERROR(VLOOKUP(B21,구분!$B:$C,2,0),"")</f>
        <v>롯데노원점</v>
      </c>
      <c r="D21" s="5">
        <f>IFERROR(IF(B21="",0,SUMIFS(표1[매출금액],표1[매장코드],B21,표1[년],피벗값_구분!$X$2,표1[월],"&gt;="&amp;피벗값_구분!$X$4,표1[월],"&lt;="&amp;피벗값_구분!$X$5)),0)</f>
        <v>197303730</v>
      </c>
      <c r="E21" s="5">
        <f>IFERROR(IF(B21="",0,SUMIFS(표1[매출금액],표1[매장코드],B21,표1[년],피벗값_구분!$X$3,표1[월],"&gt;="&amp;피벗값_구분!$X$4,표1[월],"&lt;="&amp;피벗값_구분!$X$5)),0)</f>
        <v>191897800</v>
      </c>
      <c r="F21" s="19">
        <f t="shared" si="5"/>
        <v>-2.7399025857240508E-2</v>
      </c>
      <c r="G21" s="20">
        <f>IFERROR(IF(B21="",0,SUMIFS(표1[수금액(V+)],표1[매장코드],B21,표1[년],피벗값_구분!$X$2,표1[월],"&gt;="&amp;피벗값_구분!$X$4,표1[월],"&lt;="&amp;피벗값_구분!$X$5)),0)</f>
        <v>126353289</v>
      </c>
      <c r="H21" s="21">
        <f>IFERROR(IF(B21="",0,SUMIFS(표1[수금액(V+)],표1[매장코드],B21,표1[년],피벗값_구분!$X$3,표1[월],"&gt;="&amp;피벗값_구분!$X$4,표1[월],"&lt;="&amp;피벗값_구분!$X$5)),0)</f>
        <v>122853458</v>
      </c>
      <c r="I21" s="22">
        <f t="shared" si="0"/>
        <v>0.64020253489096801</v>
      </c>
      <c r="J21" s="20">
        <f>IFERROR(IF(B21="",0,SUMIFS(표1[생산원가(V-)],표1[매장코드],B21,표1[년],피벗값_구분!$X$2,표1[월],"&gt;="&amp;피벗값_구분!$X$4,표1[월],"&lt;="&amp;피벗값_구분!$X$5)),0)</f>
        <v>60864187</v>
      </c>
      <c r="K21" s="21">
        <f>IFERROR(IF(B21="",0,SUMIFS(표1[생산원가(V-)],표1[매장코드],B21,표1[년],피벗값_구분!$X$3,표1[월],"&gt;="&amp;피벗값_구분!$X$4,표1[월],"&lt;="&amp;피벗값_구분!$X$5)),0)</f>
        <v>54260858</v>
      </c>
      <c r="L21" s="23">
        <f t="shared" si="1"/>
        <v>3.2150716351471154</v>
      </c>
      <c r="M21" s="20">
        <f>IFERROR(IF(B21="",0,SUMIFS(표1[총경비],표1[매장코드],B21,표1[년],피벗값_구분!$X$2,표1[월],"&gt;="&amp;피벗값_구분!$X$4,표1[월],"&lt;="&amp;피벗값_구분!$X$5)),0)</f>
        <v>28694950</v>
      </c>
      <c r="N21" s="21">
        <f>IFERROR(IF(B21="",0,SUMIFS(표1[총경비],표1[매장코드],B21,표1[년],피벗값_구분!$X$3,표1[월],"&gt;="&amp;피벗값_구분!$X$4,표1[월],"&lt;="&amp;피벗값_구분!$X$5)),0)</f>
        <v>28157190</v>
      </c>
      <c r="O21" s="24">
        <f t="shared" si="2"/>
        <v>0.14673013447783143</v>
      </c>
      <c r="P21" s="20">
        <f>IFERROR(IF(B21="",0,SUMIFS(표1[영업이익(V-)],표1[매장코드],B21,표1[년],피벗값_구분!$X$2,표1[월],"&gt;="&amp;피벗값_구분!$X$4,표1[월],"&lt;="&amp;피벗값_구분!$X$5)),0)</f>
        <v>54002440</v>
      </c>
      <c r="Q21" s="21">
        <f>IFERROR(IF(B21="",0,SUMIFS(표1[영업이익(V-)],표1[매장코드],B21,표1[년],피벗값_구분!$X$3,표1[월],"&gt;="&amp;피벗값_구분!$X$4,표1[월],"&lt;="&amp;피벗값_구분!$X$5)),0)</f>
        <v>57424103</v>
      </c>
      <c r="R21" s="24">
        <f t="shared" si="3"/>
        <v>0.32916746987198398</v>
      </c>
      <c r="S21" s="24">
        <f t="shared" si="6"/>
        <v>1.1854162390057252E-2</v>
      </c>
      <c r="T21" s="25">
        <f t="shared" si="4"/>
        <v>3421663</v>
      </c>
    </row>
    <row r="22" spans="2:20" ht="14.25" customHeight="1">
      <c r="B22" s="18" t="str">
        <f>IFERROR(INDEX(구분!$B:$B,MATCH(17,구분!$E:$E,0)),"")</f>
        <v>00132</v>
      </c>
      <c r="C22" s="99" t="str">
        <f>IFERROR(VLOOKUP(B22,구분!$B:$C,2,0),"")</f>
        <v>롯데광복점</v>
      </c>
      <c r="D22" s="5">
        <f>IFERROR(IF(B22="",0,SUMIFS(표1[매출금액],표1[매장코드],B22,표1[년],피벗값_구분!$X$2,표1[월],"&gt;="&amp;피벗값_구분!$X$4,표1[월],"&lt;="&amp;피벗값_구분!$X$5)),0)</f>
        <v>148429910</v>
      </c>
      <c r="E22" s="5">
        <f>IFERROR(IF(B22="",0,SUMIFS(표1[매출금액],표1[매장코드],B22,표1[년],피벗값_구분!$X$3,표1[월],"&gt;="&amp;피벗값_구분!$X$4,표1[월],"&lt;="&amp;피벗값_구분!$X$5)),0)</f>
        <v>169389600</v>
      </c>
      <c r="F22" s="19">
        <f t="shared" si="5"/>
        <v>0.14120934251054926</v>
      </c>
      <c r="G22" s="20">
        <f>IFERROR(IF(B22="",0,SUMIFS(표1[수금액(V+)],표1[매장코드],B22,표1[년],피벗값_구분!$X$2,표1[월],"&gt;="&amp;피벗값_구분!$X$4,표1[월],"&lt;="&amp;피벗값_구분!$X$5)),0)</f>
        <v>95098681</v>
      </c>
      <c r="H22" s="21">
        <f>IFERROR(IF(B22="",0,SUMIFS(표1[수금액(V+)],표1[매장코드],B22,표1[년],피벗값_구분!$X$3,표1[월],"&gt;="&amp;피벗값_구분!$X$4,표1[월],"&lt;="&amp;피벗값_구분!$X$5)),0)</f>
        <v>108599095</v>
      </c>
      <c r="I22" s="22">
        <f t="shared" si="0"/>
        <v>0.64112020454620589</v>
      </c>
      <c r="J22" s="20">
        <f>IFERROR(IF(B22="",0,SUMIFS(표1[생산원가(V-)],표1[매장코드],B22,표1[년],피벗값_구분!$X$2,표1[월],"&gt;="&amp;피벗값_구분!$X$4,표1[월],"&lt;="&amp;피벗값_구분!$X$5)),0)</f>
        <v>44909984</v>
      </c>
      <c r="K22" s="21">
        <f>IFERROR(IF(B22="",0,SUMIFS(표1[생산원가(V-)],표1[매장코드],B22,표1[년],피벗값_구분!$X$3,표1[월],"&gt;="&amp;피벗값_구분!$X$4,표1[월],"&lt;="&amp;피벗값_구분!$X$5)),0)</f>
        <v>47622024</v>
      </c>
      <c r="L22" s="23">
        <f t="shared" si="1"/>
        <v>3.2335993416522038</v>
      </c>
      <c r="M22" s="20">
        <f>IFERROR(IF(B22="",0,SUMIFS(표1[총경비],표1[매장코드],B22,표1[년],피벗값_구분!$X$2,표1[월],"&gt;="&amp;피벗값_구분!$X$4,표1[월],"&lt;="&amp;피벗값_구분!$X$5)),0)</f>
        <v>28879830</v>
      </c>
      <c r="N22" s="21">
        <f>IFERROR(IF(B22="",0,SUMIFS(표1[총경비],표1[매장코드],B22,표1[년],피벗값_구분!$X$3,표1[월],"&gt;="&amp;피벗값_구분!$X$4,표1[월],"&lt;="&amp;피벗값_구분!$X$5)),0)</f>
        <v>29722360</v>
      </c>
      <c r="O22" s="24">
        <f t="shared" si="2"/>
        <v>0.17546744310158358</v>
      </c>
      <c r="P22" s="20">
        <f>IFERROR(IF(B22="",0,SUMIFS(표1[영업이익(V-)],표1[매장코드],B22,표1[년],피벗값_구분!$X$2,표1[월],"&gt;="&amp;피벗값_구분!$X$4,표1[월],"&lt;="&amp;피벗값_구분!$X$5)),0)</f>
        <v>41543363</v>
      </c>
      <c r="Q22" s="21">
        <f>IFERROR(IF(B22="",0,SUMIFS(표1[영업이익(V-)],표1[매장코드],B22,표1[년],피벗값_구분!$X$3,표1[월],"&gt;="&amp;피벗값_구분!$X$4,표1[월],"&lt;="&amp;피벗값_구분!$X$5)),0)</f>
        <v>51104427</v>
      </c>
      <c r="R22" s="24">
        <f t="shared" si="3"/>
        <v>0.33186730295130284</v>
      </c>
      <c r="S22" s="24">
        <f t="shared" si="6"/>
        <v>1.0549580139002368E-2</v>
      </c>
      <c r="T22" s="25">
        <f t="shared" si="4"/>
        <v>9561064</v>
      </c>
    </row>
    <row r="23" spans="2:20" ht="14.25" customHeight="1">
      <c r="B23" s="18" t="str">
        <f>IFERROR(INDEX(구분!$B:$B,MATCH(18,구분!$E:$E,0)),"")</f>
        <v>00135</v>
      </c>
      <c r="C23" s="99" t="str">
        <f>IFERROR(VLOOKUP(B23,구분!$B:$C,2,0),"")</f>
        <v>롯데수원점</v>
      </c>
      <c r="D23" s="5">
        <f>IFERROR(IF(B23="",0,SUMIFS(표1[매출금액],표1[매장코드],B23,표1[년],피벗값_구분!$X$2,표1[월],"&gt;="&amp;피벗값_구분!$X$4,표1[월],"&lt;="&amp;피벗값_구분!$X$5)),0)</f>
        <v>148514440</v>
      </c>
      <c r="E23" s="5">
        <f>IFERROR(IF(B23="",0,SUMIFS(표1[매출금액],표1[매장코드],B23,표1[년],피벗값_구분!$X$3,표1[월],"&gt;="&amp;피벗값_구분!$X$4,표1[월],"&lt;="&amp;피벗값_구분!$X$5)),0)</f>
        <v>126271840</v>
      </c>
      <c r="F23" s="19">
        <f t="shared" si="5"/>
        <v>-0.14976725495514107</v>
      </c>
      <c r="G23" s="20">
        <f>IFERROR(IF(B23="",0,SUMIFS(표1[수금액(V+)],표1[매장코드],B23,표1[년],피벗값_구분!$X$2,표1[월],"&gt;="&amp;피벗값_구분!$X$4,표1[월],"&lt;="&amp;피벗값_구분!$X$5)),0)</f>
        <v>95193670</v>
      </c>
      <c r="H23" s="21">
        <f>IFERROR(IF(B23="",0,SUMIFS(표1[수금액(V+)],표1[매장코드],B23,표1[년],피벗값_구분!$X$3,표1[월],"&gt;="&amp;피벗값_구분!$X$4,표1[월],"&lt;="&amp;피벗값_구분!$X$5)),0)</f>
        <v>80956443</v>
      </c>
      <c r="I23" s="22">
        <f t="shared" si="0"/>
        <v>0.64112824363690268</v>
      </c>
      <c r="J23" s="20">
        <f>IFERROR(IF(B23="",0,SUMIFS(표1[생산원가(V-)],표1[매장코드],B23,표1[년],피벗값_구분!$X$2,표1[월],"&gt;="&amp;피벗값_구분!$X$4,표1[월],"&lt;="&amp;피벗값_구분!$X$5)),0)</f>
        <v>46119521</v>
      </c>
      <c r="K23" s="21">
        <f>IFERROR(IF(B23="",0,SUMIFS(표1[생산원가(V-)],표1[매장코드],B23,표1[년],피벗값_구분!$X$3,표1[월],"&gt;="&amp;피벗값_구분!$X$4,표1[월],"&lt;="&amp;피벗값_구분!$X$5)),0)</f>
        <v>37486707</v>
      </c>
      <c r="L23" s="23">
        <f t="shared" si="1"/>
        <v>3.062221011255585</v>
      </c>
      <c r="M23" s="20">
        <f>IFERROR(IF(B23="",0,SUMIFS(표1[총경비],표1[매장코드],B23,표1[년],피벗값_구분!$X$2,표1[월],"&gt;="&amp;피벗값_구분!$X$4,표1[월],"&lt;="&amp;피벗값_구분!$X$5)),0)</f>
        <v>28682330</v>
      </c>
      <c r="N23" s="21">
        <f>IFERROR(IF(B23="",0,SUMIFS(표1[총경비],표1[매장코드],B23,표1[년],피벗값_구분!$X$3,표1[월],"&gt;="&amp;피벗값_구분!$X$4,표1[월],"&lt;="&amp;피벗값_구분!$X$5)),0)</f>
        <v>27873090</v>
      </c>
      <c r="O23" s="24">
        <f t="shared" si="2"/>
        <v>0.22073876487425859</v>
      </c>
      <c r="P23" s="20">
        <f>IFERROR(IF(B23="",0,SUMIFS(표1[영업이익(V-)],표1[매장코드],B23,표1[년],피벗값_구분!$X$2,표1[월],"&gt;="&amp;피벗값_구분!$X$4,표1[월],"&lt;="&amp;피벗값_구분!$X$5)),0)</f>
        <v>40420179</v>
      </c>
      <c r="Q23" s="21">
        <f>IFERROR(IF(B23="",0,SUMIFS(표1[영업이익(V-)],표1[매장코드],B23,표1[년],피벗값_구분!$X$3,표1[월],"&gt;="&amp;피벗값_구분!$X$4,표1[월],"&lt;="&amp;피벗값_구분!$X$5)),0)</f>
        <v>36110059</v>
      </c>
      <c r="R23" s="24">
        <f t="shared" si="3"/>
        <v>0.31456787910907136</v>
      </c>
      <c r="S23" s="24">
        <f t="shared" si="6"/>
        <v>7.4542653857483567E-3</v>
      </c>
      <c r="T23" s="25">
        <f t="shared" si="4"/>
        <v>-4310120</v>
      </c>
    </row>
    <row r="24" spans="2:20" ht="14.25" customHeight="1">
      <c r="B24" s="18" t="str">
        <f>IFERROR(INDEX(구분!$B:$B,MATCH(19,구분!$E:$E,0)),"")</f>
        <v>00137</v>
      </c>
      <c r="C24" s="99" t="str">
        <f>IFERROR(VLOOKUP(B24,구분!$B:$C,2,0),"")</f>
        <v>롯데대구점</v>
      </c>
      <c r="D24" s="5">
        <f>IFERROR(IF(B24="",0,SUMIFS(표1[매출금액],표1[매장코드],B24,표1[년],피벗값_구분!$X$2,표1[월],"&gt;="&amp;피벗값_구분!$X$4,표1[월],"&lt;="&amp;피벗값_구분!$X$5)),0)</f>
        <v>128179450</v>
      </c>
      <c r="E24" s="5">
        <f>IFERROR(IF(B24="",0,SUMIFS(표1[매출금액],표1[매장코드],B24,표1[년],피벗값_구분!$X$3,표1[월],"&gt;="&amp;피벗값_구분!$X$4,표1[월],"&lt;="&amp;피벗값_구분!$X$5)),0)</f>
        <v>157533820</v>
      </c>
      <c r="F24" s="19">
        <f t="shared" si="5"/>
        <v>0.22900995440376753</v>
      </c>
      <c r="G24" s="20">
        <f>IFERROR(IF(B24="",0,SUMIFS(표1[수금액(V+)],표1[매장코드],B24,표1[년],피벗값_구분!$X$2,표1[월],"&gt;="&amp;피벗값_구분!$X$4,표1[월],"&lt;="&amp;피벗값_구분!$X$5)),0)</f>
        <v>83001721</v>
      </c>
      <c r="H24" s="21">
        <f>IFERROR(IF(B24="",0,SUMIFS(표1[수금액(V+)],표1[매장코드],B24,표1[년],피벗값_구분!$X$3,표1[월],"&gt;="&amp;피벗값_구분!$X$4,표1[월],"&lt;="&amp;피벗값_구분!$X$5)),0)</f>
        <v>100874574</v>
      </c>
      <c r="I24" s="22">
        <f t="shared" si="0"/>
        <v>0.64033598626631416</v>
      </c>
      <c r="J24" s="20">
        <f>IFERROR(IF(B24="",0,SUMIFS(표1[생산원가(V-)],표1[매장코드],B24,표1[년],피벗값_구분!$X$2,표1[월],"&gt;="&amp;피벗값_구분!$X$4,표1[월],"&lt;="&amp;피벗값_구분!$X$5)),0)</f>
        <v>44147376</v>
      </c>
      <c r="K24" s="21">
        <f>IFERROR(IF(B24="",0,SUMIFS(표1[생산원가(V-)],표1[매장코드],B24,표1[년],피벗값_구분!$X$3,표1[월],"&gt;="&amp;피벗값_구분!$X$4,표1[월],"&lt;="&amp;피벗값_구분!$X$5)),0)</f>
        <v>49922324</v>
      </c>
      <c r="L24" s="23">
        <f t="shared" si="1"/>
        <v>2.8687078677740168</v>
      </c>
      <c r="M24" s="20">
        <f>IFERROR(IF(B24="",0,SUMIFS(표1[총경비],표1[매장코드],B24,표1[년],피벗값_구분!$X$2,표1[월],"&gt;="&amp;피벗값_구분!$X$4,표1[월],"&lt;="&amp;피벗값_구분!$X$5)),0)</f>
        <v>29167200</v>
      </c>
      <c r="N24" s="21">
        <f>IFERROR(IF(B24="",0,SUMIFS(표1[총경비],표1[매장코드],B24,표1[년],피벗값_구분!$X$3,표1[월],"&gt;="&amp;피벗값_구분!$X$4,표1[월],"&lt;="&amp;피벗값_구분!$X$5)),0)</f>
        <v>33749970</v>
      </c>
      <c r="O24" s="24">
        <f t="shared" si="2"/>
        <v>0.21423952012336145</v>
      </c>
      <c r="P24" s="20">
        <f>IFERROR(IF(B24="",0,SUMIFS(표1[영업이익(V-)],표1[매장코드],B24,표1[년],피벗값_구분!$X$2,표1[월],"&gt;="&amp;피벗값_구분!$X$4,표1[월],"&lt;="&amp;피벗값_구분!$X$5)),0)</f>
        <v>31308733</v>
      </c>
      <c r="Q24" s="21">
        <f>IFERROR(IF(B24="",0,SUMIFS(표1[영업이익(V-)],표1[매장코드],B24,표1[년],피벗값_구분!$X$3,표1[월],"&gt;="&amp;피벗값_구분!$X$4,표1[월],"&lt;="&amp;피벗값_구분!$X$5)),0)</f>
        <v>41781835</v>
      </c>
      <c r="R24" s="24">
        <f t="shared" si="3"/>
        <v>0.2917469943914266</v>
      </c>
      <c r="S24" s="24">
        <f t="shared" si="6"/>
        <v>8.6251004572866843E-3</v>
      </c>
      <c r="T24" s="25">
        <f t="shared" si="4"/>
        <v>10473102</v>
      </c>
    </row>
    <row r="25" spans="2:20" ht="14.25" customHeight="1">
      <c r="B25" s="18" t="str">
        <f>IFERROR(INDEX(구분!$B:$B,MATCH(20,구분!$E:$E,0)),"")</f>
        <v>00139</v>
      </c>
      <c r="C25" s="99" t="str">
        <f>IFERROR(VLOOKUP(B25,구분!$B:$C,2,0),"")</f>
        <v>롯데전주점</v>
      </c>
      <c r="D25" s="5">
        <f>IFERROR(IF(B25="",0,SUMIFS(표1[매출금액],표1[매장코드],B25,표1[년],피벗값_구분!$X$2,표1[월],"&gt;="&amp;피벗값_구분!$X$4,표1[월],"&lt;="&amp;피벗값_구분!$X$5)),0)</f>
        <v>149635130</v>
      </c>
      <c r="E25" s="5">
        <f>IFERROR(IF(B25="",0,SUMIFS(표1[매출금액],표1[매장코드],B25,표1[년],피벗값_구분!$X$3,표1[월],"&gt;="&amp;피벗값_구분!$X$4,표1[월],"&lt;="&amp;피벗값_구분!$X$5)),0)</f>
        <v>156029110</v>
      </c>
      <c r="F25" s="19">
        <f t="shared" si="5"/>
        <v>4.2730473786469797E-2</v>
      </c>
      <c r="G25" s="20">
        <f>IFERROR(IF(B25="",0,SUMIFS(표1[수금액(V+)],표1[매장코드],B25,표1[년],피벗값_구분!$X$2,표1[월],"&gt;="&amp;피벗값_구분!$X$4,표1[월],"&lt;="&amp;피벗값_구분!$X$5)),0)</f>
        <v>95900097</v>
      </c>
      <c r="H25" s="21">
        <f>IFERROR(IF(B25="",0,SUMIFS(표1[수금액(V+)],표1[매장코드],B25,표1[년],피벗값_구분!$X$3,표1[월],"&gt;="&amp;피벗값_구분!$X$4,표1[월],"&lt;="&amp;피벗값_구분!$X$5)),0)</f>
        <v>99906597</v>
      </c>
      <c r="I25" s="22">
        <f t="shared" si="0"/>
        <v>0.64030742083961123</v>
      </c>
      <c r="J25" s="20">
        <f>IFERROR(IF(B25="",0,SUMIFS(표1[생산원가(V-)],표1[매장코드],B25,표1[년],피벗값_구분!$X$2,표1[월],"&gt;="&amp;피벗값_구분!$X$4,표1[월],"&lt;="&amp;피벗값_구분!$X$5)),0)</f>
        <v>42637380</v>
      </c>
      <c r="K25" s="21">
        <f>IFERROR(IF(B25="",0,SUMIFS(표1[생산원가(V-)],표1[매장코드],B25,표1[년],피벗값_구분!$X$3,표1[월],"&gt;="&amp;피벗값_구분!$X$4,표1[월],"&lt;="&amp;피벗값_구분!$X$5)),0)</f>
        <v>43542863</v>
      </c>
      <c r="L25" s="23">
        <f t="shared" si="1"/>
        <v>3.2575865637164334</v>
      </c>
      <c r="M25" s="20">
        <f>IFERROR(IF(B25="",0,SUMIFS(표1[총경비],표1[매장코드],B25,표1[년],피벗값_구분!$X$2,표1[월],"&gt;="&amp;피벗값_구분!$X$4,표1[월],"&lt;="&amp;피벗값_구분!$X$5)),0)</f>
        <v>28335220</v>
      </c>
      <c r="N25" s="21">
        <f>IFERROR(IF(B25="",0,SUMIFS(표1[총경비],표1[매장코드],B25,표1[년],피벗값_구분!$X$3,표1[월],"&gt;="&amp;피벗값_구분!$X$4,표1[월],"&lt;="&amp;피벗값_구분!$X$5)),0)</f>
        <v>28365060</v>
      </c>
      <c r="O25" s="24">
        <f t="shared" si="2"/>
        <v>0.18179338458060806</v>
      </c>
      <c r="P25" s="20">
        <f>IFERROR(IF(B25="",0,SUMIFS(표1[영업이익(V-)],표1[매장코드],B25,표1[년],피벗값_구분!$X$2,표1[월],"&gt;="&amp;피벗값_구분!$X$4,표1[월],"&lt;="&amp;피벗값_구분!$X$5)),0)</f>
        <v>44544527</v>
      </c>
      <c r="Q25" s="21">
        <f>IFERROR(IF(B25="",0,SUMIFS(표1[영업이익(V-)],표1[매장코드],B25,표1[년],피벗값_구분!$X$3,표1[월],"&gt;="&amp;피벗값_구분!$X$4,표1[월],"&lt;="&amp;피벗값_구분!$X$5)),0)</f>
        <v>47281316</v>
      </c>
      <c r="R25" s="24">
        <f t="shared" si="3"/>
        <v>0.33333169432293758</v>
      </c>
      <c r="S25" s="24">
        <f t="shared" si="6"/>
        <v>9.7603683575102976E-3</v>
      </c>
      <c r="T25" s="25">
        <f t="shared" si="4"/>
        <v>2736789</v>
      </c>
    </row>
    <row r="26" spans="2:20" ht="14.25" customHeight="1">
      <c r="B26" s="18" t="str">
        <f>IFERROR(INDEX(구분!$B:$B,MATCH(21,구분!$E:$E,0)),"")</f>
        <v>00141</v>
      </c>
      <c r="C26" s="99" t="str">
        <f>IFERROR(VLOOKUP(B26,구분!$B:$C,2,0),"")</f>
        <v>롯데인천터미널점</v>
      </c>
      <c r="D26" s="5">
        <f>IFERROR(IF(B26="",0,SUMIFS(표1[매출금액],표1[매장코드],B26,표1[년],피벗값_구분!$X$2,표1[월],"&gt;="&amp;피벗값_구분!$X$4,표1[월],"&lt;="&amp;피벗값_구분!$X$5)),0)</f>
        <v>356127100</v>
      </c>
      <c r="E26" s="5">
        <f>IFERROR(IF(B26="",0,SUMIFS(표1[매출금액],표1[매장코드],B26,표1[년],피벗값_구분!$X$3,표1[월],"&gt;="&amp;피벗값_구분!$X$4,표1[월],"&lt;="&amp;피벗값_구분!$X$5)),0)</f>
        <v>348028640</v>
      </c>
      <c r="F26" s="19">
        <f t="shared" si="5"/>
        <v>-2.2740364324983973E-2</v>
      </c>
      <c r="G26" s="20">
        <f>IFERROR(IF(B26="",0,SUMIFS(표1[수금액(V+)],표1[매장코드],B26,표1[년],피벗값_구분!$X$2,표1[월],"&gt;="&amp;피벗값_구분!$X$4,표1[월],"&lt;="&amp;피벗값_구분!$X$5)),0)</f>
        <v>228085896</v>
      </c>
      <c r="H26" s="21">
        <f>IFERROR(IF(B26="",0,SUMIFS(표1[수금액(V+)],표1[매장코드],B26,표1[년],피벗값_구분!$X$3,표1[월],"&gt;="&amp;피벗값_구분!$X$4,표1[월],"&lt;="&amp;피벗값_구분!$X$5)),0)</f>
        <v>222979373</v>
      </c>
      <c r="I26" s="22">
        <f t="shared" si="0"/>
        <v>0.64069259644838428</v>
      </c>
      <c r="J26" s="20">
        <f>IFERROR(IF(B26="",0,SUMIFS(표1[생산원가(V-)],표1[매장코드],B26,표1[년],피벗값_구분!$X$2,표1[월],"&gt;="&amp;피벗값_구분!$X$4,표1[월],"&lt;="&amp;피벗값_구분!$X$5)),0)</f>
        <v>105583227</v>
      </c>
      <c r="K26" s="21">
        <f>IFERROR(IF(B26="",0,SUMIFS(표1[생산원가(V-)],표1[매장코드],B26,표1[년],피벗값_구분!$X$3,표1[월],"&gt;="&amp;피벗값_구분!$X$4,표1[월],"&lt;="&amp;피벗값_구분!$X$5)),0)</f>
        <v>99808291</v>
      </c>
      <c r="L26" s="23">
        <f t="shared" si="1"/>
        <v>3.1699738524455117</v>
      </c>
      <c r="M26" s="20">
        <f>IFERROR(IF(B26="",0,SUMIFS(표1[총경비],표1[매장코드],B26,표1[년],피벗값_구분!$X$2,표1[월],"&gt;="&amp;피벗값_구분!$X$4,표1[월],"&lt;="&amp;피벗값_구분!$X$5)),0)</f>
        <v>47477860</v>
      </c>
      <c r="N26" s="21">
        <f>IFERROR(IF(B26="",0,SUMIFS(표1[총경비],표1[매장코드],B26,표1[년],피벗값_구분!$X$3,표1[월],"&gt;="&amp;피벗값_구분!$X$4,표1[월],"&lt;="&amp;피벗값_구분!$X$5)),0)</f>
        <v>46266070</v>
      </c>
      <c r="O26" s="24">
        <f t="shared" si="2"/>
        <v>0.13293753640504988</v>
      </c>
      <c r="P26" s="20">
        <f>IFERROR(IF(B26="",0,SUMIFS(표1[영업이익(V-)],표1[매장코드],B26,표1[년],피벗값_구분!$X$2,표1[월],"&gt;="&amp;피벗값_구분!$X$4,표1[월],"&lt;="&amp;피벗값_구분!$X$5)),0)</f>
        <v>101767587</v>
      </c>
      <c r="Q26" s="21">
        <f>IFERROR(IF(B26="",0,SUMIFS(표1[영업이익(V-)],표1[매장코드],B26,표1[년],피벗값_구분!$X$3,표1[월],"&gt;="&amp;피벗값_구분!$X$4,표1[월],"&lt;="&amp;피벗값_구분!$X$5)),0)</f>
        <v>102900230</v>
      </c>
      <c r="R26" s="24">
        <f t="shared" si="3"/>
        <v>0.32523258143352801</v>
      </c>
      <c r="S26" s="24">
        <f t="shared" si="6"/>
        <v>2.1241882287551639E-2</v>
      </c>
      <c r="T26" s="25">
        <f t="shared" si="4"/>
        <v>1132643</v>
      </c>
    </row>
    <row r="27" spans="2:20" ht="14.25" customHeight="1">
      <c r="B27" s="18" t="str">
        <f>IFERROR(INDEX(구분!$B:$B,MATCH(22,구분!$E:$E,0)),"")</f>
        <v>00142</v>
      </c>
      <c r="C27" s="99" t="str">
        <f>IFERROR(VLOOKUP(B27,구분!$B:$C,2,0),"")</f>
        <v>롯데동탄점</v>
      </c>
      <c r="D27" s="5">
        <f>IFERROR(IF(B27="",0,SUMIFS(표1[매출금액],표1[매장코드],B27,표1[년],피벗값_구분!$X$2,표1[월],"&gt;="&amp;피벗값_구분!$X$4,표1[월],"&lt;="&amp;피벗값_구분!$X$5)),0)</f>
        <v>250689340</v>
      </c>
      <c r="E27" s="5">
        <f>IFERROR(IF(B27="",0,SUMIFS(표1[매출금액],표1[매장코드],B27,표1[년],피벗값_구분!$X$3,표1[월],"&gt;="&amp;피벗값_구분!$X$4,표1[월],"&lt;="&amp;피벗값_구분!$X$5)),0)</f>
        <v>324186670</v>
      </c>
      <c r="F27" s="19">
        <f t="shared" si="5"/>
        <v>0.29318091467311691</v>
      </c>
      <c r="G27" s="20">
        <f>IFERROR(IF(B27="",0,SUMIFS(표1[수금액(V+)],표1[매장코드],B27,표1[년],피벗값_구분!$X$2,표1[월],"&gt;="&amp;피벗값_구분!$X$4,표1[월],"&lt;="&amp;피벗값_구분!$X$5)),0)</f>
        <v>160592051</v>
      </c>
      <c r="H27" s="21">
        <f>IFERROR(IF(B27="",0,SUMIFS(표1[수금액(V+)],표1[매장코드],B27,표1[년],피벗값_구분!$X$3,표1[월],"&gt;="&amp;피벗값_구분!$X$4,표1[월],"&lt;="&amp;피벗값_구분!$X$5)),0)</f>
        <v>208990633</v>
      </c>
      <c r="I27" s="22">
        <f t="shared" si="0"/>
        <v>0.64466140140802208</v>
      </c>
      <c r="J27" s="20">
        <f>IFERROR(IF(B27="",0,SUMIFS(표1[생산원가(V-)],표1[매장코드],B27,표1[년],피벗값_구분!$X$2,표1[월],"&gt;="&amp;피벗값_구분!$X$4,표1[월],"&lt;="&amp;피벗값_구분!$X$5)),0)</f>
        <v>73856648</v>
      </c>
      <c r="K27" s="21">
        <f>IFERROR(IF(B27="",0,SUMIFS(표1[생산원가(V-)],표1[매장코드],B27,표1[년],피벗값_구분!$X$3,표1[월],"&gt;="&amp;피벗값_구분!$X$4,표1[월],"&lt;="&amp;피벗값_구분!$X$5)),0)</f>
        <v>92593622</v>
      </c>
      <c r="L27" s="23">
        <f t="shared" si="1"/>
        <v>3.1828882830121334</v>
      </c>
      <c r="M27" s="20">
        <f>IFERROR(IF(B27="",0,SUMIFS(표1[총경비],표1[매장코드],B27,표1[년],피벗값_구분!$X$2,표1[월],"&gt;="&amp;피벗값_구분!$X$4,표1[월],"&lt;="&amp;피벗값_구분!$X$5)),0)</f>
        <v>37644830</v>
      </c>
      <c r="N27" s="21">
        <f>IFERROR(IF(B27="",0,SUMIFS(표1[총경비],표1[매장코드],B27,표1[년],피벗값_구분!$X$3,표1[월],"&gt;="&amp;피벗값_구분!$X$4,표1[월],"&lt;="&amp;피벗값_구분!$X$5)),0)</f>
        <v>40703050</v>
      </c>
      <c r="O27" s="24">
        <f t="shared" si="2"/>
        <v>0.12555436039365839</v>
      </c>
      <c r="P27" s="20">
        <f>IFERROR(IF(B27="",0,SUMIFS(표1[영업이익(V-)],표1[매장코드],B27,표1[년],피벗값_구분!$X$2,표1[월],"&gt;="&amp;피벗값_구분!$X$4,표1[월],"&lt;="&amp;피벗값_구분!$X$5)),0)</f>
        <v>72136126</v>
      </c>
      <c r="Q27" s="21">
        <f>IFERROR(IF(B27="",0,SUMIFS(표1[영업이익(V-)],표1[매장코드],B27,표1[년],피벗값_구분!$X$3,표1[월],"&gt;="&amp;피벗값_구분!$X$4,표1[월],"&lt;="&amp;피벗값_구분!$X$5)),0)</f>
        <v>97397864</v>
      </c>
      <c r="R27" s="24">
        <f t="shared" si="3"/>
        <v>0.33048135631239872</v>
      </c>
      <c r="S27" s="24">
        <f t="shared" si="6"/>
        <v>2.0106018831512459E-2</v>
      </c>
      <c r="T27" s="25">
        <f t="shared" si="4"/>
        <v>25261738</v>
      </c>
    </row>
    <row r="28" spans="2:20" ht="14.25" customHeight="1">
      <c r="B28" s="18" t="str">
        <f>IFERROR(INDEX(구분!$B:$B,MATCH(23,구분!$E:$E,0)),"")</f>
        <v>00201</v>
      </c>
      <c r="C28" s="99" t="str">
        <f>IFERROR(VLOOKUP(B28,구분!$B:$C,2,0),"")</f>
        <v>현대천호점</v>
      </c>
      <c r="D28" s="5">
        <f>IFERROR(IF(B28="",0,SUMIFS(표1[매출금액],표1[매장코드],B28,표1[년],피벗값_구분!$X$2,표1[월],"&gt;="&amp;피벗값_구분!$X$4,표1[월],"&lt;="&amp;피벗값_구분!$X$5)),0)</f>
        <v>459385100</v>
      </c>
      <c r="E28" s="5">
        <f>IFERROR(IF(B28="",0,SUMIFS(표1[매출금액],표1[매장코드],B28,표1[년],피벗값_구분!$X$3,표1[월],"&gt;="&amp;피벗값_구분!$X$4,표1[월],"&lt;="&amp;피벗값_구분!$X$5)),0)</f>
        <v>429974100</v>
      </c>
      <c r="F28" s="19">
        <f t="shared" si="5"/>
        <v>-6.4022537953451253E-2</v>
      </c>
      <c r="G28" s="20">
        <f>IFERROR(IF(B28="",0,SUMIFS(표1[수금액(V+)],표1[매장코드],B28,표1[년],피벗값_구분!$X$2,표1[월],"&gt;="&amp;피벗값_구분!$X$4,표1[월],"&lt;="&amp;피벗값_구분!$X$5)),0)</f>
        <v>296514959</v>
      </c>
      <c r="H28" s="21">
        <f>IFERROR(IF(B28="",0,SUMIFS(표1[수금액(V+)],표1[매장코드],B28,표1[년],피벗값_구분!$X$3,표1[월],"&gt;="&amp;피벗값_구분!$X$4,표1[월],"&lt;="&amp;피벗값_구분!$X$5)),0)</f>
        <v>272071310</v>
      </c>
      <c r="I28" s="22">
        <f t="shared" si="0"/>
        <v>0.63276208962353775</v>
      </c>
      <c r="J28" s="20">
        <f>IFERROR(IF(B28="",0,SUMIFS(표1[생산원가(V-)],표1[매장코드],B28,표1[년],피벗값_구분!$X$2,표1[월],"&gt;="&amp;피벗값_구분!$X$4,표1[월],"&lt;="&amp;피벗값_구분!$X$5)),0)</f>
        <v>142519248</v>
      </c>
      <c r="K28" s="21">
        <f>IFERROR(IF(B28="",0,SUMIFS(표1[생산원가(V-)],표1[매장코드],B28,표1[년],피벗값_구분!$X$3,표1[월],"&gt;="&amp;피벗값_구분!$X$4,표1[월],"&lt;="&amp;피벗값_구분!$X$5)),0)</f>
        <v>123827362</v>
      </c>
      <c r="L28" s="23">
        <f t="shared" si="1"/>
        <v>3.1566976728014722</v>
      </c>
      <c r="M28" s="20">
        <f>IFERROR(IF(B28="",0,SUMIFS(표1[총경비],표1[매장코드],B28,표1[년],피벗값_구분!$X$2,표1[월],"&gt;="&amp;피벗값_구분!$X$4,표1[월],"&lt;="&amp;피벗값_구분!$X$5)),0)</f>
        <v>66581120</v>
      </c>
      <c r="N28" s="21">
        <f>IFERROR(IF(B28="",0,SUMIFS(표1[총경비],표1[매장코드],B28,표1[년],피벗값_구분!$X$3,표1[월],"&gt;="&amp;피벗값_구분!$X$4,표1[월],"&lt;="&amp;피벗값_구분!$X$5)),0)</f>
        <v>62259800</v>
      </c>
      <c r="O28" s="24">
        <f t="shared" si="2"/>
        <v>0.14479895416956509</v>
      </c>
      <c r="P28" s="20">
        <f>IFERROR(IF(B28="",0,SUMIFS(표1[영업이익(V-)],표1[매장코드],B28,표1[년],피벗값_구분!$X$2,표1[월],"&gt;="&amp;피벗값_구분!$X$4,표1[월],"&lt;="&amp;피벗값_구분!$X$5)),0)</f>
        <v>127039806</v>
      </c>
      <c r="Q28" s="21">
        <f>IFERROR(IF(B28="",0,SUMIFS(표1[영업이익(V-)],표1[매장코드],B28,표1[년],피벗값_구분!$X$3,표1[월],"&gt;="&amp;피벗값_구분!$X$4,표1[월],"&lt;="&amp;피벗값_구분!$X$5)),0)</f>
        <v>123510191</v>
      </c>
      <c r="R28" s="24">
        <f t="shared" si="3"/>
        <v>0.31597533456084914</v>
      </c>
      <c r="S28" s="24">
        <f t="shared" si="6"/>
        <v>2.5496434153111414E-2</v>
      </c>
      <c r="T28" s="25">
        <f t="shared" si="4"/>
        <v>-3529615</v>
      </c>
    </row>
    <row r="29" spans="2:20" ht="14.25" customHeight="1">
      <c r="B29" s="18" t="str">
        <f>IFERROR(INDEX(구분!$B:$B,MATCH(24,구분!$E:$E,0)),"")</f>
        <v>00203</v>
      </c>
      <c r="C29" s="99" t="str">
        <f>IFERROR(VLOOKUP(B29,구분!$B:$C,2,0),"")</f>
        <v>현대울산점</v>
      </c>
      <c r="D29" s="5">
        <f>IFERROR(IF(B29="",0,SUMIFS(표1[매출금액],표1[매장코드],B29,표1[년],피벗값_구분!$X$2,표1[월],"&gt;="&amp;피벗값_구분!$X$4,표1[월],"&lt;="&amp;피벗값_구분!$X$5)),0)</f>
        <v>310578900</v>
      </c>
      <c r="E29" s="5">
        <f>IFERROR(IF(B29="",0,SUMIFS(표1[매출금액],표1[매장코드],B29,표1[년],피벗값_구분!$X$3,표1[월],"&gt;="&amp;피벗값_구분!$X$4,표1[월],"&lt;="&amp;피벗값_구분!$X$5)),0)</f>
        <v>347567300</v>
      </c>
      <c r="F29" s="19">
        <f t="shared" si="5"/>
        <v>0.11909501901127217</v>
      </c>
      <c r="G29" s="20">
        <f>IFERROR(IF(B29="",0,SUMIFS(표1[수금액(V+)],표1[매장코드],B29,표1[년],피벗값_구분!$X$2,표1[월],"&gt;="&amp;피벗값_구분!$X$4,표1[월],"&lt;="&amp;피벗값_구분!$X$5)),0)</f>
        <v>209572259</v>
      </c>
      <c r="H29" s="21">
        <f>IFERROR(IF(B29="",0,SUMIFS(표1[수금액(V+)],표1[매장코드],B29,표1[년],피벗값_구분!$X$3,표1[월],"&gt;="&amp;피벗값_구분!$X$4,표1[월],"&lt;="&amp;피벗값_구분!$X$5)),0)</f>
        <v>216966062</v>
      </c>
      <c r="I29" s="22">
        <f t="shared" si="0"/>
        <v>0.62424187200579573</v>
      </c>
      <c r="J29" s="20">
        <f>IFERROR(IF(B29="",0,SUMIFS(표1[생산원가(V-)],표1[매장코드],B29,표1[년],피벗값_구분!$X$2,표1[월],"&gt;="&amp;피벗값_구분!$X$4,표1[월],"&lt;="&amp;피벗값_구분!$X$5)),0)</f>
        <v>87626323</v>
      </c>
      <c r="K29" s="21">
        <f>IFERROR(IF(B29="",0,SUMIFS(표1[생산원가(V-)],표1[매장코드],B29,표1[년],피벗값_구분!$X$3,표1[월],"&gt;="&amp;피벗값_구분!$X$4,표1[월],"&lt;="&amp;피벗값_구분!$X$5)),0)</f>
        <v>100831823</v>
      </c>
      <c r="L29" s="23">
        <f t="shared" si="1"/>
        <v>3.1336364188047328</v>
      </c>
      <c r="M29" s="20">
        <f>IFERROR(IF(B29="",0,SUMIFS(표1[총경비],표1[매장코드],B29,표1[년],피벗값_구분!$X$2,표1[월],"&gt;="&amp;피벗값_구분!$X$4,표1[월],"&lt;="&amp;피벗값_구분!$X$5)),0)</f>
        <v>40408350</v>
      </c>
      <c r="N29" s="21">
        <f>IFERROR(IF(B29="",0,SUMIFS(표1[총경비],표1[매장코드],B29,표1[년],피벗값_구분!$X$3,표1[월],"&gt;="&amp;피벗값_구분!$X$4,표1[월],"&lt;="&amp;피벗값_구분!$X$5)),0)</f>
        <v>41013400</v>
      </c>
      <c r="O29" s="24">
        <f t="shared" si="2"/>
        <v>0.11800131945669227</v>
      </c>
      <c r="P29" s="20">
        <f>IFERROR(IF(B29="",0,SUMIFS(표1[영업이익(V-)],표1[매장코드],B29,표1[년],피벗값_구분!$X$2,표1[월],"&gt;="&amp;피벗값_구분!$X$4,표1[월],"&lt;="&amp;피벗값_구분!$X$5)),0)</f>
        <v>102893912</v>
      </c>
      <c r="Q29" s="21">
        <f>IFERROR(IF(B29="",0,SUMIFS(표1[영업이익(V-)],표1[매장코드],B29,표1[년],피벗값_구분!$X$3,표1[월],"&gt;="&amp;피벗값_구분!$X$4,표1[월],"&lt;="&amp;피벗값_구분!$X$5)),0)</f>
        <v>96410051</v>
      </c>
      <c r="R29" s="24">
        <f t="shared" si="3"/>
        <v>0.30512380221039209</v>
      </c>
      <c r="S29" s="24">
        <f t="shared" si="6"/>
        <v>1.9902102791012712E-2</v>
      </c>
      <c r="T29" s="25">
        <f t="shared" si="4"/>
        <v>-6483861</v>
      </c>
    </row>
    <row r="30" spans="2:20" ht="14.25" customHeight="1">
      <c r="B30" s="18" t="str">
        <f>IFERROR(INDEX(구분!$B:$B,MATCH(25,구분!$E:$E,0)),"")</f>
        <v>00208</v>
      </c>
      <c r="C30" s="99" t="str">
        <f>IFERROR(VLOOKUP(B30,구분!$B:$C,2,0),"")</f>
        <v>현대미아점</v>
      </c>
      <c r="D30" s="5">
        <f>IFERROR(IF(B30="",0,SUMIFS(표1[매출금액],표1[매장코드],B30,표1[년],피벗값_구분!$X$2,표1[월],"&gt;="&amp;피벗값_구분!$X$4,표1[월],"&lt;="&amp;피벗값_구분!$X$5)),0)</f>
        <v>146516950</v>
      </c>
      <c r="E30" s="5">
        <f>IFERROR(IF(B30="",0,SUMIFS(표1[매출금액],표1[매장코드],B30,표1[년],피벗값_구분!$X$3,표1[월],"&gt;="&amp;피벗값_구분!$X$4,표1[월],"&lt;="&amp;피벗값_구분!$X$5)),0)</f>
        <v>171678450</v>
      </c>
      <c r="F30" s="19">
        <f t="shared" si="5"/>
        <v>0.17173098402608025</v>
      </c>
      <c r="G30" s="20">
        <f>IFERROR(IF(B30="",0,SUMIFS(표1[수금액(V+)],표1[매장코드],B30,표1[년],피벗값_구분!$X$2,표1[월],"&gt;="&amp;피벗값_구분!$X$4,표1[월],"&lt;="&amp;피벗값_구분!$X$5)),0)</f>
        <v>98273474</v>
      </c>
      <c r="H30" s="21">
        <f>IFERROR(IF(B30="",0,SUMIFS(표1[수금액(V+)],표1[매장코드],B30,표1[년],피벗값_구분!$X$3,표1[월],"&gt;="&amp;피벗값_구분!$X$4,표1[월],"&lt;="&amp;피벗값_구분!$X$5)),0)</f>
        <v>107134645</v>
      </c>
      <c r="I30" s="22">
        <f t="shared" si="0"/>
        <v>0.62404247591937134</v>
      </c>
      <c r="J30" s="20">
        <f>IFERROR(IF(B30="",0,SUMIFS(표1[생산원가(V-)],표1[매장코드],B30,표1[년],피벗값_구분!$X$2,표1[월],"&gt;="&amp;피벗값_구분!$X$4,표1[월],"&lt;="&amp;피벗값_구분!$X$5)),0)</f>
        <v>44750121</v>
      </c>
      <c r="K30" s="21">
        <f>IFERROR(IF(B30="",0,SUMIFS(표1[생산원가(V-)],표1[매장코드],B30,표1[년],피벗값_구분!$X$3,표1[월],"&gt;="&amp;피벗값_구분!$X$4,표1[월],"&lt;="&amp;피벗값_구분!$X$5)),0)</f>
        <v>50589176</v>
      </c>
      <c r="L30" s="23">
        <f t="shared" si="1"/>
        <v>3.0850733402302928</v>
      </c>
      <c r="M30" s="20">
        <f>IFERROR(IF(B30="",0,SUMIFS(표1[총경비],표1[매장코드],B30,표1[년],피벗값_구분!$X$2,표1[월],"&gt;="&amp;피벗값_구분!$X$4,표1[월],"&lt;="&amp;피벗값_구분!$X$5)),0)</f>
        <v>23827600</v>
      </c>
      <c r="N30" s="21">
        <f>IFERROR(IF(B30="",0,SUMIFS(표1[총경비],표1[매장코드],B30,표1[년],피벗값_구분!$X$3,표1[월],"&gt;="&amp;피벗값_구분!$X$4,표1[월],"&lt;="&amp;피벗값_구분!$X$5)),0)</f>
        <v>26158890</v>
      </c>
      <c r="O30" s="24">
        <f t="shared" si="2"/>
        <v>0.1523714246022142</v>
      </c>
      <c r="P30" s="20">
        <f>IFERROR(IF(B30="",0,SUMIFS(표1[영업이익(V-)],표1[매장코드],B30,표1[년],피벗값_구분!$X$2,표1[월],"&gt;="&amp;피벗값_구분!$X$4,표1[월],"&lt;="&amp;피벗값_구분!$X$5)),0)</f>
        <v>44589401</v>
      </c>
      <c r="Q30" s="21">
        <f>IFERROR(IF(B30="",0,SUMIFS(표1[영업이익(V-)],표1[매장코드],B30,표1[년],피벗값_구분!$X$3,표1[월],"&gt;="&amp;피벗값_구분!$X$4,표1[월],"&lt;="&amp;피벗값_구분!$X$5)),0)</f>
        <v>46805957</v>
      </c>
      <c r="R30" s="24">
        <f t="shared" si="3"/>
        <v>0.29990108077047534</v>
      </c>
      <c r="S30" s="24">
        <f t="shared" si="6"/>
        <v>9.6622391315374472E-3</v>
      </c>
      <c r="T30" s="25">
        <f t="shared" si="4"/>
        <v>2216556</v>
      </c>
    </row>
    <row r="31" spans="2:20" ht="14.25" customHeight="1">
      <c r="B31" s="18" t="str">
        <f>IFERROR(INDEX(구분!$B:$B,MATCH(26,구분!$E:$E,0)),"")</f>
        <v>00210</v>
      </c>
      <c r="C31" s="99" t="str">
        <f>IFERROR(VLOOKUP(B31,구분!$B:$C,2,0),"")</f>
        <v>현대중동점</v>
      </c>
      <c r="D31" s="5">
        <f>IFERROR(IF(B31="",0,SUMIFS(표1[매출금액],표1[매장코드],B31,표1[년],피벗값_구분!$X$2,표1[월],"&gt;="&amp;피벗값_구분!$X$4,표1[월],"&lt;="&amp;피벗값_구분!$X$5)),0)</f>
        <v>165363670</v>
      </c>
      <c r="E31" s="5">
        <f>IFERROR(IF(B31="",0,SUMIFS(표1[매출금액],표1[매장코드],B31,표1[년],피벗값_구분!$X$3,표1[월],"&gt;="&amp;피벗값_구분!$X$4,표1[월],"&lt;="&amp;피벗값_구분!$X$5)),0)</f>
        <v>206604710</v>
      </c>
      <c r="F31" s="19">
        <f t="shared" si="5"/>
        <v>0.24939601304204242</v>
      </c>
      <c r="G31" s="20">
        <f>IFERROR(IF(B31="",0,SUMIFS(표1[수금액(V+)],표1[매장코드],B31,표1[년],피벗값_구분!$X$2,표1[월],"&gt;="&amp;피벗값_구분!$X$4,표1[월],"&lt;="&amp;피벗값_구분!$X$5)),0)</f>
        <v>102530085</v>
      </c>
      <c r="H31" s="21">
        <f>IFERROR(IF(B31="",0,SUMIFS(표1[수금액(V+)],표1[매장코드],B31,표1[년],피벗값_구분!$X$3,표1[월],"&gt;="&amp;피벗값_구분!$X$4,표1[월],"&lt;="&amp;피벗값_구분!$X$5)),0)</f>
        <v>128520946</v>
      </c>
      <c r="I31" s="22">
        <f t="shared" si="0"/>
        <v>0.62206203333893018</v>
      </c>
      <c r="J31" s="20">
        <f>IFERROR(IF(B31="",0,SUMIFS(표1[생산원가(V-)],표1[매장코드],B31,표1[년],피벗값_구분!$X$2,표1[월],"&gt;="&amp;피벗값_구분!$X$4,표1[월],"&lt;="&amp;피벗값_구분!$X$5)),0)</f>
        <v>45751173</v>
      </c>
      <c r="K31" s="21">
        <f>IFERROR(IF(B31="",0,SUMIFS(표1[생산원가(V-)],표1[매장코드],B31,표1[년],피벗값_구분!$X$3,표1[월],"&gt;="&amp;피벗값_구분!$X$4,표1[월],"&lt;="&amp;피벗값_구분!$X$5)),0)</f>
        <v>57407639</v>
      </c>
      <c r="L31" s="23">
        <f t="shared" si="1"/>
        <v>3.2717329419585366</v>
      </c>
      <c r="M31" s="20">
        <f>IFERROR(IF(B31="",0,SUMIFS(표1[총경비],표1[매장코드],B31,표1[년],피벗값_구분!$X$2,표1[월],"&gt;="&amp;피벗값_구분!$X$4,표1[월],"&lt;="&amp;피벗값_구분!$X$5)),0)</f>
        <v>30931630</v>
      </c>
      <c r="N31" s="21">
        <f>IFERROR(IF(B31="",0,SUMIFS(표1[총경비],표1[매장코드],B31,표1[년],피벗값_구분!$X$3,표1[월],"&gt;="&amp;피벗값_구분!$X$4,표1[월],"&lt;="&amp;피벗값_구분!$X$5)),0)</f>
        <v>33938610</v>
      </c>
      <c r="O31" s="24">
        <f t="shared" si="2"/>
        <v>0.16426832669981242</v>
      </c>
      <c r="P31" s="20">
        <f>IFERROR(IF(B31="",0,SUMIFS(표1[영업이익(V-)],표1[매장코드],B31,표1[년],피벗값_구분!$X$2,표1[월],"&gt;="&amp;피벗값_구분!$X$4,표1[월],"&lt;="&amp;피벗값_구분!$X$5)),0)</f>
        <v>47457995</v>
      </c>
      <c r="Q31" s="21">
        <f>IFERROR(IF(B31="",0,SUMIFS(표1[영업이익(V-)],표1[매장코드],B31,표1[년],피벗값_구분!$X$3,표1[월],"&gt;="&amp;피벗값_구분!$X$4,표1[월],"&lt;="&amp;피벗값_구분!$X$5)),0)</f>
        <v>59429584</v>
      </c>
      <c r="R31" s="24">
        <f t="shared" si="3"/>
        <v>0.31641361128698375</v>
      </c>
      <c r="S31" s="24">
        <f t="shared" si="6"/>
        <v>1.2268157493196683E-2</v>
      </c>
      <c r="T31" s="25">
        <f t="shared" si="4"/>
        <v>11971589</v>
      </c>
    </row>
    <row r="32" spans="2:20" ht="14.25" customHeight="1">
      <c r="B32" s="18" t="str">
        <f>IFERROR(INDEX(구분!$B:$B,MATCH(27,구분!$E:$E,0)),"")</f>
        <v>00212</v>
      </c>
      <c r="C32" s="99" t="str">
        <f>IFERROR(VLOOKUP(B32,구분!$B:$C,2,0),"")</f>
        <v>현대킨텍스점</v>
      </c>
      <c r="D32" s="5">
        <f>IFERROR(IF(B32="",0,SUMIFS(표1[매출금액],표1[매장코드],B32,표1[년],피벗값_구분!$X$2,표1[월],"&gt;="&amp;피벗값_구분!$X$4,표1[월],"&lt;="&amp;피벗값_구분!$X$5)),0)</f>
        <v>0</v>
      </c>
      <c r="E32" s="5">
        <f>IFERROR(IF(B32="",0,SUMIFS(표1[매출금액],표1[매장코드],B32,표1[년],피벗값_구분!$X$3,표1[월],"&gt;="&amp;피벗값_구분!$X$4,표1[월],"&lt;="&amp;피벗값_구분!$X$5)),0)</f>
        <v>159288080</v>
      </c>
      <c r="F32" s="19" t="str">
        <f t="shared" si="5"/>
        <v/>
      </c>
      <c r="G32" s="20">
        <f>IFERROR(IF(B32="",0,SUMIFS(표1[수금액(V+)],표1[매장코드],B32,표1[년],피벗값_구분!$X$2,표1[월],"&gt;="&amp;피벗값_구분!$X$4,표1[월],"&lt;="&amp;피벗값_구분!$X$5)),0)</f>
        <v>0</v>
      </c>
      <c r="H32" s="21">
        <f>IFERROR(IF(B32="",0,SUMIFS(표1[수금액(V+)],표1[매장코드],B32,표1[년],피벗값_구분!$X$3,표1[월],"&gt;="&amp;피벗값_구분!$X$4,표1[월],"&lt;="&amp;피벗값_구분!$X$5)),0)</f>
        <v>99529838</v>
      </c>
      <c r="I32" s="22">
        <f t="shared" si="0"/>
        <v>0.62484172073641664</v>
      </c>
      <c r="J32" s="20">
        <f>IFERROR(IF(B32="",0,SUMIFS(표1[생산원가(V-)],표1[매장코드],B32,표1[년],피벗값_구분!$X$2,표1[월],"&gt;="&amp;피벗값_구분!$X$4,표1[월],"&lt;="&amp;피벗값_구분!$X$5)),0)</f>
        <v>0</v>
      </c>
      <c r="K32" s="21">
        <f>IFERROR(IF(B32="",0,SUMIFS(표1[생산원가(V-)],표1[매장코드],B32,표1[년],피벗값_구분!$X$3,표1[월],"&gt;="&amp;피벗값_구분!$X$4,표1[월],"&lt;="&amp;피벗값_구분!$X$5)),0)</f>
        <v>44156222</v>
      </c>
      <c r="L32" s="23">
        <f t="shared" si="1"/>
        <v>3.2794324082922093</v>
      </c>
      <c r="M32" s="20">
        <f>IFERROR(IF(B32="",0,SUMIFS(표1[총경비],표1[매장코드],B32,표1[년],피벗값_구분!$X$2,표1[월],"&gt;="&amp;피벗값_구분!$X$4,표1[월],"&lt;="&amp;피벗값_구분!$X$5)),0)</f>
        <v>0</v>
      </c>
      <c r="N32" s="21">
        <f>IFERROR(IF(B32="",0,SUMIFS(표1[총경비],표1[매장코드],B32,표1[년],피벗값_구분!$X$3,표1[월],"&gt;="&amp;피벗값_구분!$X$4,표1[월],"&lt;="&amp;피벗값_구분!$X$5)),0)</f>
        <v>30196500</v>
      </c>
      <c r="O32" s="24">
        <f t="shared" si="2"/>
        <v>0.18957162394072424</v>
      </c>
      <c r="P32" s="20">
        <f>IFERROR(IF(B32="",0,SUMIFS(표1[영업이익(V-)],표1[매장코드],B32,표1[년],피벗값_구분!$X$2,표1[월],"&gt;="&amp;피벗값_구분!$X$4,표1[월],"&lt;="&amp;피벗값_구분!$X$5)),0)</f>
        <v>0</v>
      </c>
      <c r="Q32" s="21">
        <f>IFERROR(IF(B32="",0,SUMIFS(표1[영업이익(V-)],표1[매장코드],B32,표1[년],피벗값_구분!$X$3,표1[월],"&gt;="&amp;피벗값_구분!$X$4,표1[월],"&lt;="&amp;피벗값_구분!$X$5)),0)</f>
        <v>46325449</v>
      </c>
      <c r="R32" s="24">
        <f t="shared" si="3"/>
        <v>0.31991090544879447</v>
      </c>
      <c r="S32" s="24">
        <f t="shared" si="6"/>
        <v>9.5630469880968842E-3</v>
      </c>
      <c r="T32" s="25">
        <f t="shared" si="4"/>
        <v>46325449</v>
      </c>
    </row>
    <row r="33" spans="2:20" ht="14.25" customHeight="1">
      <c r="B33" s="18" t="str">
        <f>IFERROR(INDEX(구분!$B:$B,MATCH(28,구분!$E:$E,0)),"")</f>
        <v>00213</v>
      </c>
      <c r="C33" s="99" t="str">
        <f>IFERROR(VLOOKUP(B33,구분!$B:$C,2,0),"")</f>
        <v>현대대구점</v>
      </c>
      <c r="D33" s="5">
        <f>IFERROR(IF(B33="",0,SUMIFS(표1[매출금액],표1[매장코드],B33,표1[년],피벗값_구분!$X$2,표1[월],"&gt;="&amp;피벗값_구분!$X$4,표1[월],"&lt;="&amp;피벗값_구분!$X$5)),0)</f>
        <v>517541563</v>
      </c>
      <c r="E33" s="5">
        <f>IFERROR(IF(B33="",0,SUMIFS(표1[매출금액],표1[매장코드],B33,표1[년],피벗값_구분!$X$3,표1[월],"&gt;="&amp;피벗값_구분!$X$4,표1[월],"&lt;="&amp;피벗값_구분!$X$5)),0)</f>
        <v>558204440</v>
      </c>
      <c r="F33" s="19">
        <f t="shared" si="5"/>
        <v>7.8569297438242661E-2</v>
      </c>
      <c r="G33" s="20">
        <f>IFERROR(IF(B33="",0,SUMIFS(표1[수금액(V+)],표1[매장코드],B33,표1[년],피벗값_구분!$X$2,표1[월],"&gt;="&amp;피벗값_구분!$X$4,표1[월],"&lt;="&amp;피벗값_구분!$X$5)),0)</f>
        <v>331777168</v>
      </c>
      <c r="H33" s="21">
        <f>IFERROR(IF(B33="",0,SUMIFS(표1[수금액(V+)],표1[매장코드],B33,표1[년],피벗값_구분!$X$3,표1[월],"&gt;="&amp;피벗값_구분!$X$4,표1[월],"&lt;="&amp;피벗값_구분!$X$5)),0)</f>
        <v>347852367</v>
      </c>
      <c r="I33" s="22">
        <f t="shared" si="0"/>
        <v>0.62316302428551085</v>
      </c>
      <c r="J33" s="20">
        <f>IFERROR(IF(B33="",0,SUMIFS(표1[생산원가(V-)],표1[매장코드],B33,표1[년],피벗값_구분!$X$2,표1[월],"&gt;="&amp;피벗값_구분!$X$4,표1[월],"&lt;="&amp;피벗값_구분!$X$5)),0)</f>
        <v>165191748</v>
      </c>
      <c r="K33" s="21">
        <f>IFERROR(IF(B33="",0,SUMIFS(표1[생산원가(V-)],표1[매장코드],B33,표1[년],피벗값_구분!$X$3,표1[월],"&gt;="&amp;피벗값_구분!$X$4,표1[월],"&lt;="&amp;피벗값_구분!$X$5)),0)</f>
        <v>168837125</v>
      </c>
      <c r="L33" s="23">
        <f t="shared" si="1"/>
        <v>3.0056101809254439</v>
      </c>
      <c r="M33" s="20">
        <f>IFERROR(IF(B33="",0,SUMIFS(표1[총경비],표1[매장코드],B33,표1[년],피벗값_구분!$X$2,표1[월],"&gt;="&amp;피벗값_구분!$X$4,표1[월],"&lt;="&amp;피벗값_구분!$X$5)),0)</f>
        <v>72279750</v>
      </c>
      <c r="N33" s="21">
        <f>IFERROR(IF(B33="",0,SUMIFS(표1[총경비],표1[매장코드],B33,표1[년],피벗값_구분!$X$3,표1[월],"&gt;="&amp;피벗값_구분!$X$4,표1[월],"&lt;="&amp;피벗값_구분!$X$5)),0)</f>
        <v>77647780</v>
      </c>
      <c r="O33" s="24">
        <f t="shared" si="2"/>
        <v>0.13910276313817926</v>
      </c>
      <c r="P33" s="20">
        <f>IFERROR(IF(B33="",0,SUMIFS(표1[영업이익(V-)],표1[매장코드],B33,표1[년],피벗값_구분!$X$2,표1[월],"&gt;="&amp;피벗값_구분!$X$4,표1[월],"&lt;="&amp;피벗값_구분!$X$5)),0)</f>
        <v>136423860</v>
      </c>
      <c r="Q33" s="21">
        <f>IFERROR(IF(B33="",0,SUMIFS(표1[영업이익(V-)],표1[매장코드],B33,표1[년],피벗값_구분!$X$3,표1[월],"&gt;="&amp;피벗값_구분!$X$4,표1[월],"&lt;="&amp;피벗값_구분!$X$5)),0)</f>
        <v>147392299</v>
      </c>
      <c r="R33" s="24">
        <f t="shared" si="3"/>
        <v>0.2904518797808201</v>
      </c>
      <c r="S33" s="24">
        <f t="shared" si="6"/>
        <v>3.0426461296049725E-2</v>
      </c>
      <c r="T33" s="25">
        <f t="shared" si="4"/>
        <v>10968439</v>
      </c>
    </row>
    <row r="34" spans="2:20" ht="14.25" customHeight="1">
      <c r="B34" s="18" t="str">
        <f>IFERROR(INDEX(구분!$B:$B,MATCH(29,구분!$E:$E,0)),"")</f>
        <v>00214</v>
      </c>
      <c r="C34" s="99" t="str">
        <f>IFERROR(VLOOKUP(B34,구분!$B:$C,2,0),"")</f>
        <v>현대충청점</v>
      </c>
      <c r="D34" s="5">
        <f>IFERROR(IF(B34="",0,SUMIFS(표1[매출금액],표1[매장코드],B34,표1[년],피벗값_구분!$X$2,표1[월],"&gt;="&amp;피벗값_구분!$X$4,표1[월],"&lt;="&amp;피벗값_구분!$X$5)),0)</f>
        <v>270587890</v>
      </c>
      <c r="E34" s="5">
        <f>IFERROR(IF(B34="",0,SUMIFS(표1[매출금액],표1[매장코드],B34,표1[년],피벗값_구분!$X$3,표1[월],"&gt;="&amp;피벗값_구분!$X$4,표1[월],"&lt;="&amp;피벗값_구분!$X$5)),0)</f>
        <v>260099570</v>
      </c>
      <c r="F34" s="19">
        <f t="shared" si="5"/>
        <v>-3.8761232071398317E-2</v>
      </c>
      <c r="G34" s="20">
        <f>IFERROR(IF(B34="",0,SUMIFS(표1[수금액(V+)],표1[매장코드],B34,표1[년],피벗값_구분!$X$2,표1[월],"&gt;="&amp;피벗값_구분!$X$4,표1[월],"&lt;="&amp;피벗값_구분!$X$5)),0)</f>
        <v>184866193</v>
      </c>
      <c r="H34" s="21">
        <f>IFERROR(IF(B34="",0,SUMIFS(표1[수금액(V+)],표1[매장코드],B34,표1[년],피벗값_구분!$X$3,표1[월],"&gt;="&amp;피벗값_구분!$X$4,표1[월],"&lt;="&amp;피벗값_구분!$X$5)),0)</f>
        <v>163185660</v>
      </c>
      <c r="I34" s="22">
        <f t="shared" si="0"/>
        <v>0.62739688496985979</v>
      </c>
      <c r="J34" s="20">
        <f>IFERROR(IF(B34="",0,SUMIFS(표1[생산원가(V-)],표1[매장코드],B34,표1[년],피벗값_구분!$X$2,표1[월],"&gt;="&amp;피벗값_구분!$X$4,표1[월],"&lt;="&amp;피벗값_구분!$X$5)),0)</f>
        <v>79863305</v>
      </c>
      <c r="K34" s="21">
        <f>IFERROR(IF(B34="",0,SUMIFS(표1[생산원가(V-)],표1[매장코드],B34,표1[년],피벗값_구분!$X$3,표1[월],"&gt;="&amp;피벗값_구분!$X$4,표1[월],"&lt;="&amp;피벗값_구분!$X$5)),0)</f>
        <v>73357723</v>
      </c>
      <c r="L34" s="23">
        <f t="shared" si="1"/>
        <v>3.2233028081508817</v>
      </c>
      <c r="M34" s="20">
        <f>IFERROR(IF(B34="",0,SUMIFS(표1[총경비],표1[매장코드],B34,표1[년],피벗값_구분!$X$2,표1[월],"&gt;="&amp;피벗값_구분!$X$4,표1[월],"&lt;="&amp;피벗값_구분!$X$5)),0)</f>
        <v>39536960</v>
      </c>
      <c r="N34" s="21">
        <f>IFERROR(IF(B34="",0,SUMIFS(표1[총경비],표1[매장코드],B34,표1[년],피벗값_구분!$X$3,표1[월],"&gt;="&amp;피벗값_구분!$X$4,표1[월],"&lt;="&amp;피벗값_구분!$X$5)),0)</f>
        <v>35582310</v>
      </c>
      <c r="O34" s="24">
        <f t="shared" si="2"/>
        <v>0.13680264830887648</v>
      </c>
      <c r="P34" s="20">
        <f>IFERROR(IF(B34="",0,SUMIFS(표1[영업이익(V-)],표1[매장코드],B34,표1[년],피벗값_구분!$X$2,표1[월],"&gt;="&amp;피벗값_구분!$X$4,표1[월],"&lt;="&amp;피벗값_구분!$X$5)),0)</f>
        <v>88196871</v>
      </c>
      <c r="Q34" s="21">
        <f>IFERROR(IF(B34="",0,SUMIFS(표1[영업이익(V-)],표1[매장코드],B34,표1[년],피벗값_구분!$X$3,표1[월],"&gt;="&amp;피벗값_구분!$X$4,표1[월],"&lt;="&amp;피벗값_구분!$X$5)),0)</f>
        <v>74992878</v>
      </c>
      <c r="R34" s="24">
        <f t="shared" si="3"/>
        <v>0.3171561021804073</v>
      </c>
      <c r="S34" s="24">
        <f t="shared" si="6"/>
        <v>1.5480916679007625E-2</v>
      </c>
      <c r="T34" s="25">
        <f t="shared" si="4"/>
        <v>-13203993</v>
      </c>
    </row>
    <row r="35" spans="2:20" ht="14.25" customHeight="1">
      <c r="B35" s="18" t="str">
        <f>IFERROR(INDEX(구분!$B:$B,MATCH(30,구분!$E:$E,0)),"")</f>
        <v>00218</v>
      </c>
      <c r="C35" s="99" t="str">
        <f>IFERROR(VLOOKUP(B35,구분!$B:$C,2,0),"")</f>
        <v>현대동구점</v>
      </c>
      <c r="D35" s="5">
        <f>IFERROR(IF(B35="",0,SUMIFS(표1[매출금액],표1[매장코드],B35,표1[년],피벗값_구분!$X$2,표1[월],"&gt;="&amp;피벗값_구분!$X$4,표1[월],"&lt;="&amp;피벗값_구분!$X$5)),0)</f>
        <v>122305700</v>
      </c>
      <c r="E35" s="5">
        <f>IFERROR(IF(B35="",0,SUMIFS(표1[매출금액],표1[매장코드],B35,표1[년],피벗값_구분!$X$3,표1[월],"&gt;="&amp;피벗값_구분!$X$4,표1[월],"&lt;="&amp;피벗값_구분!$X$5)),0)</f>
        <v>114650720</v>
      </c>
      <c r="F35" s="19">
        <f t="shared" si="5"/>
        <v>-6.2588906322436327E-2</v>
      </c>
      <c r="G35" s="20">
        <f>IFERROR(IF(B35="",0,SUMIFS(표1[수금액(V+)],표1[매장코드],B35,표1[년],피벗값_구분!$X$2,표1[월],"&gt;="&amp;피벗값_구분!$X$4,표1[월],"&lt;="&amp;피벗값_구분!$X$5)),0)</f>
        <v>84315649</v>
      </c>
      <c r="H35" s="21">
        <f>IFERROR(IF(B35="",0,SUMIFS(표1[수금액(V+)],표1[매장코드],B35,표1[년],피벗값_구분!$X$3,표1[월],"&gt;="&amp;피벗값_구분!$X$4,표1[월],"&lt;="&amp;피벗값_구분!$X$5)),0)</f>
        <v>71825540</v>
      </c>
      <c r="I35" s="22">
        <f t="shared" si="0"/>
        <v>0.62647264666109381</v>
      </c>
      <c r="J35" s="20">
        <f>IFERROR(IF(B35="",0,SUMIFS(표1[생산원가(V-)],표1[매장코드],B35,표1[년],피벗값_구분!$X$2,표1[월],"&gt;="&amp;피벗값_구분!$X$4,표1[월],"&lt;="&amp;피벗값_구분!$X$5)),0)</f>
        <v>37793775</v>
      </c>
      <c r="K35" s="21">
        <f>IFERROR(IF(B35="",0,SUMIFS(표1[생산원가(V-)],표1[매장코드],B35,표1[년],피벗값_구분!$X$3,표1[월],"&gt;="&amp;피벗값_구분!$X$4,표1[월],"&lt;="&amp;피벗값_구분!$X$5)),0)</f>
        <v>33934244</v>
      </c>
      <c r="L35" s="23">
        <f t="shared" si="1"/>
        <v>3.0714674908545851</v>
      </c>
      <c r="M35" s="20">
        <f>IFERROR(IF(B35="",0,SUMIFS(표1[총경비],표1[매장코드],B35,표1[년],피벗값_구분!$X$2,표1[월],"&gt;="&amp;피벗값_구분!$X$4,표1[월],"&lt;="&amp;피벗값_구분!$X$5)),0)</f>
        <v>29468310</v>
      </c>
      <c r="N35" s="21">
        <f>IFERROR(IF(B35="",0,SUMIFS(표1[총경비],표1[매장코드],B35,표1[년],피벗값_구분!$X$3,표1[월],"&gt;="&amp;피벗값_구분!$X$4,표1[월],"&lt;="&amp;피벗값_구분!$X$5)),0)</f>
        <v>29910360</v>
      </c>
      <c r="O35" s="24">
        <f t="shared" si="2"/>
        <v>0.26088244365146596</v>
      </c>
      <c r="P35" s="20">
        <f>IFERROR(IF(B35="",0,SUMIFS(표1[영업이익(V-)],표1[매장코드],B35,표1[년],피벗값_구분!$X$2,표1[월],"&gt;="&amp;피벗값_구분!$X$4,표1[월],"&lt;="&amp;피벗값_구분!$X$5)),0)</f>
        <v>38856815</v>
      </c>
      <c r="Q35" s="21">
        <f>IFERROR(IF(B35="",0,SUMIFS(표1[영업이익(V-)],표1[매장코드],B35,표1[년],피벗값_구분!$X$3,표1[월],"&gt;="&amp;피벗값_구분!$X$4,표1[월],"&lt;="&amp;피벗값_구분!$X$5)),0)</f>
        <v>31361701</v>
      </c>
      <c r="R35" s="24">
        <f t="shared" si="3"/>
        <v>0.30089537248435949</v>
      </c>
      <c r="S35" s="24">
        <f t="shared" si="6"/>
        <v>6.4740531773290547E-3</v>
      </c>
      <c r="T35" s="25">
        <f t="shared" si="4"/>
        <v>-7495114</v>
      </c>
    </row>
    <row r="36" spans="2:20" ht="14.25" customHeight="1">
      <c r="B36" s="18" t="str">
        <f>IFERROR(INDEX(구분!$B:$B,MATCH(31,구분!$E:$E,0)),"")</f>
        <v>00219</v>
      </c>
      <c r="C36" s="99" t="str">
        <f>IFERROR(VLOOKUP(B36,구분!$B:$C,2,0),"")</f>
        <v>현대판교점</v>
      </c>
      <c r="D36" s="5">
        <f>IFERROR(IF(B36="",0,SUMIFS(표1[매출금액],표1[매장코드],B36,표1[년],피벗값_구분!$X$2,표1[월],"&gt;="&amp;피벗값_구분!$X$4,표1[월],"&lt;="&amp;피벗값_구분!$X$5)),0)</f>
        <v>380260820</v>
      </c>
      <c r="E36" s="5">
        <f>IFERROR(IF(B36="",0,SUMIFS(표1[매출금액],표1[매장코드],B36,표1[년],피벗값_구분!$X$3,표1[월],"&gt;="&amp;피벗값_구분!$X$4,표1[월],"&lt;="&amp;피벗값_구분!$X$5)),0)</f>
        <v>420179870</v>
      </c>
      <c r="F36" s="19">
        <f t="shared" si="5"/>
        <v>0.10497807794134563</v>
      </c>
      <c r="G36" s="20">
        <f>IFERROR(IF(B36="",0,SUMIFS(표1[수금액(V+)],표1[매장코드],B36,표1[년],피벗값_구분!$X$2,표1[월],"&gt;="&amp;피벗값_구분!$X$4,표1[월],"&lt;="&amp;피벗값_구분!$X$5)),0)</f>
        <v>244364105</v>
      </c>
      <c r="H36" s="21">
        <f>IFERROR(IF(B36="",0,SUMIFS(표1[수금액(V+)],표1[매장코드],B36,표1[년],피벗값_구분!$X$3,표1[월],"&gt;="&amp;피벗값_구분!$X$4,표1[월],"&lt;="&amp;피벗값_구분!$X$5)),0)</f>
        <v>261507858</v>
      </c>
      <c r="I36" s="22">
        <f t="shared" si="0"/>
        <v>0.62237121925902827</v>
      </c>
      <c r="J36" s="20">
        <f>IFERROR(IF(B36="",0,SUMIFS(표1[생산원가(V-)],표1[매장코드],B36,표1[년],피벗값_구분!$X$2,표1[월],"&gt;="&amp;피벗값_구분!$X$4,표1[월],"&lt;="&amp;피벗값_구분!$X$5)),0)</f>
        <v>110516114</v>
      </c>
      <c r="K36" s="21">
        <f>IFERROR(IF(B36="",0,SUMIFS(표1[생산원가(V-)],표1[매장코드],B36,표1[년],피벗값_구분!$X$3,표1[월],"&gt;="&amp;피벗값_구분!$X$4,표1[월],"&lt;="&amp;피벗값_구분!$X$5)),0)</f>
        <v>108564692</v>
      </c>
      <c r="L36" s="23">
        <f t="shared" si="1"/>
        <v>3.5184708118547414</v>
      </c>
      <c r="M36" s="20">
        <f>IFERROR(IF(B36="",0,SUMIFS(표1[총경비],표1[매장코드],B36,표1[년],피벗값_구분!$X$2,표1[월],"&gt;="&amp;피벗값_구분!$X$4,표1[월],"&lt;="&amp;피벗값_구분!$X$5)),0)</f>
        <v>55290210</v>
      </c>
      <c r="N36" s="21">
        <f>IFERROR(IF(B36="",0,SUMIFS(표1[총경비],표1[매장코드],B36,표1[년],피벗값_구분!$X$3,표1[월],"&gt;="&amp;피벗값_구분!$X$4,표1[월],"&lt;="&amp;피벗값_구분!$X$5)),0)</f>
        <v>60142760</v>
      </c>
      <c r="O36" s="24">
        <f t="shared" si="2"/>
        <v>0.14313574803095636</v>
      </c>
      <c r="P36" s="20">
        <f>IFERROR(IF(B36="",0,SUMIFS(표1[영업이익(V-)],표1[매장코드],B36,표1[년],피벗값_구분!$X$2,표1[월],"&gt;="&amp;피벗값_구분!$X$4,표1[월],"&lt;="&amp;피벗값_구분!$X$5)),0)</f>
        <v>111633072</v>
      </c>
      <c r="Q36" s="21">
        <f>IFERROR(IF(B36="",0,SUMIFS(표1[영업이익(V-)],표1[매장코드],B36,표1[년],피벗값_구분!$X$3,표1[월],"&gt;="&amp;피벗값_구분!$X$4,표1[월],"&lt;="&amp;피벗값_구분!$X$5)),0)</f>
        <v>129169724</v>
      </c>
      <c r="R36" s="24">
        <f t="shared" si="3"/>
        <v>0.33815683840351518</v>
      </c>
      <c r="S36" s="24">
        <f t="shared" si="6"/>
        <v>2.6664741879814394E-2</v>
      </c>
      <c r="T36" s="25">
        <f t="shared" si="4"/>
        <v>17536652</v>
      </c>
    </row>
    <row r="37" spans="2:20" ht="14.25" customHeight="1">
      <c r="B37" s="18" t="str">
        <f>IFERROR(INDEX(구분!$B:$B,MATCH(32,구분!$E:$E,0)),"")</f>
        <v>00222</v>
      </c>
      <c r="C37" s="99" t="str">
        <f>IFERROR(VLOOKUP(B37,구분!$B:$C,2,0),"")</f>
        <v>현대신촌점</v>
      </c>
      <c r="D37" s="5">
        <f>IFERROR(IF(B37="",0,SUMIFS(표1[매출금액],표1[매장코드],B37,표1[년],피벗값_구분!$X$2,표1[월],"&gt;="&amp;피벗값_구분!$X$4,표1[월],"&lt;="&amp;피벗값_구분!$X$5)),0)</f>
        <v>71884410</v>
      </c>
      <c r="E37" s="5">
        <f>IFERROR(IF(B37="",0,SUMIFS(표1[매출금액],표1[매장코드],B37,표1[년],피벗값_구분!$X$3,표1[월],"&gt;="&amp;피벗값_구분!$X$4,표1[월],"&lt;="&amp;피벗값_구분!$X$5)),0)</f>
        <v>238182780</v>
      </c>
      <c r="F37" s="19">
        <f t="shared" si="5"/>
        <v>2.313413576045209</v>
      </c>
      <c r="G37" s="20">
        <f>IFERROR(IF(B37="",0,SUMIFS(표1[수금액(V+)],표1[매장코드],B37,표1[년],피벗값_구분!$X$2,표1[월],"&gt;="&amp;피벗값_구분!$X$4,표1[월],"&lt;="&amp;피벗값_구분!$X$5)),0)</f>
        <v>45178811</v>
      </c>
      <c r="H37" s="21">
        <f>IFERROR(IF(B37="",0,SUMIFS(표1[수금액(V+)],표1[매장코드],B37,표1[년],피벗값_구분!$X$3,표1[월],"&gt;="&amp;피벗값_구분!$X$4,표1[월],"&lt;="&amp;피벗값_구분!$X$5)),0)</f>
        <v>152377538</v>
      </c>
      <c r="I37" s="22">
        <f t="shared" si="0"/>
        <v>0.63975043871769399</v>
      </c>
      <c r="J37" s="20">
        <f>IFERROR(IF(B37="",0,SUMIFS(표1[생산원가(V-)],표1[매장코드],B37,표1[년],피벗값_구분!$X$2,표1[월],"&gt;="&amp;피벗값_구분!$X$4,표1[월],"&lt;="&amp;피벗값_구분!$X$5)),0)</f>
        <v>23375728</v>
      </c>
      <c r="K37" s="21">
        <f>IFERROR(IF(B37="",0,SUMIFS(표1[생산원가(V-)],표1[매장코드],B37,표1[년],피벗값_구분!$X$3,표1[월],"&gt;="&amp;피벗값_구분!$X$4,표1[월],"&lt;="&amp;피벗값_구분!$X$5)),0)</f>
        <v>69284144</v>
      </c>
      <c r="L37" s="23">
        <f t="shared" si="1"/>
        <v>3.1252432013881846</v>
      </c>
      <c r="M37" s="20">
        <f>IFERROR(IF(B37="",0,SUMIFS(표1[총경비],표1[매장코드],B37,표1[년],피벗값_구분!$X$2,표1[월],"&gt;="&amp;피벗값_구분!$X$4,표1[월],"&lt;="&amp;피벗값_구분!$X$5)),0)</f>
        <v>20197840</v>
      </c>
      <c r="N37" s="21">
        <f>IFERROR(IF(B37="",0,SUMIFS(표1[총경비],표1[매장코드],B37,표1[년],피벗값_구분!$X$3,표1[월],"&gt;="&amp;피벗값_구분!$X$4,표1[월],"&lt;="&amp;피벗값_구분!$X$5)),0)</f>
        <v>39811850</v>
      </c>
      <c r="O37" s="24">
        <f t="shared" si="2"/>
        <v>0.16714831357665738</v>
      </c>
      <c r="P37" s="20">
        <f>IFERROR(IF(B37="",0,SUMIFS(표1[영업이익(V-)],표1[매장코드],B37,표1[년],피벗값_구분!$X$2,표1[월],"&gt;="&amp;피벗값_구분!$X$4,표1[월],"&lt;="&amp;피벗값_구분!$X$5)),0)</f>
        <v>17695918</v>
      </c>
      <c r="Q37" s="21">
        <f>IFERROR(IF(B37="",0,SUMIFS(표1[영업이익(V-)],표1[매장코드],B37,표1[년],피벗값_구분!$X$3,표1[월],"&gt;="&amp;피벗값_구분!$X$4,표1[월],"&lt;="&amp;피벗값_구분!$X$5)),0)</f>
        <v>69240891</v>
      </c>
      <c r="R37" s="24">
        <f t="shared" si="3"/>
        <v>0.31977534270109709</v>
      </c>
      <c r="S37" s="24">
        <f t="shared" si="6"/>
        <v>1.429352350434196E-2</v>
      </c>
      <c r="T37" s="25">
        <f t="shared" si="4"/>
        <v>51544973</v>
      </c>
    </row>
    <row r="38" spans="2:20" ht="14.25" customHeight="1">
      <c r="B38" s="18" t="str">
        <f>IFERROR(INDEX(구분!$B:$B,MATCH(33,구분!$E:$E,0)),"")</f>
        <v>00301</v>
      </c>
      <c r="C38" s="99" t="str">
        <f>IFERROR(VLOOKUP(B38,구분!$B:$C,2,0),"")</f>
        <v>신세계광주점</v>
      </c>
      <c r="D38" s="5">
        <f>IFERROR(IF(B38="",0,SUMIFS(표1[매출금액],표1[매장코드],B38,표1[년],피벗값_구분!$X$2,표1[월],"&gt;="&amp;피벗값_구분!$X$4,표1[월],"&lt;="&amp;피벗값_구분!$X$5)),0)</f>
        <v>439907700</v>
      </c>
      <c r="E38" s="5">
        <f>IFERROR(IF(B38="",0,SUMIFS(표1[매출금액],표1[매장코드],B38,표1[년],피벗값_구분!$X$3,표1[월],"&gt;="&amp;피벗값_구분!$X$4,표1[월],"&lt;="&amp;피벗값_구분!$X$5)),0)</f>
        <v>457978260</v>
      </c>
      <c r="F38" s="19">
        <f t="shared" ref="F38:F69" si="7">IFERROR(IF(B38="","",(E38-D38)/D38),"")</f>
        <v>4.1078071604566141E-2</v>
      </c>
      <c r="G38" s="20">
        <f>IFERROR(IF(B38="",0,SUMIFS(표1[수금액(V+)],표1[매장코드],B38,표1[년],피벗값_구분!$X$2,표1[월],"&gt;="&amp;피벗값_구분!$X$4,표1[월],"&lt;="&amp;피벗값_구분!$X$5)),0)</f>
        <v>281019098</v>
      </c>
      <c r="H38" s="21">
        <f>IFERROR(IF(B38="",0,SUMIFS(표1[수금액(V+)],표1[매장코드],B38,표1[년],피벗값_구분!$X$3,표1[월],"&gt;="&amp;피벗값_구분!$X$4,표1[월],"&lt;="&amp;피벗값_구분!$X$5)),0)</f>
        <v>291525725</v>
      </c>
      <c r="I38" s="22">
        <f t="shared" ref="I38:I69" si="8">IFERROR(IF(B38="","",H38/E38),"")</f>
        <v>0.63654926546076662</v>
      </c>
      <c r="J38" s="20">
        <f>IFERROR(IF(B38="",0,SUMIFS(표1[생산원가(V-)],표1[매장코드],B38,표1[년],피벗값_구분!$X$2,표1[월],"&gt;="&amp;피벗값_구분!$X$4,표1[월],"&lt;="&amp;피벗값_구분!$X$5)),0)</f>
        <v>141178240</v>
      </c>
      <c r="K38" s="21">
        <f>IFERROR(IF(B38="",0,SUMIFS(표1[생산원가(V-)],표1[매장코드],B38,표1[년],피벗값_구분!$X$3,표1[월],"&gt;="&amp;피벗값_구분!$X$4,표1[월],"&lt;="&amp;피벗값_구분!$X$5)),0)</f>
        <v>134698533</v>
      </c>
      <c r="L38" s="23">
        <f t="shared" ref="L38:L69" si="9">IFERROR(IF(B38="","",E38/1.1/K38),"")</f>
        <v>3.0909310105647005</v>
      </c>
      <c r="M38" s="20">
        <f>IFERROR(IF(B38="",0,SUMIFS(표1[총경비],표1[매장코드],B38,표1[년],피벗값_구분!$X$2,표1[월],"&gt;="&amp;피벗값_구분!$X$4,표1[월],"&lt;="&amp;피벗값_구분!$X$5)),0)</f>
        <v>52070900</v>
      </c>
      <c r="N38" s="21">
        <f>IFERROR(IF(B38="",0,SUMIFS(표1[총경비],표1[매장코드],B38,표1[년],피벗값_구분!$X$3,표1[월],"&gt;="&amp;피벗값_구분!$X$4,표1[월],"&lt;="&amp;피벗값_구분!$X$5)),0)</f>
        <v>55928060</v>
      </c>
      <c r="O38" s="24">
        <f t="shared" ref="O38:O69" si="10">IFERROR(IF(B38="","",N38/E38),"")</f>
        <v>0.12211946479730282</v>
      </c>
      <c r="P38" s="20">
        <f>IFERROR(IF(B38="",0,SUMIFS(표1[영업이익(V-)],표1[매장코드],B38,표1[년],피벗값_구분!$X$2,표1[월],"&gt;="&amp;피벗값_구분!$X$4,표1[월],"&lt;="&amp;피벗값_구분!$X$5)),0)</f>
        <v>114293668</v>
      </c>
      <c r="Q38" s="21">
        <f>IFERROR(IF(B38="",0,SUMIFS(표1[영업이익(V-)],표1[매장코드],B38,표1[년],피벗값_구분!$X$3,표1[월],"&gt;="&amp;피벗값_구분!$X$4,표1[월],"&lt;="&amp;피벗값_구분!$X$5)),0)</f>
        <v>130324853</v>
      </c>
      <c r="R38" s="24">
        <f t="shared" ref="R38:R69" si="11">IFERROR(IF(B38="","",Q38/(E38/1.1)),"")</f>
        <v>0.31302214716480214</v>
      </c>
      <c r="S38" s="24">
        <f t="shared" si="6"/>
        <v>2.6903197267571424E-2</v>
      </c>
      <c r="T38" s="25">
        <f t="shared" ref="T38:T69" si="12">IF(B38="","",Q38-P38)</f>
        <v>16031185</v>
      </c>
    </row>
    <row r="39" spans="2:20" ht="14.25" customHeight="1">
      <c r="B39" s="18" t="str">
        <f>IFERROR(INDEX(구분!$B:$B,MATCH(34,구분!$E:$E,0)),"")</f>
        <v>00303</v>
      </c>
      <c r="C39" s="99" t="str">
        <f>IFERROR(VLOOKUP(B39,구분!$B:$C,2,0),"")</f>
        <v>신세계마산점</v>
      </c>
      <c r="D39" s="5">
        <f>IFERROR(IF(B39="",0,SUMIFS(표1[매출금액],표1[매장코드],B39,표1[년],피벗값_구분!$X$2,표1[월],"&gt;="&amp;피벗값_구분!$X$4,표1[월],"&lt;="&amp;피벗값_구분!$X$5)),0)</f>
        <v>273929580</v>
      </c>
      <c r="E39" s="5">
        <f>IFERROR(IF(B39="",0,SUMIFS(표1[매출금액],표1[매장코드],B39,표1[년],피벗값_구분!$X$3,표1[월],"&gt;="&amp;피벗값_구분!$X$4,표1[월],"&lt;="&amp;피벗값_구분!$X$5)),0)</f>
        <v>257834120</v>
      </c>
      <c r="F39" s="19">
        <f t="shared" si="7"/>
        <v>-5.8757655890977527E-2</v>
      </c>
      <c r="G39" s="20">
        <f>IFERROR(IF(B39="",0,SUMIFS(표1[수금액(V+)],표1[매장코드],B39,표1[년],피벗값_구분!$X$2,표1[월],"&gt;="&amp;피벗값_구분!$X$4,표1[월],"&lt;="&amp;피벗값_구분!$X$5)),0)</f>
        <v>173658447</v>
      </c>
      <c r="H39" s="21">
        <f>IFERROR(IF(B39="",0,SUMIFS(표1[수금액(V+)],표1[매장코드],B39,표1[년],피벗값_구분!$X$3,표1[월],"&gt;="&amp;피벗값_구분!$X$4,표1[월],"&lt;="&amp;피벗값_구분!$X$5)),0)</f>
        <v>164185797</v>
      </c>
      <c r="I39" s="22">
        <f t="shared" si="8"/>
        <v>0.63678847857684628</v>
      </c>
      <c r="J39" s="20">
        <f>IFERROR(IF(B39="",0,SUMIFS(표1[생산원가(V-)],표1[매장코드],B39,표1[년],피벗값_구분!$X$2,표1[월],"&gt;="&amp;피벗값_구분!$X$4,표1[월],"&lt;="&amp;피벗값_구분!$X$5)),0)</f>
        <v>82025893</v>
      </c>
      <c r="K39" s="21">
        <f>IFERROR(IF(B39="",0,SUMIFS(표1[생산원가(V-)],표1[매장코드],B39,표1[년],피벗값_구분!$X$3,표1[월],"&gt;="&amp;피벗값_구분!$X$4,표1[월],"&lt;="&amp;피벗값_구분!$X$5)),0)</f>
        <v>72428323</v>
      </c>
      <c r="L39" s="23">
        <f t="shared" si="9"/>
        <v>3.2362292102973935</v>
      </c>
      <c r="M39" s="20">
        <f>IFERROR(IF(B39="",0,SUMIFS(표1[총경비],표1[매장코드],B39,표1[년],피벗값_구분!$X$2,표1[월],"&gt;="&amp;피벗값_구분!$X$4,표1[월],"&lt;="&amp;피벗값_구분!$X$5)),0)</f>
        <v>46143260</v>
      </c>
      <c r="N39" s="21">
        <f>IFERROR(IF(B39="",0,SUMIFS(표1[총경비],표1[매장코드],B39,표1[년],피벗값_구분!$X$3,표1[월],"&gt;="&amp;피벗값_구분!$X$4,표1[월],"&lt;="&amp;피벗값_구분!$X$5)),0)</f>
        <v>45176670</v>
      </c>
      <c r="O39" s="24">
        <f t="shared" si="10"/>
        <v>0.17521602649021006</v>
      </c>
      <c r="P39" s="20">
        <f>IFERROR(IF(B39="",0,SUMIFS(표1[영업이익(V-)],표1[매장코드],B39,표1[년],피벗값_구분!$X$2,표1[월],"&gt;="&amp;피벗값_구분!$X$4,표1[월],"&lt;="&amp;피벗값_구분!$X$5)),0)</f>
        <v>75845423</v>
      </c>
      <c r="Q39" s="21">
        <f>IFERROR(IF(B39="",0,SUMIFS(표1[영업이익(V-)],표1[매장코드],B39,표1[년],피벗값_구분!$X$3,표1[월],"&gt;="&amp;피벗값_구분!$X$4,표1[월],"&lt;="&amp;피벗값_구분!$X$5)),0)</f>
        <v>76831492</v>
      </c>
      <c r="R39" s="24">
        <f t="shared" si="11"/>
        <v>0.32778687785774824</v>
      </c>
      <c r="S39" s="24">
        <f t="shared" si="6"/>
        <v>1.5860465122779274E-2</v>
      </c>
      <c r="T39" s="25">
        <f t="shared" si="12"/>
        <v>986069</v>
      </c>
    </row>
    <row r="40" spans="2:20" ht="14.25" customHeight="1">
      <c r="B40" s="18" t="str">
        <f>IFERROR(INDEX(구분!$B:$B,MATCH(35,구분!$E:$E,0)),"")</f>
        <v>00304</v>
      </c>
      <c r="C40" s="99" t="str">
        <f>IFERROR(VLOOKUP(B40,구분!$B:$C,2,0),"")</f>
        <v>신세계강남점</v>
      </c>
      <c r="D40" s="5">
        <f>IFERROR(IF(B40="",0,SUMIFS(표1[매출금액],표1[매장코드],B40,표1[년],피벗값_구분!$X$2,표1[월],"&gt;="&amp;피벗값_구분!$X$4,표1[월],"&lt;="&amp;피벗값_구분!$X$5)),0)</f>
        <v>401401780</v>
      </c>
      <c r="E40" s="5">
        <f>IFERROR(IF(B40="",0,SUMIFS(표1[매출금액],표1[매장코드],B40,표1[년],피벗값_구분!$X$3,표1[월],"&gt;="&amp;피벗값_구분!$X$4,표1[월],"&lt;="&amp;피벗값_구분!$X$5)),0)</f>
        <v>493837350</v>
      </c>
      <c r="F40" s="19">
        <f t="shared" si="7"/>
        <v>0.23028191354806649</v>
      </c>
      <c r="G40" s="20">
        <f>IFERROR(IF(B40="",0,SUMIFS(표1[수금액(V+)],표1[매장코드],B40,표1[년],피벗값_구분!$X$2,표1[월],"&gt;="&amp;피벗값_구분!$X$4,표1[월],"&lt;="&amp;피벗값_구분!$X$5)),0)</f>
        <v>253229208</v>
      </c>
      <c r="H40" s="21">
        <f>IFERROR(IF(B40="",0,SUMIFS(표1[수금액(V+)],표1[매장코드],B40,표1[년],피벗값_구분!$X$3,표1[월],"&gt;="&amp;피벗값_구분!$X$4,표1[월],"&lt;="&amp;피벗값_구분!$X$5)),0)</f>
        <v>308378470</v>
      </c>
      <c r="I40" s="22">
        <f t="shared" si="8"/>
        <v>0.62445351693224505</v>
      </c>
      <c r="J40" s="20">
        <f>IFERROR(IF(B40="",0,SUMIFS(표1[생산원가(V-)],표1[매장코드],B40,표1[년],피벗값_구분!$X$2,표1[월],"&gt;="&amp;피벗값_구분!$X$4,표1[월],"&lt;="&amp;피벗값_구분!$X$5)),0)</f>
        <v>113065366</v>
      </c>
      <c r="K40" s="21">
        <f>IFERROR(IF(B40="",0,SUMIFS(표1[생산원가(V-)],표1[매장코드],B40,표1[년],피벗값_구분!$X$3,표1[월],"&gt;="&amp;피벗값_구분!$X$4,표1[월],"&lt;="&amp;피벗값_구분!$X$5)),0)</f>
        <v>133932860</v>
      </c>
      <c r="L40" s="23">
        <f t="shared" si="9"/>
        <v>3.3520007371943334</v>
      </c>
      <c r="M40" s="20">
        <f>IFERROR(IF(B40="",0,SUMIFS(표1[총경비],표1[매장코드],B40,표1[년],피벗값_구분!$X$2,표1[월],"&gt;="&amp;피벗값_구분!$X$4,표1[월],"&lt;="&amp;피벗값_구분!$X$5)),0)</f>
        <v>38497010</v>
      </c>
      <c r="N40" s="21">
        <f>IFERROR(IF(B40="",0,SUMIFS(표1[총경비],표1[매장코드],B40,표1[년],피벗값_구분!$X$3,표1[월],"&gt;="&amp;피벗값_구분!$X$4,표1[월],"&lt;="&amp;피벗값_구분!$X$5)),0)</f>
        <v>42298760</v>
      </c>
      <c r="O40" s="24">
        <f t="shared" si="10"/>
        <v>8.5653221652837716E-2</v>
      </c>
      <c r="P40" s="20">
        <f>IFERROR(IF(B40="",0,SUMIFS(표1[영업이익(V-)],표1[매장코드],B40,표1[년],피벗값_구분!$X$2,표1[월],"&gt;="&amp;피벗값_구분!$X$4,표1[월],"&lt;="&amp;피벗값_구분!$X$5)),0)</f>
        <v>117143006</v>
      </c>
      <c r="Q40" s="21">
        <f>IFERROR(IF(B40="",0,SUMIFS(표1[영업이익(V-)],표1[매장코드],B40,표1[년],피벗값_구분!$X$3,표1[월],"&gt;="&amp;피벗값_구분!$X$4,표1[월],"&lt;="&amp;피벗값_구분!$X$5)),0)</f>
        <v>146411203</v>
      </c>
      <c r="R40" s="24">
        <f t="shared" si="11"/>
        <v>0.32612422551676173</v>
      </c>
      <c r="S40" s="24">
        <f t="shared" si="6"/>
        <v>3.0223931858119533E-2</v>
      </c>
      <c r="T40" s="25">
        <f t="shared" si="12"/>
        <v>29268197</v>
      </c>
    </row>
    <row r="41" spans="2:20" ht="14.25" customHeight="1">
      <c r="B41" s="18" t="str">
        <f>IFERROR(INDEX(구분!$B:$B,MATCH(36,구분!$E:$E,0)),"")</f>
        <v>00306</v>
      </c>
      <c r="C41" s="99" t="str">
        <f>IFERROR(VLOOKUP(B41,구분!$B:$C,2,0),"")</f>
        <v>신세계경기점</v>
      </c>
      <c r="D41" s="5">
        <f>IFERROR(IF(B41="",0,SUMIFS(표1[매출금액],표1[매장코드],B41,표1[년],피벗값_구분!$X$2,표1[월],"&gt;="&amp;피벗값_구분!$X$4,표1[월],"&lt;="&amp;피벗값_구분!$X$5)),0)</f>
        <v>358708780</v>
      </c>
      <c r="E41" s="5">
        <f>IFERROR(IF(B41="",0,SUMIFS(표1[매출금액],표1[매장코드],B41,표1[년],피벗값_구분!$X$3,표1[월],"&gt;="&amp;피벗값_구분!$X$4,표1[월],"&lt;="&amp;피벗값_구분!$X$5)),0)</f>
        <v>376815570</v>
      </c>
      <c r="F41" s="19">
        <f t="shared" si="7"/>
        <v>5.0477688335367761E-2</v>
      </c>
      <c r="G41" s="20">
        <f>IFERROR(IF(B41="",0,SUMIFS(표1[수금액(V+)],표1[매장코드],B41,표1[년],피벗값_구분!$X$2,표1[월],"&gt;="&amp;피벗값_구분!$X$4,표1[월],"&lt;="&amp;피벗값_구분!$X$5)),0)</f>
        <v>227108567</v>
      </c>
      <c r="H41" s="21">
        <f>IFERROR(IF(B41="",0,SUMIFS(표1[수금액(V+)],표1[매장코드],B41,표1[년],피벗값_구분!$X$3,표1[월],"&gt;="&amp;피벗값_구분!$X$4,표1[월],"&lt;="&amp;피벗값_구분!$X$5)),0)</f>
        <v>238782669</v>
      </c>
      <c r="I41" s="22">
        <f t="shared" si="8"/>
        <v>0.63368578161459732</v>
      </c>
      <c r="J41" s="20">
        <f>IFERROR(IF(B41="",0,SUMIFS(표1[생산원가(V-)],표1[매장코드],B41,표1[년],피벗값_구분!$X$2,표1[월],"&gt;="&amp;피벗값_구분!$X$4,표1[월],"&lt;="&amp;피벗값_구분!$X$5)),0)</f>
        <v>110521568</v>
      </c>
      <c r="K41" s="21">
        <f>IFERROR(IF(B41="",0,SUMIFS(표1[생산원가(V-)],표1[매장코드],B41,표1[년],피벗값_구분!$X$3,표1[월],"&gt;="&amp;피벗값_구분!$X$4,표1[월],"&lt;="&amp;피벗값_구분!$X$5)),0)</f>
        <v>106952230</v>
      </c>
      <c r="L41" s="23">
        <f t="shared" si="9"/>
        <v>3.2029216136111334</v>
      </c>
      <c r="M41" s="20">
        <f>IFERROR(IF(B41="",0,SUMIFS(표1[총경비],표1[매장코드],B41,표1[년],피벗값_구분!$X$2,표1[월],"&gt;="&amp;피벗값_구분!$X$4,표1[월],"&lt;="&amp;피벗값_구분!$X$5)),0)</f>
        <v>53771418</v>
      </c>
      <c r="N41" s="21">
        <f>IFERROR(IF(B41="",0,SUMIFS(표1[총경비],표1[매장코드],B41,표1[년],피벗값_구분!$X$3,표1[월],"&gt;="&amp;피벗값_구분!$X$4,표1[월],"&lt;="&amp;피벗값_구분!$X$5)),0)</f>
        <v>56459450</v>
      </c>
      <c r="O41" s="24">
        <f t="shared" si="10"/>
        <v>0.14983311331853935</v>
      </c>
      <c r="P41" s="20">
        <f>IFERROR(IF(B41="",0,SUMIFS(표1[영업이익(V-)],표1[매장코드],B41,표1[년],피벗값_구분!$X$2,표1[월],"&gt;="&amp;피벗값_구분!$X$4,표1[월],"&lt;="&amp;피벗값_구분!$X$5)),0)</f>
        <v>95940766</v>
      </c>
      <c r="Q41" s="21">
        <f>IFERROR(IF(B41="",0,SUMIFS(표1[영업이익(V-)],표1[매장코드],B41,표1[년],피벗값_구분!$X$3,표1[월],"&gt;="&amp;피벗값_구분!$X$4,표1[월],"&lt;="&amp;피벗값_구분!$X$5)),0)</f>
        <v>110122925</v>
      </c>
      <c r="R41" s="24">
        <f t="shared" si="11"/>
        <v>0.32147083916941122</v>
      </c>
      <c r="S41" s="24">
        <f t="shared" si="6"/>
        <v>2.2732876398924254E-2</v>
      </c>
      <c r="T41" s="25">
        <f t="shared" si="12"/>
        <v>14182159</v>
      </c>
    </row>
    <row r="42" spans="2:20" ht="14.25" customHeight="1">
      <c r="B42" s="18" t="str">
        <f>IFERROR(INDEX(구분!$B:$B,MATCH(37,구분!$E:$E,0)),"")</f>
        <v>00307</v>
      </c>
      <c r="C42" s="99" t="str">
        <f>IFERROR(VLOOKUP(B42,구분!$B:$C,2,0),"")</f>
        <v>신세계센텀점</v>
      </c>
      <c r="D42" s="5">
        <f>IFERROR(IF(B42="",0,SUMIFS(표1[매출금액],표1[매장코드],B42,표1[년],피벗값_구분!$X$2,표1[월],"&gt;="&amp;피벗값_구분!$X$4,표1[월],"&lt;="&amp;피벗값_구분!$X$5)),0)</f>
        <v>516728640</v>
      </c>
      <c r="E42" s="5">
        <f>IFERROR(IF(B42="",0,SUMIFS(표1[매출금액],표1[매장코드],B42,표1[년],피벗값_구분!$X$3,표1[월],"&gt;="&amp;피벗값_구분!$X$4,표1[월],"&lt;="&amp;피벗값_구분!$X$5)),0)</f>
        <v>544718680</v>
      </c>
      <c r="F42" s="19">
        <f t="shared" si="7"/>
        <v>5.4167773630662316E-2</v>
      </c>
      <c r="G42" s="20">
        <f>IFERROR(IF(B42="",0,SUMIFS(표1[수금액(V+)],표1[매장코드],B42,표1[년],피벗값_구분!$X$2,표1[월],"&gt;="&amp;피벗값_구분!$X$4,표1[월],"&lt;="&amp;피벗값_구분!$X$5)),0)</f>
        <v>329388259</v>
      </c>
      <c r="H42" s="21">
        <f>IFERROR(IF(B42="",0,SUMIFS(표1[수금액(V+)],표1[매장코드],B42,표1[년],피벗값_구분!$X$3,표1[월],"&gt;="&amp;피벗값_구분!$X$4,표1[월],"&lt;="&amp;피벗값_구분!$X$5)),0)</f>
        <v>345704157</v>
      </c>
      <c r="I42" s="22">
        <f t="shared" si="8"/>
        <v>0.63464714850608761</v>
      </c>
      <c r="J42" s="20">
        <f>IFERROR(IF(B42="",0,SUMIFS(표1[생산원가(V-)],표1[매장코드],B42,표1[년],피벗값_구분!$X$2,표1[월],"&gt;="&amp;피벗값_구분!$X$4,표1[월],"&lt;="&amp;피벗값_구분!$X$5)),0)</f>
        <v>166632549</v>
      </c>
      <c r="K42" s="21">
        <f>IFERROR(IF(B42="",0,SUMIFS(표1[생산원가(V-)],표1[매장코드],B42,표1[년],피벗값_구분!$X$3,표1[월],"&gt;="&amp;피벗값_구분!$X$4,표1[월],"&lt;="&amp;피벗값_구분!$X$5)),0)</f>
        <v>158261537</v>
      </c>
      <c r="L42" s="23">
        <f t="shared" si="9"/>
        <v>3.1289902106789214</v>
      </c>
      <c r="M42" s="20">
        <f>IFERROR(IF(B42="",0,SUMIFS(표1[총경비],표1[매장코드],B42,표1[년],피벗값_구분!$X$2,표1[월],"&gt;="&amp;피벗값_구분!$X$4,표1[월],"&lt;="&amp;피벗값_구분!$X$5)),0)</f>
        <v>74903350</v>
      </c>
      <c r="N42" s="21">
        <f>IFERROR(IF(B42="",0,SUMIFS(표1[총경비],표1[매장코드],B42,표1[년],피벗값_구분!$X$3,표1[월],"&gt;="&amp;피벗값_구분!$X$4,표1[월],"&lt;="&amp;피벗값_구분!$X$5)),0)</f>
        <v>78872520</v>
      </c>
      <c r="O42" s="24">
        <f t="shared" si="10"/>
        <v>0.1447949609512198</v>
      </c>
      <c r="P42" s="20">
        <f>IFERROR(IF(B42="",0,SUMIFS(표1[영업이익(V-)],표1[매장코드],B42,표1[년],피벗값_구분!$X$2,표1[월],"&gt;="&amp;피벗값_구분!$X$4,표1[월],"&lt;="&amp;피벗값_구분!$X$5)),0)</f>
        <v>132811323</v>
      </c>
      <c r="Q42" s="21">
        <f>IFERROR(IF(B42="",0,SUMIFS(표1[영업이익(V-)],표1[매장코드],B42,표1[년],피벗값_구분!$X$3,표1[월],"&gt;="&amp;피벗값_구분!$X$4,표1[월],"&lt;="&amp;피벗값_구분!$X$5)),0)</f>
        <v>156014970</v>
      </c>
      <c r="R42" s="24">
        <f t="shared" si="11"/>
        <v>0.31505522630507188</v>
      </c>
      <c r="S42" s="24">
        <f t="shared" si="6"/>
        <v>3.2206455008272579E-2</v>
      </c>
      <c r="T42" s="25">
        <f t="shared" si="12"/>
        <v>23203647</v>
      </c>
    </row>
    <row r="43" spans="2:20" ht="14.25" customHeight="1">
      <c r="B43" s="18" t="str">
        <f>IFERROR(INDEX(구분!$B:$B,MATCH(38,구분!$E:$E,0)),"")</f>
        <v>00308</v>
      </c>
      <c r="C43" s="99" t="str">
        <f>IFERROR(VLOOKUP(B43,구분!$B:$C,2,0),"")</f>
        <v>신세계타임스퀘어점</v>
      </c>
      <c r="D43" s="5">
        <f>IFERROR(IF(B43="",0,SUMIFS(표1[매출금액],표1[매장코드],B43,표1[년],피벗값_구분!$X$2,표1[월],"&gt;="&amp;피벗값_구분!$X$4,표1[월],"&lt;="&amp;피벗값_구분!$X$5)),0)</f>
        <v>214400900</v>
      </c>
      <c r="E43" s="5">
        <f>IFERROR(IF(B43="",0,SUMIFS(표1[매출금액],표1[매장코드],B43,표1[년],피벗값_구분!$X$3,표1[월],"&gt;="&amp;피벗값_구분!$X$4,표1[월],"&lt;="&amp;피벗값_구분!$X$5)),0)</f>
        <v>261120780</v>
      </c>
      <c r="F43" s="19">
        <f t="shared" si="7"/>
        <v>0.21790897332986942</v>
      </c>
      <c r="G43" s="20">
        <f>IFERROR(IF(B43="",0,SUMIFS(표1[수금액(V+)],표1[매장코드],B43,표1[년],피벗값_구분!$X$2,표1[월],"&gt;="&amp;피벗값_구분!$X$4,표1[월],"&lt;="&amp;피벗값_구분!$X$5)),0)</f>
        <v>135397941</v>
      </c>
      <c r="H43" s="21">
        <f>IFERROR(IF(B43="",0,SUMIFS(표1[수금액(V+)],표1[매장코드],B43,표1[년],피벗값_구분!$X$3,표1[월],"&gt;="&amp;피벗값_구분!$X$4,표1[월],"&lt;="&amp;피벗값_구분!$X$5)),0)</f>
        <v>165278400</v>
      </c>
      <c r="I43" s="22">
        <f t="shared" si="8"/>
        <v>0.63295766809520104</v>
      </c>
      <c r="J43" s="20">
        <f>IFERROR(IF(B43="",0,SUMIFS(표1[생산원가(V-)],표1[매장코드],B43,표1[년],피벗값_구분!$X$2,표1[월],"&gt;="&amp;피벗값_구분!$X$4,표1[월],"&lt;="&amp;피벗값_구분!$X$5)),0)</f>
        <v>62453454</v>
      </c>
      <c r="K43" s="21">
        <f>IFERROR(IF(B43="",0,SUMIFS(표1[생산원가(V-)],표1[매장코드],B43,표1[년],피벗값_구분!$X$3,표1[월],"&gt;="&amp;피벗값_구분!$X$4,표1[월],"&lt;="&amp;피벗값_구분!$X$5)),0)</f>
        <v>71405778</v>
      </c>
      <c r="L43" s="23">
        <f t="shared" si="9"/>
        <v>3.3244162296323871</v>
      </c>
      <c r="M43" s="20">
        <f>IFERROR(IF(B43="",0,SUMIFS(표1[총경비],표1[매장코드],B43,표1[년],피벗값_구분!$X$2,표1[월],"&gt;="&amp;피벗값_구분!$X$4,표1[월],"&lt;="&amp;피벗값_구분!$X$5)),0)</f>
        <v>27571920</v>
      </c>
      <c r="N43" s="21">
        <f>IFERROR(IF(B43="",0,SUMIFS(표1[총경비],표1[매장코드],B43,표1[년],피벗값_구분!$X$3,표1[월],"&gt;="&amp;피벗값_구분!$X$4,표1[월],"&lt;="&amp;피벗값_구분!$X$5)),0)</f>
        <v>33396490</v>
      </c>
      <c r="O43" s="24">
        <f t="shared" si="10"/>
        <v>0.12789671507568259</v>
      </c>
      <c r="P43" s="20">
        <f>IFERROR(IF(B43="",0,SUMIFS(표1[영업이익(V-)],표1[매장코드],B43,표1[년],피벗값_구분!$X$2,표1[월],"&gt;="&amp;피벗값_구분!$X$4,표1[월],"&lt;="&amp;피벗값_구분!$X$5)),0)</f>
        <v>60635583</v>
      </c>
      <c r="Q43" s="21">
        <f>IFERROR(IF(B43="",0,SUMIFS(표1[영업이익(V-)],표1[매장코드],B43,표1[년],피벗값_구분!$X$3,표1[월],"&gt;="&amp;피벗값_구분!$X$4,표1[월],"&lt;="&amp;피벗값_구분!$X$5)),0)</f>
        <v>78847313</v>
      </c>
      <c r="R43" s="24">
        <f t="shared" si="11"/>
        <v>0.33215297648850473</v>
      </c>
      <c r="S43" s="24">
        <f t="shared" si="6"/>
        <v>1.6276594730990787E-2</v>
      </c>
      <c r="T43" s="25">
        <f t="shared" si="12"/>
        <v>18211730</v>
      </c>
    </row>
    <row r="44" spans="2:20" ht="14.25" customHeight="1">
      <c r="B44" s="18" t="str">
        <f>IFERROR(INDEX(구분!$B:$B,MATCH(39,구분!$E:$E,0)),"")</f>
        <v>00309</v>
      </c>
      <c r="C44" s="99" t="str">
        <f>IFERROR(VLOOKUP(B44,구분!$B:$C,2,0),"")</f>
        <v>신세계천안아산점</v>
      </c>
      <c r="D44" s="5">
        <f>IFERROR(IF(B44="",0,SUMIFS(표1[매출금액],표1[매장코드],B44,표1[년],피벗값_구분!$X$2,표1[월],"&gt;="&amp;피벗값_구분!$X$4,표1[월],"&lt;="&amp;피벗값_구분!$X$5)),0)</f>
        <v>133355330</v>
      </c>
      <c r="E44" s="5">
        <f>IFERROR(IF(B44="",0,SUMIFS(표1[매출금액],표1[매장코드],B44,표1[년],피벗값_구분!$X$3,표1[월],"&gt;="&amp;피벗값_구분!$X$4,표1[월],"&lt;="&amp;피벗값_구분!$X$5)),0)</f>
        <v>147670410</v>
      </c>
      <c r="F44" s="19">
        <f t="shared" si="7"/>
        <v>0.10734539069417023</v>
      </c>
      <c r="G44" s="20">
        <f>IFERROR(IF(B44="",0,SUMIFS(표1[수금액(V+)],표1[매장코드],B44,표1[년],피벗값_구분!$X$2,표1[월],"&gt;="&amp;피벗값_구분!$X$4,표1[월],"&lt;="&amp;피벗값_구분!$X$5)),0)</f>
        <v>85040768</v>
      </c>
      <c r="H44" s="21">
        <f>IFERROR(IF(B44="",0,SUMIFS(표1[수금액(V+)],표1[매장코드],B44,표1[년],피벗값_구분!$X$3,표1[월],"&gt;="&amp;피벗값_구분!$X$4,표1[월],"&lt;="&amp;피벗값_구분!$X$5)),0)</f>
        <v>94418915</v>
      </c>
      <c r="I44" s="22">
        <f t="shared" si="8"/>
        <v>0.63938953646840957</v>
      </c>
      <c r="J44" s="20">
        <f>IFERROR(IF(B44="",0,SUMIFS(표1[생산원가(V-)],표1[매장코드],B44,표1[년],피벗값_구분!$X$2,표1[월],"&gt;="&amp;피벗값_구분!$X$4,표1[월],"&lt;="&amp;피벗값_구분!$X$5)),0)</f>
        <v>38264321</v>
      </c>
      <c r="K44" s="21">
        <f>IFERROR(IF(B44="",0,SUMIFS(표1[생산원가(V-)],표1[매장코드],B44,표1[년],피벗값_구분!$X$3,표1[월],"&gt;="&amp;피벗값_구분!$X$4,표1[월],"&lt;="&amp;피벗값_구분!$X$5)),0)</f>
        <v>38861708</v>
      </c>
      <c r="L44" s="23">
        <f t="shared" si="9"/>
        <v>3.454450001855998</v>
      </c>
      <c r="M44" s="20">
        <f>IFERROR(IF(B44="",0,SUMIFS(표1[총경비],표1[매장코드],B44,표1[년],피벗값_구분!$X$2,표1[월],"&gt;="&amp;피벗값_구분!$X$4,표1[월],"&lt;="&amp;피벗값_구분!$X$5)),0)</f>
        <v>26512700</v>
      </c>
      <c r="N44" s="21">
        <f>IFERROR(IF(B44="",0,SUMIFS(표1[총경비],표1[매장코드],B44,표1[년],피벗값_구분!$X$3,표1[월],"&gt;="&amp;피벗값_구분!$X$4,표1[월],"&lt;="&amp;피벗값_구분!$X$5)),0)</f>
        <v>26352590</v>
      </c>
      <c r="O44" s="24">
        <f t="shared" si="10"/>
        <v>0.17845545360102949</v>
      </c>
      <c r="P44" s="20">
        <f>IFERROR(IF(B44="",0,SUMIFS(표1[영업이익(V-)],표1[매장코드],B44,표1[년],피벗값_구분!$X$2,표1[월],"&gt;="&amp;피벗값_구분!$X$4,표1[월],"&lt;="&amp;피벗값_구분!$X$5)),0)</f>
        <v>39045468</v>
      </c>
      <c r="Q44" s="21">
        <f>IFERROR(IF(B44="",0,SUMIFS(표1[영업이익(V-)],표1[매장코드],B44,표1[년],피벗값_구분!$X$3,표1[월],"&gt;="&amp;피벗값_구분!$X$4,표1[월],"&lt;="&amp;피벗값_구분!$X$5)),0)</f>
        <v>46973670</v>
      </c>
      <c r="R44" s="24">
        <f t="shared" si="11"/>
        <v>0.34990785899490634</v>
      </c>
      <c r="S44" s="24">
        <f t="shared" si="6"/>
        <v>9.696860432229313E-3</v>
      </c>
      <c r="T44" s="25">
        <f t="shared" si="12"/>
        <v>7928202</v>
      </c>
    </row>
    <row r="45" spans="2:20" ht="14.25" customHeight="1">
      <c r="B45" s="18" t="str">
        <f>IFERROR(INDEX(구분!$B:$B,MATCH(40,구분!$E:$E,0)),"")</f>
        <v>00310</v>
      </c>
      <c r="C45" s="99" t="str">
        <f>IFERROR(VLOOKUP(B45,구분!$B:$C,2,0),"")</f>
        <v>신세계의정부점</v>
      </c>
      <c r="D45" s="5">
        <f>IFERROR(IF(B45="",0,SUMIFS(표1[매출금액],표1[매장코드],B45,표1[년],피벗값_구분!$X$2,표1[월],"&gt;="&amp;피벗값_구분!$X$4,표1[월],"&lt;="&amp;피벗값_구분!$X$5)),0)</f>
        <v>209523820</v>
      </c>
      <c r="E45" s="5">
        <f>IFERROR(IF(B45="",0,SUMIFS(표1[매출금액],표1[매장코드],B45,표1[년],피벗값_구분!$X$3,표1[월],"&gt;="&amp;피벗값_구분!$X$4,표1[월],"&lt;="&amp;피벗값_구분!$X$5)),0)</f>
        <v>235338440</v>
      </c>
      <c r="F45" s="19">
        <f t="shared" si="7"/>
        <v>0.12320613474878417</v>
      </c>
      <c r="G45" s="20">
        <f>IFERROR(IF(B45="",0,SUMIFS(표1[수금액(V+)],표1[매장코드],B45,표1[년],피벗값_구분!$X$2,표1[월],"&gt;="&amp;피벗값_구분!$X$4,표1[월],"&lt;="&amp;피벗값_구분!$X$5)),0)</f>
        <v>132196534</v>
      </c>
      <c r="H45" s="21">
        <f>IFERROR(IF(B45="",0,SUMIFS(표1[수금액(V+)],표1[매장코드],B45,표1[년],피벗값_구분!$X$3,표1[월],"&gt;="&amp;피벗값_구분!$X$4,표1[월],"&lt;="&amp;피벗값_구분!$X$5)),0)</f>
        <v>149004927</v>
      </c>
      <c r="I45" s="22">
        <f t="shared" si="8"/>
        <v>0.63315167296936281</v>
      </c>
      <c r="J45" s="20">
        <f>IFERROR(IF(B45="",0,SUMIFS(표1[생산원가(V-)],표1[매장코드],B45,표1[년],피벗값_구분!$X$2,표1[월],"&gt;="&amp;피벗값_구분!$X$4,표1[월],"&lt;="&amp;피벗값_구분!$X$5)),0)</f>
        <v>65102577</v>
      </c>
      <c r="K45" s="21">
        <f>IFERROR(IF(B45="",0,SUMIFS(표1[생산원가(V-)],표1[매장코드],B45,표1[년],피벗값_구분!$X$3,표1[월],"&gt;="&amp;피벗값_구분!$X$4,표1[월],"&lt;="&amp;피벗값_구분!$X$5)),0)</f>
        <v>71325581</v>
      </c>
      <c r="L45" s="23">
        <f t="shared" si="9"/>
        <v>2.9995414459173677</v>
      </c>
      <c r="M45" s="20">
        <f>IFERROR(IF(B45="",0,SUMIFS(표1[총경비],표1[매장코드],B45,표1[년],피벗값_구분!$X$2,표1[월],"&gt;="&amp;피벗값_구분!$X$4,표1[월],"&lt;="&amp;피벗값_구분!$X$5)),0)</f>
        <v>34458960</v>
      </c>
      <c r="N45" s="21">
        <f>IFERROR(IF(B45="",0,SUMIFS(표1[총경비],표1[매장코드],B45,표1[년],피벗값_구분!$X$3,표1[월],"&gt;="&amp;피벗값_구분!$X$4,표1[월],"&lt;="&amp;피벗값_구분!$X$5)),0)</f>
        <v>38810660</v>
      </c>
      <c r="O45" s="24">
        <f t="shared" si="10"/>
        <v>0.16491424010459149</v>
      </c>
      <c r="P45" s="20">
        <f>IFERROR(IF(B45="",0,SUMIFS(표1[영업이익(V-)],표1[매장코드],B45,표1[년],피벗값_구분!$X$2,표1[월],"&gt;="&amp;피벗값_구분!$X$4,표1[월],"&lt;="&amp;피벗값_구분!$X$5)),0)</f>
        <v>55076091</v>
      </c>
      <c r="Q45" s="21">
        <f>IFERROR(IF(B45="",0,SUMIFS(표1[영업이익(V-)],표1[매장코드],B45,표1[년],피벗값_구분!$X$3,표1[월],"&gt;="&amp;피벗값_구분!$X$4,표1[월],"&lt;="&amp;피벗값_구분!$X$5)),0)</f>
        <v>64133443</v>
      </c>
      <c r="R45" s="24">
        <f t="shared" si="11"/>
        <v>0.29976737884384719</v>
      </c>
      <c r="S45" s="24">
        <f t="shared" si="6"/>
        <v>1.3239183691828508E-2</v>
      </c>
      <c r="T45" s="25">
        <f t="shared" si="12"/>
        <v>9057352</v>
      </c>
    </row>
    <row r="46" spans="2:20" ht="14.25" customHeight="1">
      <c r="B46" s="18" t="str">
        <f>IFERROR(INDEX(구분!$B:$B,MATCH(41,구분!$E:$E,0)),"")</f>
        <v>00311</v>
      </c>
      <c r="C46" s="99" t="str">
        <f>IFERROR(VLOOKUP(B46,구분!$B:$C,2,0),"")</f>
        <v>신세계김해점</v>
      </c>
      <c r="D46" s="5">
        <f>IFERROR(IF(B46="",0,SUMIFS(표1[매출금액],표1[매장코드],B46,표1[년],피벗값_구분!$X$2,표1[월],"&gt;="&amp;피벗값_구분!$X$4,표1[월],"&lt;="&amp;피벗값_구분!$X$5)),0)</f>
        <v>236465790</v>
      </c>
      <c r="E46" s="5">
        <f>IFERROR(IF(B46="",0,SUMIFS(표1[매출금액],표1[매장코드],B46,표1[년],피벗값_구분!$X$3,표1[월],"&gt;="&amp;피벗값_구분!$X$4,표1[월],"&lt;="&amp;피벗값_구분!$X$5)),0)</f>
        <v>257196200</v>
      </c>
      <c r="F46" s="19">
        <f t="shared" si="7"/>
        <v>8.7667691804383205E-2</v>
      </c>
      <c r="G46" s="20">
        <f>IFERROR(IF(B46="",0,SUMIFS(표1[수금액(V+)],표1[매장코드],B46,표1[년],피벗값_구분!$X$2,표1[월],"&gt;="&amp;피벗값_구분!$X$4,표1[월],"&lt;="&amp;피벗값_구분!$X$5)),0)</f>
        <v>151041152</v>
      </c>
      <c r="H46" s="21">
        <f>IFERROR(IF(B46="",0,SUMIFS(표1[수금액(V+)],표1[매장코드],B46,표1[년],피벗값_구분!$X$3,표1[월],"&gt;="&amp;피벗값_구분!$X$4,표1[월],"&lt;="&amp;피벗값_구분!$X$5)),0)</f>
        <v>163842142</v>
      </c>
      <c r="I46" s="22">
        <f t="shared" si="8"/>
        <v>0.63703173686080894</v>
      </c>
      <c r="J46" s="20">
        <f>IFERROR(IF(B46="",0,SUMIFS(표1[생산원가(V-)],표1[매장코드],B46,표1[년],피벗값_구분!$X$2,표1[월],"&gt;="&amp;피벗값_구분!$X$4,표1[월],"&lt;="&amp;피벗값_구분!$X$5)),0)</f>
        <v>75387768</v>
      </c>
      <c r="K46" s="21">
        <f>IFERROR(IF(B46="",0,SUMIFS(표1[생산원가(V-)],표1[매장코드],B46,표1[년],피벗값_구분!$X$3,표1[월],"&gt;="&amp;피벗값_구분!$X$4,표1[월],"&lt;="&amp;피벗값_구분!$X$5)),0)</f>
        <v>76083845</v>
      </c>
      <c r="L46" s="23">
        <f t="shared" si="9"/>
        <v>3.0731192314574436</v>
      </c>
      <c r="M46" s="20">
        <f>IFERROR(IF(B46="",0,SUMIFS(표1[총경비],표1[매장코드],B46,표1[년],피벗값_구분!$X$2,표1[월],"&gt;="&amp;피벗값_구분!$X$4,표1[월],"&lt;="&amp;피벗값_구분!$X$5)),0)</f>
        <v>33048610</v>
      </c>
      <c r="N46" s="21">
        <f>IFERROR(IF(B46="",0,SUMIFS(표1[총경비],표1[매장코드],B46,표1[년],피벗값_구분!$X$3,표1[월],"&gt;="&amp;피벗값_구분!$X$4,표1[월],"&lt;="&amp;피벗값_구분!$X$5)),0)</f>
        <v>34935340</v>
      </c>
      <c r="O46" s="24">
        <f t="shared" si="10"/>
        <v>0.13583147807004925</v>
      </c>
      <c r="P46" s="20">
        <f>IFERROR(IF(B46="",0,SUMIFS(표1[영업이익(V-)],표1[매장코드],B46,표1[년],피벗값_구분!$X$2,표1[월],"&gt;="&amp;피벗값_구분!$X$4,표1[월],"&lt;="&amp;피벗값_구분!$X$5)),0)</f>
        <v>61922370</v>
      </c>
      <c r="Q46" s="21">
        <f>IFERROR(IF(B46="",0,SUMIFS(표1[영업이익(V-)],표1[매장코드],B46,표1[년],피벗값_구분!$X$3,표1[월],"&gt;="&amp;피벗값_구분!$X$4,표1[월],"&lt;="&amp;피벗값_구분!$X$5)),0)</f>
        <v>72863557</v>
      </c>
      <c r="R46" s="24">
        <f t="shared" si="11"/>
        <v>0.31162945914441975</v>
      </c>
      <c r="S46" s="24">
        <f t="shared" si="6"/>
        <v>1.504135705864126E-2</v>
      </c>
      <c r="T46" s="25">
        <f t="shared" si="12"/>
        <v>10941187</v>
      </c>
    </row>
    <row r="47" spans="2:20" ht="14.25" customHeight="1">
      <c r="B47" s="18" t="str">
        <f>IFERROR(INDEX(구분!$B:$B,MATCH(42,구분!$E:$E,0)),"")</f>
        <v>00313</v>
      </c>
      <c r="C47" s="99" t="str">
        <f>IFERROR(VLOOKUP(B47,구분!$B:$C,2,0),"")</f>
        <v>신세계스타필드하남점</v>
      </c>
      <c r="D47" s="5">
        <f>IFERROR(IF(B47="",0,SUMIFS(표1[매출금액],표1[매장코드],B47,표1[년],피벗값_구분!$X$2,표1[월],"&gt;="&amp;피벗값_구분!$X$4,표1[월],"&lt;="&amp;피벗값_구분!$X$5)),0)</f>
        <v>168613940</v>
      </c>
      <c r="E47" s="5">
        <f>IFERROR(IF(B47="",0,SUMIFS(표1[매출금액],표1[매장코드],B47,표1[년],피벗값_구분!$X$3,표1[월],"&gt;="&amp;피벗값_구분!$X$4,표1[월],"&lt;="&amp;피벗값_구분!$X$5)),0)</f>
        <v>178713880</v>
      </c>
      <c r="F47" s="19">
        <f t="shared" si="7"/>
        <v>5.989979238964465E-2</v>
      </c>
      <c r="G47" s="20">
        <f>IFERROR(IF(B47="",0,SUMIFS(표1[수금액(V+)],표1[매장코드],B47,표1[년],피벗값_구분!$X$2,표1[월],"&gt;="&amp;피벗값_구분!$X$4,표1[월],"&lt;="&amp;피벗값_구분!$X$5)),0)</f>
        <v>106421837</v>
      </c>
      <c r="H47" s="21">
        <f>IFERROR(IF(B47="",0,SUMIFS(표1[수금액(V+)],표1[매장코드],B47,표1[년],피벗값_구분!$X$3,표1[월],"&gt;="&amp;피벗값_구분!$X$4,표1[월],"&lt;="&amp;피벗값_구분!$X$5)),0)</f>
        <v>112993657</v>
      </c>
      <c r="I47" s="22">
        <f t="shared" si="8"/>
        <v>0.63226010760887741</v>
      </c>
      <c r="J47" s="20">
        <f>IFERROR(IF(B47="",0,SUMIFS(표1[생산원가(V-)],표1[매장코드],B47,표1[년],피벗값_구분!$X$2,표1[월],"&gt;="&amp;피벗값_구분!$X$4,표1[월],"&lt;="&amp;피벗값_구분!$X$5)),0)</f>
        <v>47337745</v>
      </c>
      <c r="K47" s="21">
        <f>IFERROR(IF(B47="",0,SUMIFS(표1[생산원가(V-)],표1[매장코드],B47,표1[년],피벗값_구분!$X$3,표1[월],"&gt;="&amp;피벗값_구분!$X$4,표1[월],"&lt;="&amp;피벗값_구분!$X$5)),0)</f>
        <v>49178306</v>
      </c>
      <c r="L47" s="23">
        <f t="shared" si="9"/>
        <v>3.3036348107713112</v>
      </c>
      <c r="M47" s="20">
        <f>IFERROR(IF(B47="",0,SUMIFS(표1[총경비],표1[매장코드],B47,표1[년],피벗값_구분!$X$2,표1[월],"&gt;="&amp;피벗값_구분!$X$4,표1[월],"&lt;="&amp;피벗값_구분!$X$5)),0)</f>
        <v>24358580</v>
      </c>
      <c r="N47" s="21">
        <f>IFERROR(IF(B47="",0,SUMIFS(표1[총경비],표1[매장코드],B47,표1[년],피벗값_구분!$X$3,표1[월],"&gt;="&amp;피벗값_구분!$X$4,표1[월],"&lt;="&amp;피벗값_구분!$X$5)),0)</f>
        <v>24877170</v>
      </c>
      <c r="O47" s="24">
        <f t="shared" si="10"/>
        <v>0.13920110737901276</v>
      </c>
      <c r="P47" s="20">
        <f>IFERROR(IF(B47="",0,SUMIFS(표1[영업이익(V-)],표1[매장코드],B47,표1[년],피벗값_구분!$X$2,표1[월],"&gt;="&amp;피벗값_구분!$X$4,표1[월],"&lt;="&amp;피벗값_구분!$X$5)),0)</f>
        <v>49409378</v>
      </c>
      <c r="Q47" s="21">
        <f>IFERROR(IF(B47="",0,SUMIFS(표1[영업이익(V-)],표1[매장코드],B47,표1[년],피벗값_구분!$X$3,표1[월],"&gt;="&amp;피벗값_구분!$X$4,표1[월],"&lt;="&amp;피벗값_구분!$X$5)),0)</f>
        <v>53543200</v>
      </c>
      <c r="R47" s="24">
        <f t="shared" si="11"/>
        <v>0.329563210199454</v>
      </c>
      <c r="S47" s="24">
        <f t="shared" si="6"/>
        <v>1.1053020500525944E-2</v>
      </c>
      <c r="T47" s="25">
        <f t="shared" si="12"/>
        <v>4133822</v>
      </c>
    </row>
    <row r="48" spans="2:20" ht="14.25" customHeight="1">
      <c r="B48" s="18" t="str">
        <f>IFERROR(INDEX(구분!$B:$B,MATCH(43,구분!$E:$E,0)),"")</f>
        <v>00314</v>
      </c>
      <c r="C48" s="99" t="str">
        <f>IFERROR(VLOOKUP(B48,구분!$B:$C,2,0),"")</f>
        <v>신세계대구점</v>
      </c>
      <c r="D48" s="5">
        <f>IFERROR(IF(B48="",0,SUMIFS(표1[매출금액],표1[매장코드],B48,표1[년],피벗값_구분!$X$2,표1[월],"&gt;="&amp;피벗값_구분!$X$4,표1[월],"&lt;="&amp;피벗값_구분!$X$5)),0)</f>
        <v>390285780</v>
      </c>
      <c r="E48" s="5">
        <f>IFERROR(IF(B48="",0,SUMIFS(표1[매출금액],표1[매장코드],B48,표1[년],피벗값_구분!$X$3,표1[월],"&gt;="&amp;피벗값_구분!$X$4,표1[월],"&lt;="&amp;피벗값_구분!$X$5)),0)</f>
        <v>383554610</v>
      </c>
      <c r="F48" s="19">
        <f t="shared" si="7"/>
        <v>-1.7246772352300408E-2</v>
      </c>
      <c r="G48" s="20">
        <f>IFERROR(IF(B48="",0,SUMIFS(표1[수금액(V+)],표1[매장코드],B48,표1[년],피벗값_구분!$X$2,표1[월],"&gt;="&amp;피벗값_구분!$X$4,표1[월],"&lt;="&amp;피벗값_구분!$X$5)),0)</f>
        <v>246993538</v>
      </c>
      <c r="H48" s="21">
        <f>IFERROR(IF(B48="",0,SUMIFS(표1[수금액(V+)],표1[매장코드],B48,표1[년],피벗값_구분!$X$3,표1[월],"&gt;="&amp;피벗값_구분!$X$4,표1[월],"&lt;="&amp;피벗값_구분!$X$5)),0)</f>
        <v>243294141</v>
      </c>
      <c r="I48" s="22">
        <f t="shared" si="8"/>
        <v>0.6343142140828395</v>
      </c>
      <c r="J48" s="20">
        <f>IFERROR(IF(B48="",0,SUMIFS(표1[생산원가(V-)],표1[매장코드],B48,표1[년],피벗값_구분!$X$2,표1[월],"&gt;="&amp;피벗값_구분!$X$4,표1[월],"&lt;="&amp;피벗값_구분!$X$5)),0)</f>
        <v>116071640</v>
      </c>
      <c r="K48" s="21">
        <f>IFERROR(IF(B48="",0,SUMIFS(표1[생산원가(V-)],표1[매장코드],B48,표1[년],피벗값_구분!$X$3,표1[월],"&gt;="&amp;피벗값_구분!$X$4,표1[월],"&lt;="&amp;피벗값_구분!$X$5)),0)</f>
        <v>105600896</v>
      </c>
      <c r="L48" s="23">
        <f t="shared" si="9"/>
        <v>3.3019228273490127</v>
      </c>
      <c r="M48" s="20">
        <f>IFERROR(IF(B48="",0,SUMIFS(표1[총경비],표1[매장코드],B48,표1[년],피벗값_구분!$X$2,표1[월],"&gt;="&amp;피벗값_구분!$X$4,표1[월],"&lt;="&amp;피벗값_구분!$X$5)),0)</f>
        <v>38648580</v>
      </c>
      <c r="N48" s="21">
        <f>IFERROR(IF(B48="",0,SUMIFS(표1[총경비],표1[매장코드],B48,표1[년],피벗값_구분!$X$3,표1[월],"&gt;="&amp;피벗값_구분!$X$4,표1[월],"&lt;="&amp;피벗값_구분!$X$5)),0)</f>
        <v>53420450</v>
      </c>
      <c r="O48" s="24">
        <f t="shared" si="10"/>
        <v>0.13927729873980657</v>
      </c>
      <c r="P48" s="20">
        <f>IFERROR(IF(B48="",0,SUMIFS(표1[영업이익(V-)],표1[매장코드],B48,표1[년],피벗값_구분!$X$2,표1[월],"&gt;="&amp;피벗값_구분!$X$4,표1[월],"&lt;="&amp;피벗값_구분!$X$5)),0)</f>
        <v>108467940</v>
      </c>
      <c r="Q48" s="21">
        <f>IFERROR(IF(B48="",0,SUMIFS(표1[영업이익(V-)],표1[매장코드],B48,표1[년],피벗값_구분!$X$3,표1[월],"&gt;="&amp;피벗값_구분!$X$4,표1[월],"&lt;="&amp;피벗값_구분!$X$5)),0)</f>
        <v>115575595</v>
      </c>
      <c r="R48" s="24">
        <f t="shared" si="11"/>
        <v>0.3314603740520809</v>
      </c>
      <c r="S48" s="24">
        <f t="shared" si="6"/>
        <v>2.3858481018980634E-2</v>
      </c>
      <c r="T48" s="25">
        <f t="shared" si="12"/>
        <v>7107655</v>
      </c>
    </row>
    <row r="49" spans="2:20" ht="14.25" customHeight="1">
      <c r="B49" s="18" t="str">
        <f>IFERROR(INDEX(구분!$B:$B,MATCH(44,구분!$E:$E,0)),"")</f>
        <v>00315</v>
      </c>
      <c r="C49" s="99" t="str">
        <f>IFERROR(VLOOKUP(B49,구분!$B:$C,2,0),"")</f>
        <v>신세계대전점</v>
      </c>
      <c r="D49" s="5">
        <f>IFERROR(IF(B49="",0,SUMIFS(표1[매출금액],표1[매장코드],B49,표1[년],피벗값_구분!$X$2,표1[월],"&gt;="&amp;피벗값_구분!$X$4,표1[월],"&lt;="&amp;피벗값_구분!$X$5)),0)</f>
        <v>221730450</v>
      </c>
      <c r="E49" s="5">
        <f>IFERROR(IF(B49="",0,SUMIFS(표1[매출금액],표1[매장코드],B49,표1[년],피벗값_구분!$X$3,표1[월],"&gt;="&amp;피벗값_구분!$X$4,표1[월],"&lt;="&amp;피벗값_구분!$X$5)),0)</f>
        <v>246018830</v>
      </c>
      <c r="F49" s="19">
        <f t="shared" si="7"/>
        <v>0.10954011954605243</v>
      </c>
      <c r="G49" s="20">
        <f>IFERROR(IF(B49="",0,SUMIFS(표1[수금액(V+)],표1[매장코드],B49,표1[년],피벗값_구분!$X$2,표1[월],"&gt;="&amp;피벗값_구분!$X$4,표1[월],"&lt;="&amp;피벗값_구분!$X$5)),0)</f>
        <v>142349044</v>
      </c>
      <c r="H49" s="21">
        <f>IFERROR(IF(B49="",0,SUMIFS(표1[수금액(V+)],표1[매장코드],B49,표1[년],피벗값_구분!$X$3,표1[월],"&gt;="&amp;피벗값_구분!$X$4,표1[월],"&lt;="&amp;피벗값_구분!$X$5)),0)</f>
        <v>157477955</v>
      </c>
      <c r="I49" s="22">
        <f t="shared" si="8"/>
        <v>0.6401052919404584</v>
      </c>
      <c r="J49" s="20">
        <f>IFERROR(IF(B49="",0,SUMIFS(표1[생산원가(V-)],표1[매장코드],B49,표1[년],피벗값_구분!$X$2,표1[월],"&gt;="&amp;피벗값_구분!$X$4,표1[월],"&lt;="&amp;피벗값_구분!$X$5)),0)</f>
        <v>66200730</v>
      </c>
      <c r="K49" s="21">
        <f>IFERROR(IF(B49="",0,SUMIFS(표1[생산원가(V-)],표1[매장코드],B49,표1[년],피벗값_구분!$X$3,표1[월],"&gt;="&amp;피벗값_구분!$X$4,표1[월],"&lt;="&amp;피벗값_구분!$X$5)),0)</f>
        <v>65652934</v>
      </c>
      <c r="L49" s="23">
        <f t="shared" si="9"/>
        <v>3.4066029984003734</v>
      </c>
      <c r="M49" s="20">
        <f>IFERROR(IF(B49="",0,SUMIFS(표1[총경비],표1[매장코드],B49,표1[년],피벗값_구분!$X$2,표1[월],"&gt;="&amp;피벗값_구분!$X$4,표1[월],"&lt;="&amp;피벗값_구분!$X$5)),0)</f>
        <v>31290080</v>
      </c>
      <c r="N49" s="21">
        <f>IFERROR(IF(B49="",0,SUMIFS(표1[총경비],표1[매장코드],B49,표1[년],피벗값_구분!$X$3,표1[월],"&gt;="&amp;피벗값_구분!$X$4,표1[월],"&lt;="&amp;피벗값_구분!$X$5)),0)</f>
        <v>29178010</v>
      </c>
      <c r="O49" s="24">
        <f t="shared" si="10"/>
        <v>0.11860071848971886</v>
      </c>
      <c r="P49" s="20">
        <f>IFERROR(IF(B49="",0,SUMIFS(표1[영업이익(V-)],표1[매장코드],B49,표1[년],피벗값_구분!$X$2,표1[월],"&gt;="&amp;피벗값_구분!$X$4,표1[월],"&lt;="&amp;피벗값_구분!$X$5)),0)</f>
        <v>63207492</v>
      </c>
      <c r="Q49" s="21">
        <f>IFERROR(IF(B49="",0,SUMIFS(표1[영업이익(V-)],표1[매장코드],B49,표1[년],피벗값_구분!$X$3,표1[월],"&gt;="&amp;피벗값_구분!$X$4,표1[월],"&lt;="&amp;피벗값_구분!$X$5)),0)</f>
        <v>77508844</v>
      </c>
      <c r="R49" s="24">
        <f t="shared" si="11"/>
        <v>0.34655773462543499</v>
      </c>
      <c r="S49" s="24">
        <f t="shared" si="6"/>
        <v>1.6000292132410228E-2</v>
      </c>
      <c r="T49" s="25">
        <f t="shared" si="12"/>
        <v>14301352</v>
      </c>
    </row>
    <row r="50" spans="2:20" ht="14.25" customHeight="1">
      <c r="B50" s="18" t="str">
        <f>IFERROR(INDEX(구분!$B:$B,MATCH(45,구분!$E:$E,0)),"")</f>
        <v>00503</v>
      </c>
      <c r="C50" s="99" t="str">
        <f>IFERROR(VLOOKUP(B50,구분!$B:$C,2,0),"")</f>
        <v>갤러리아천안점</v>
      </c>
      <c r="D50" s="5">
        <f>IFERROR(IF(B50="",0,SUMIFS(표1[매출금액],표1[매장코드],B50,표1[년],피벗값_구분!$X$2,표1[월],"&gt;="&amp;피벗값_구분!$X$4,표1[월],"&lt;="&amp;피벗값_구분!$X$5)),0)</f>
        <v>210242580</v>
      </c>
      <c r="E50" s="5">
        <f>IFERROR(IF(B50="",0,SUMIFS(표1[매출금액],표1[매장코드],B50,표1[년],피벗값_구분!$X$3,표1[월],"&gt;="&amp;피벗값_구분!$X$4,표1[월],"&lt;="&amp;피벗값_구분!$X$5)),0)</f>
        <v>211806640</v>
      </c>
      <c r="F50" s="19">
        <f t="shared" si="7"/>
        <v>7.4393112946007419E-3</v>
      </c>
      <c r="G50" s="20">
        <f>IFERROR(IF(B50="",0,SUMIFS(표1[수금액(V+)],표1[매장코드],B50,표1[년],피벗값_구분!$X$2,표1[월],"&gt;="&amp;피벗값_구분!$X$4,표1[월],"&lt;="&amp;피벗값_구분!$X$5)),0)</f>
        <v>135027238</v>
      </c>
      <c r="H50" s="21">
        <f>IFERROR(IF(B50="",0,SUMIFS(표1[수금액(V+)],표1[매장코드],B50,표1[년],피벗값_구분!$X$3,표1[월],"&gt;="&amp;피벗값_구분!$X$4,표1[월],"&lt;="&amp;피벗값_구분!$X$5)),0)</f>
        <v>134447591</v>
      </c>
      <c r="I50" s="22">
        <f t="shared" si="8"/>
        <v>0.6347657042291025</v>
      </c>
      <c r="J50" s="20">
        <f>IFERROR(IF(B50="",0,SUMIFS(표1[생산원가(V-)],표1[매장코드],B50,표1[년],피벗값_구분!$X$2,표1[월],"&gt;="&amp;피벗값_구분!$X$4,표1[월],"&lt;="&amp;피벗값_구분!$X$5)),0)</f>
        <v>65887080</v>
      </c>
      <c r="K50" s="21">
        <f>IFERROR(IF(B50="",0,SUMIFS(표1[생산원가(V-)],표1[매장코드],B50,표1[년],피벗값_구분!$X$3,표1[월],"&gt;="&amp;피벗값_구분!$X$4,표1[월],"&lt;="&amp;피벗값_구분!$X$5)),0)</f>
        <v>62364408</v>
      </c>
      <c r="L50" s="23">
        <f t="shared" si="9"/>
        <v>3.0875221473936048</v>
      </c>
      <c r="M50" s="20">
        <f>IFERROR(IF(B50="",0,SUMIFS(표1[총경비],표1[매장코드],B50,표1[년],피벗값_구분!$X$2,표1[월],"&gt;="&amp;피벗값_구분!$X$4,표1[월],"&lt;="&amp;피벗값_구분!$X$5)),0)</f>
        <v>31885310</v>
      </c>
      <c r="N50" s="21">
        <f>IFERROR(IF(B50="",0,SUMIFS(표1[총경비],표1[매장코드],B50,표1[년],피벗값_구분!$X$3,표1[월],"&gt;="&amp;피벗값_구분!$X$4,표1[월],"&lt;="&amp;피벗값_구분!$X$5)),0)</f>
        <v>35010190</v>
      </c>
      <c r="O50" s="24">
        <f t="shared" si="10"/>
        <v>0.16529316550227133</v>
      </c>
      <c r="P50" s="20">
        <f>IFERROR(IF(B50="",0,SUMIFS(표1[영업이익(V-)],표1[매장코드],B50,표1[년],피벗값_구분!$X$2,표1[월],"&gt;="&amp;피벗값_구분!$X$4,표1[월],"&lt;="&amp;피벗값_구분!$X$5)),0)</f>
        <v>56864954</v>
      </c>
      <c r="Q50" s="21">
        <f>IFERROR(IF(B50="",0,SUMIFS(표1[영업이익(V-)],표1[매장코드],B50,표1[년],피벗값_구분!$X$3,표1[월],"&gt;="&amp;피벗값_구분!$X$4,표1[월],"&lt;="&amp;피벗값_구분!$X$5)),0)</f>
        <v>59860675</v>
      </c>
      <c r="R50" s="24">
        <f t="shared" si="11"/>
        <v>0.31088138927089348</v>
      </c>
      <c r="S50" s="24">
        <f t="shared" si="6"/>
        <v>1.2357148395133665E-2</v>
      </c>
      <c r="T50" s="25">
        <f t="shared" si="12"/>
        <v>2995721</v>
      </c>
    </row>
    <row r="51" spans="2:20" ht="14.25" customHeight="1">
      <c r="B51" s="18" t="str">
        <f>IFERROR(INDEX(구분!$B:$B,MATCH(46,구분!$E:$E,0)),"")</f>
        <v>00504</v>
      </c>
      <c r="C51" s="99" t="str">
        <f>IFERROR(VLOOKUP(B51,구분!$B:$C,2,0),"")</f>
        <v>갤러리아광교점</v>
      </c>
      <c r="D51" s="5">
        <f>IFERROR(IF(B51="",0,SUMIFS(표1[매출금액],표1[매장코드],B51,표1[년],피벗값_구분!$X$2,표1[월],"&gt;="&amp;피벗값_구분!$X$4,표1[월],"&lt;="&amp;피벗값_구분!$X$5)),0)</f>
        <v>414430770</v>
      </c>
      <c r="E51" s="5">
        <f>IFERROR(IF(B51="",0,SUMIFS(표1[매출금액],표1[매장코드],B51,표1[년],피벗값_구분!$X$3,표1[월],"&gt;="&amp;피벗값_구분!$X$4,표1[월],"&lt;="&amp;피벗값_구분!$X$5)),0)</f>
        <v>435458830</v>
      </c>
      <c r="F51" s="19">
        <f t="shared" si="7"/>
        <v>5.0739620516111777E-2</v>
      </c>
      <c r="G51" s="20">
        <f>IFERROR(IF(B51="",0,SUMIFS(표1[수금액(V+)],표1[매장코드],B51,표1[년],피벗값_구분!$X$2,표1[월],"&gt;="&amp;피벗값_구분!$X$4,표1[월],"&lt;="&amp;피벗값_구분!$X$5)),0)</f>
        <v>261327096</v>
      </c>
      <c r="H51" s="21">
        <f>IFERROR(IF(B51="",0,SUMIFS(표1[수금액(V+)],표1[매장코드],B51,표1[년],피벗값_구분!$X$3,표1[월],"&gt;="&amp;피벗값_구분!$X$4,표1[월],"&lt;="&amp;피벗값_구분!$X$5)),0)</f>
        <v>273277404</v>
      </c>
      <c r="I51" s="22">
        <f t="shared" si="8"/>
        <v>0.62756197641003164</v>
      </c>
      <c r="J51" s="20">
        <f>IFERROR(IF(B51="",0,SUMIFS(표1[생산원가(V-)],표1[매장코드],B51,표1[년],피벗값_구분!$X$2,표1[월],"&gt;="&amp;피벗값_구분!$X$4,표1[월],"&lt;="&amp;피벗값_구분!$X$5)),0)</f>
        <v>129368702</v>
      </c>
      <c r="K51" s="21">
        <f>IFERROR(IF(B51="",0,SUMIFS(표1[생산원가(V-)],표1[매장코드],B51,표1[년],피벗값_구분!$X$3,표1[월],"&gt;="&amp;피벗값_구분!$X$4,표1[월],"&lt;="&amp;피벗값_구분!$X$5)),0)</f>
        <v>129229820</v>
      </c>
      <c r="L51" s="23">
        <f t="shared" si="9"/>
        <v>3.0633151360604205</v>
      </c>
      <c r="M51" s="20">
        <f>IFERROR(IF(B51="",0,SUMIFS(표1[총경비],표1[매장코드],B51,표1[년],피벗값_구분!$X$2,표1[월],"&gt;="&amp;피벗값_구분!$X$4,표1[월],"&lt;="&amp;피벗값_구분!$X$5)),0)</f>
        <v>47925474</v>
      </c>
      <c r="N51" s="21">
        <f>IFERROR(IF(B51="",0,SUMIFS(표1[총경비],표1[매장코드],B51,표1[년],피벗값_구분!$X$3,표1[월],"&gt;="&amp;피벗값_구분!$X$4,표1[월],"&lt;="&amp;피벗값_구분!$X$5)),0)</f>
        <v>52175650</v>
      </c>
      <c r="O51" s="24">
        <f t="shared" si="10"/>
        <v>0.11981764154374823</v>
      </c>
      <c r="P51" s="20">
        <f>IFERROR(IF(B51="",0,SUMIFS(표1[영업이익(V-)],표1[매장코드],B51,표1[년],피벗값_구분!$X$2,표1[월],"&gt;="&amp;피벗값_구분!$X$4,표1[월],"&lt;="&amp;피벗값_구분!$X$5)),0)</f>
        <v>108201386</v>
      </c>
      <c r="Q51" s="21">
        <f>IFERROR(IF(B51="",0,SUMIFS(표1[영업이익(V-)],표1[매장코드],B51,표1[년],피벗값_구분!$X$3,표1[월],"&gt;="&amp;피벗값_구분!$X$4,표1[월],"&lt;="&amp;피벗값_구분!$X$5)),0)</f>
        <v>119204183</v>
      </c>
      <c r="R51" s="24">
        <f t="shared" si="11"/>
        <v>0.30111825106405582</v>
      </c>
      <c r="S51" s="24">
        <f t="shared" si="6"/>
        <v>2.4607537062548489E-2</v>
      </c>
      <c r="T51" s="25">
        <f t="shared" si="12"/>
        <v>11002797</v>
      </c>
    </row>
    <row r="52" spans="2:20" ht="14.25" customHeight="1">
      <c r="B52" s="18" t="str">
        <f>IFERROR(INDEX(구분!$B:$B,MATCH(47,구분!$E:$E,0)),"")</f>
        <v>00505</v>
      </c>
      <c r="C52" s="99" t="str">
        <f>IFERROR(VLOOKUP(B52,구분!$B:$C,2,0),"")</f>
        <v>갤러리아진주점</v>
      </c>
      <c r="D52" s="5">
        <f>IFERROR(IF(B52="",0,SUMIFS(표1[매출금액],표1[매장코드],B52,표1[년],피벗값_구분!$X$2,표1[월],"&gt;="&amp;피벗값_구분!$X$4,표1[월],"&lt;="&amp;피벗값_구분!$X$5)),0)</f>
        <v>183800161</v>
      </c>
      <c r="E52" s="5">
        <f>IFERROR(IF(B52="",0,SUMIFS(표1[매출금액],표1[매장코드],B52,표1[년],피벗값_구분!$X$3,표1[월],"&gt;="&amp;피벗값_구분!$X$4,표1[월],"&lt;="&amp;피벗값_구분!$X$5)),0)</f>
        <v>121701840</v>
      </c>
      <c r="F52" s="19">
        <f t="shared" si="7"/>
        <v>-0.33785781613107507</v>
      </c>
      <c r="G52" s="20">
        <f>IFERROR(IF(B52="",0,SUMIFS(표1[수금액(V+)],표1[매장코드],B52,표1[년],피벗값_구분!$X$2,표1[월],"&gt;="&amp;피벗값_구분!$X$4,표1[월],"&lt;="&amp;피벗값_구분!$X$5)),0)</f>
        <v>117332296</v>
      </c>
      <c r="H52" s="21">
        <f>IFERROR(IF(B52="",0,SUMIFS(표1[수금액(V+)],표1[매장코드],B52,표1[년],피벗값_구분!$X$3,표1[월],"&gt;="&amp;피벗값_구분!$X$4,표1[월],"&lt;="&amp;피벗값_구분!$X$5)),0)</f>
        <v>77701161</v>
      </c>
      <c r="I52" s="22">
        <f t="shared" si="8"/>
        <v>0.63845510470507261</v>
      </c>
      <c r="J52" s="20">
        <f>IFERROR(IF(B52="",0,SUMIFS(표1[생산원가(V-)],표1[매장코드],B52,표1[년],피벗값_구분!$X$2,표1[월],"&gt;="&amp;피벗값_구분!$X$4,표1[월],"&lt;="&amp;피벗값_구분!$X$5)),0)</f>
        <v>53314787</v>
      </c>
      <c r="K52" s="21">
        <f>IFERROR(IF(B52="",0,SUMIFS(표1[생산원가(V-)],표1[매장코드],B52,표1[년],피벗값_구분!$X$3,표1[월],"&gt;="&amp;피벗값_구분!$X$4,표1[월],"&lt;="&amp;피벗값_구분!$X$5)),0)</f>
        <v>34440546</v>
      </c>
      <c r="L52" s="23">
        <f t="shared" si="9"/>
        <v>3.2124356089951758</v>
      </c>
      <c r="M52" s="20">
        <f>IFERROR(IF(B52="",0,SUMIFS(표1[총경비],표1[매장코드],B52,표1[년],피벗값_구분!$X$2,표1[월],"&gt;="&amp;피벗값_구분!$X$4,표1[월],"&lt;="&amp;피벗값_구분!$X$5)),0)</f>
        <v>26769741</v>
      </c>
      <c r="N52" s="21">
        <f>IFERROR(IF(B52="",0,SUMIFS(표1[총경비],표1[매장코드],B52,표1[년],피벗값_구분!$X$3,표1[월],"&gt;="&amp;피벗값_구분!$X$4,표1[월],"&lt;="&amp;피벗값_구분!$X$5)),0)</f>
        <v>24746020</v>
      </c>
      <c r="O52" s="24">
        <f t="shared" si="10"/>
        <v>0.20333316242383845</v>
      </c>
      <c r="P52" s="20">
        <f>IFERROR(IF(B52="",0,SUMIFS(표1[영업이익(V-)],표1[매장코드],B52,표1[년],피벗값_구분!$X$2,표1[월],"&gt;="&amp;피벗값_구분!$X$4,표1[월],"&lt;="&amp;피벗값_구분!$X$5)),0)</f>
        <v>53350937</v>
      </c>
      <c r="Q52" s="21">
        <f>IFERROR(IF(B52="",0,SUMIFS(표1[영업이익(V-)],표1[매장코드],B52,표1[년],피벗값_구분!$X$3,표1[월],"&gt;="&amp;피벗값_구분!$X$4,표1[월],"&lt;="&amp;피벗값_구분!$X$5)),0)</f>
        <v>36196874</v>
      </c>
      <c r="R52" s="24">
        <f t="shared" si="11"/>
        <v>0.32716482676021991</v>
      </c>
      <c r="S52" s="24">
        <f t="shared" si="6"/>
        <v>7.4721867646490043E-3</v>
      </c>
      <c r="T52" s="25">
        <f t="shared" si="12"/>
        <v>-17154063</v>
      </c>
    </row>
    <row r="53" spans="2:20" ht="14.25" customHeight="1">
      <c r="B53" s="18" t="str">
        <f>IFERROR(INDEX(구분!$B:$B,MATCH(48,구분!$E:$E,0)),"")</f>
        <v>00506</v>
      </c>
      <c r="C53" s="99" t="str">
        <f>IFERROR(VLOOKUP(B53,구분!$B:$C,2,0),"")</f>
        <v>갤러리아타임월드점</v>
      </c>
      <c r="D53" s="5">
        <f>IFERROR(IF(B53="",0,SUMIFS(표1[매출금액],표1[매장코드],B53,표1[년],피벗값_구분!$X$2,표1[월],"&gt;="&amp;피벗값_구분!$X$4,표1[월],"&lt;="&amp;피벗값_구분!$X$5)),0)</f>
        <v>149139810</v>
      </c>
      <c r="E53" s="5">
        <f>IFERROR(IF(B53="",0,SUMIFS(표1[매출금액],표1[매장코드],B53,표1[년],피벗값_구분!$X$3,표1[월],"&gt;="&amp;피벗값_구분!$X$4,표1[월],"&lt;="&amp;피벗값_구분!$X$5)),0)</f>
        <v>168582860</v>
      </c>
      <c r="F53" s="19">
        <f t="shared" si="7"/>
        <v>0.13036794132968252</v>
      </c>
      <c r="G53" s="20">
        <f>IFERROR(IF(B53="",0,SUMIFS(표1[수금액(V+)],표1[매장코드],B53,표1[년],피벗값_구분!$X$2,표1[월],"&gt;="&amp;피벗값_구분!$X$4,표1[월],"&lt;="&amp;피벗값_구분!$X$5)),0)</f>
        <v>94521979</v>
      </c>
      <c r="H53" s="21">
        <f>IFERROR(IF(B53="",0,SUMIFS(표1[수금액(V+)],표1[매장코드],B53,표1[년],피벗값_구분!$X$3,표1[월],"&gt;="&amp;피벗값_구분!$X$4,표1[월],"&lt;="&amp;피벗값_구분!$X$5)),0)</f>
        <v>108078598</v>
      </c>
      <c r="I53" s="22">
        <f t="shared" si="8"/>
        <v>0.64110075009998047</v>
      </c>
      <c r="J53" s="20">
        <f>IFERROR(IF(B53="",0,SUMIFS(표1[생산원가(V-)],표1[매장코드],B53,표1[년],피벗값_구분!$X$2,표1[월],"&gt;="&amp;피벗값_구분!$X$4,표1[월],"&lt;="&amp;피벗값_구분!$X$5)),0)</f>
        <v>44520796</v>
      </c>
      <c r="K53" s="21">
        <f>IFERROR(IF(B53="",0,SUMIFS(표1[생산원가(V-)],표1[매장코드],B53,표1[년],피벗값_구분!$X$3,표1[월],"&gt;="&amp;피벗값_구분!$X$4,표1[월],"&lt;="&amp;피벗값_구분!$X$5)),0)</f>
        <v>49152976</v>
      </c>
      <c r="L53" s="23">
        <f t="shared" si="9"/>
        <v>3.1179626937450426</v>
      </c>
      <c r="M53" s="20">
        <f>IFERROR(IF(B53="",0,SUMIFS(표1[총경비],표1[매장코드],B53,표1[년],피벗값_구분!$X$2,표1[월],"&gt;="&amp;피벗값_구분!$X$4,표1[월],"&lt;="&amp;피벗값_구분!$X$5)),0)</f>
        <v>27859405</v>
      </c>
      <c r="N53" s="21">
        <f>IFERROR(IF(B53="",0,SUMIFS(표1[총경비],표1[매장코드],B53,표1[년],피벗값_구분!$X$3,표1[월],"&gt;="&amp;피벗값_구분!$X$4,표1[월],"&lt;="&amp;피벗값_구분!$X$5)),0)</f>
        <v>29587505</v>
      </c>
      <c r="O53" s="24">
        <f t="shared" si="10"/>
        <v>0.17550719569000076</v>
      </c>
      <c r="P53" s="20">
        <f>IFERROR(IF(B53="",0,SUMIFS(표1[영업이익(V-)],표1[매장코드],B53,표1[년],피벗값_구분!$X$2,표1[월],"&gt;="&amp;피벗값_구분!$X$4,표1[월],"&lt;="&amp;피벗값_구분!$X$5)),0)</f>
        <v>41408275</v>
      </c>
      <c r="Q53" s="21">
        <f>IFERROR(IF(B53="",0,SUMIFS(표1[영업이익(V-)],표1[매장코드],B53,표1[년],피벗값_구분!$X$3,표1[월],"&gt;="&amp;피벗값_구분!$X$4,표1[월],"&lt;="&amp;피벗값_구분!$X$5)),0)</f>
        <v>49100295</v>
      </c>
      <c r="R53" s="24">
        <f t="shared" si="11"/>
        <v>0.32037850407805402</v>
      </c>
      <c r="S53" s="24">
        <f t="shared" si="6"/>
        <v>1.0135863512395068E-2</v>
      </c>
      <c r="T53" s="25">
        <f t="shared" si="12"/>
        <v>7692020</v>
      </c>
    </row>
    <row r="54" spans="2:20" ht="14.25" customHeight="1">
      <c r="B54" s="18" t="str">
        <f>IFERROR(INDEX(구분!$B:$B,MATCH(49,구분!$E:$E,0)),"")</f>
        <v>00601</v>
      </c>
      <c r="C54" s="99" t="str">
        <f>IFERROR(VLOOKUP(B54,구분!$B:$C,2,0),"")</f>
        <v>AK프라자분당점</v>
      </c>
      <c r="D54" s="5">
        <f>IFERROR(IF(B54="",0,SUMIFS(표1[매출금액],표1[매장코드],B54,표1[년],피벗값_구분!$X$2,표1[월],"&gt;="&amp;피벗값_구분!$X$4,표1[월],"&lt;="&amp;피벗값_구분!$X$5)),0)</f>
        <v>145477440</v>
      </c>
      <c r="E54" s="5">
        <f>IFERROR(IF(B54="",0,SUMIFS(표1[매출금액],표1[매장코드],B54,표1[년],피벗값_구분!$X$3,표1[월],"&gt;="&amp;피벗값_구분!$X$4,표1[월],"&lt;="&amp;피벗값_구분!$X$5)),0)</f>
        <v>170414560</v>
      </c>
      <c r="F54" s="19">
        <f t="shared" si="7"/>
        <v>0.17141571916580331</v>
      </c>
      <c r="G54" s="20">
        <f>IFERROR(IF(B54="",0,SUMIFS(표1[수금액(V+)],표1[매장코드],B54,표1[년],피벗값_구분!$X$2,표1[월],"&gt;="&amp;피벗값_구분!$X$4,표1[월],"&lt;="&amp;피벗값_구분!$X$5)),0)</f>
        <v>90585226</v>
      </c>
      <c r="H54" s="21">
        <f>IFERROR(IF(B54="",0,SUMIFS(표1[수금액(V+)],표1[매장코드],B54,표1[년],피벗값_구분!$X$3,표1[월],"&gt;="&amp;피벗값_구분!$X$4,표1[월],"&lt;="&amp;피벗값_구분!$X$5)),0)</f>
        <v>106440469</v>
      </c>
      <c r="I54" s="22">
        <f t="shared" si="8"/>
        <v>0.62459727032713641</v>
      </c>
      <c r="J54" s="20">
        <f>IFERROR(IF(B54="",0,SUMIFS(표1[생산원가(V-)],표1[매장코드],B54,표1[년],피벗값_구분!$X$2,표1[월],"&gt;="&amp;피벗값_구분!$X$4,표1[월],"&lt;="&amp;피벗값_구분!$X$5)),0)</f>
        <v>42936053</v>
      </c>
      <c r="K54" s="21">
        <f>IFERROR(IF(B54="",0,SUMIFS(표1[생산원가(V-)],표1[매장코드],B54,표1[년],피벗값_구분!$X$3,표1[월],"&gt;="&amp;피벗값_구분!$X$4,표1[월],"&lt;="&amp;피벗값_구분!$X$5)),0)</f>
        <v>46144507</v>
      </c>
      <c r="L54" s="23">
        <f t="shared" si="9"/>
        <v>3.357329774326709</v>
      </c>
      <c r="M54" s="20">
        <f>IFERROR(IF(B54="",0,SUMIFS(표1[총경비],표1[매장코드],B54,표1[년],피벗값_구분!$X$2,표1[월],"&gt;="&amp;피벗값_구분!$X$4,표1[월],"&lt;="&amp;피벗값_구분!$X$5)),0)</f>
        <v>33783960</v>
      </c>
      <c r="N54" s="21">
        <f>IFERROR(IF(B54="",0,SUMIFS(표1[총경비],표1[매장코드],B54,표1[년],피벗값_구분!$X$3,표1[월],"&gt;="&amp;피벗값_구분!$X$4,표1[월],"&lt;="&amp;피벗값_구분!$X$5)),0)</f>
        <v>29238560</v>
      </c>
      <c r="O54" s="24">
        <f t="shared" si="10"/>
        <v>0.17157313318768067</v>
      </c>
      <c r="P54" s="20">
        <f>IFERROR(IF(B54="",0,SUMIFS(표1[영업이익(V-)],표1[매장코드],B54,표1[년],피벗값_구분!$X$2,표1[월],"&gt;="&amp;피벗값_구분!$X$4,표1[월],"&lt;="&amp;피벗값_구분!$X$5)),0)</f>
        <v>39414151</v>
      </c>
      <c r="Q54" s="21">
        <f>IFERROR(IF(B54="",0,SUMIFS(표1[영업이익(V-)],표1[매장코드],B54,표1[년],피벗값_구분!$X$3,표1[월],"&gt;="&amp;피벗값_구분!$X$4,표1[월],"&lt;="&amp;피벗값_구분!$X$5)),0)</f>
        <v>50619556</v>
      </c>
      <c r="R54" s="24">
        <f t="shared" si="11"/>
        <v>0.32674151551369796</v>
      </c>
      <c r="S54" s="24">
        <f t="shared" si="6"/>
        <v>1.0449487333508664E-2</v>
      </c>
      <c r="T54" s="25">
        <f t="shared" si="12"/>
        <v>11205405</v>
      </c>
    </row>
    <row r="55" spans="2:20" ht="15" customHeight="1">
      <c r="B55" s="18" t="str">
        <f>IFERROR(INDEX(구분!$B:$B,MATCH(50,구분!$E:$E,0)),"")</f>
        <v>00603</v>
      </c>
      <c r="C55" s="99" t="str">
        <f>IFERROR(VLOOKUP(B55,구분!$B:$C,2,0),"")</f>
        <v>AK프라자수원점</v>
      </c>
      <c r="D55" s="5">
        <f>IFERROR(IF(B55="",0,SUMIFS(표1[매출금액],표1[매장코드],B55,표1[년],피벗값_구분!$X$2,표1[월],"&gt;="&amp;피벗값_구분!$X$4,표1[월],"&lt;="&amp;피벗값_구분!$X$5)),0)</f>
        <v>0</v>
      </c>
      <c r="E55" s="5">
        <f>IFERROR(IF(B55="",0,SUMIFS(표1[매출금액],표1[매장코드],B55,표1[년],피벗값_구분!$X$3,표1[월],"&gt;="&amp;피벗값_구분!$X$4,표1[월],"&lt;="&amp;피벗값_구분!$X$5)),0)</f>
        <v>202205010</v>
      </c>
      <c r="F55" s="19" t="str">
        <f t="shared" si="7"/>
        <v/>
      </c>
      <c r="G55" s="20">
        <f>IFERROR(IF(B55="",0,SUMIFS(표1[수금액(V+)],표1[매장코드],B55,표1[년],피벗값_구분!$X$2,표1[월],"&gt;="&amp;피벗값_구분!$X$4,표1[월],"&lt;="&amp;피벗값_구분!$X$5)),0)</f>
        <v>0</v>
      </c>
      <c r="H55" s="21">
        <f>IFERROR(IF(B55="",0,SUMIFS(표1[수금액(V+)],표1[매장코드],B55,표1[년],피벗값_구분!$X$3,표1[월],"&gt;="&amp;피벗값_구분!$X$4,표1[월],"&lt;="&amp;피벗값_구분!$X$5)),0)</f>
        <v>129314788</v>
      </c>
      <c r="I55" s="22">
        <f t="shared" si="8"/>
        <v>0.63952316512830221</v>
      </c>
      <c r="J55" s="20">
        <f>IFERROR(IF(B55="",0,SUMIFS(표1[생산원가(V-)],표1[매장코드],B55,표1[년],피벗값_구분!$X$2,표1[월],"&gt;="&amp;피벗값_구분!$X$4,표1[월],"&lt;="&amp;피벗값_구분!$X$5)),0)</f>
        <v>0</v>
      </c>
      <c r="K55" s="21">
        <f>IFERROR(IF(B55="",0,SUMIFS(표1[생산원가(V-)],표1[매장코드],B55,표1[년],피벗값_구분!$X$3,표1[월],"&gt;="&amp;피벗값_구분!$X$4,표1[월],"&lt;="&amp;피벗값_구분!$X$5)),0)</f>
        <v>60325682</v>
      </c>
      <c r="L55" s="23">
        <f t="shared" si="9"/>
        <v>3.0471721208827169</v>
      </c>
      <c r="M55" s="20">
        <f>IFERROR(IF(B55="",0,SUMIFS(표1[총경비],표1[매장코드],B55,표1[년],피벗값_구분!$X$2,표1[월],"&gt;="&amp;피벗값_구분!$X$4,표1[월],"&lt;="&amp;피벗값_구분!$X$5)),0)</f>
        <v>0</v>
      </c>
      <c r="N55" s="21">
        <f>IFERROR(IF(B55="",0,SUMIFS(표1[총경비],표1[매장코드],B55,표1[년],피벗값_구분!$X$3,표1[월],"&gt;="&amp;피벗값_구분!$X$4,표1[월],"&lt;="&amp;피벗값_구분!$X$5)),0)</f>
        <v>38406800</v>
      </c>
      <c r="O55" s="24">
        <f t="shared" si="10"/>
        <v>0.18993990307164002</v>
      </c>
      <c r="P55" s="20">
        <f>IFERROR(IF(B55="",0,SUMIFS(표1[영업이익(V-)],표1[매장코드],B55,표1[년],피벗값_구분!$X$2,표1[월],"&gt;="&amp;피벗값_구분!$X$4,표1[월],"&lt;="&amp;피벗값_구분!$X$5)),0)</f>
        <v>0</v>
      </c>
      <c r="Q55" s="21">
        <f>IFERROR(IF(B55="",0,SUMIFS(표1[영업이익(V-)],표1[매장코드],B55,표1[년],피벗값_구분!$X$3,표1[월],"&gt;="&amp;피벗값_구분!$X$4,표1[월],"&lt;="&amp;피벗값_구분!$X$5)),0)</f>
        <v>57233216</v>
      </c>
      <c r="R55" s="24">
        <f t="shared" si="11"/>
        <v>0.3113500382606742</v>
      </c>
      <c r="S55" s="24">
        <f t="shared" si="6"/>
        <v>1.1814757238249292E-2</v>
      </c>
      <c r="T55" s="25">
        <f t="shared" si="12"/>
        <v>57233216</v>
      </c>
    </row>
    <row r="56" spans="2:20" ht="14.25" customHeight="1">
      <c r="B56" s="18" t="str">
        <f>IFERROR(INDEX(구분!$B:$B,MATCH(51,구분!$E:$E,0)),"")</f>
        <v>01305</v>
      </c>
      <c r="C56" s="99" t="str">
        <f>IFERROR(VLOOKUP(B56,구분!$B:$C,2,0),"")</f>
        <v>신세계본점</v>
      </c>
      <c r="D56" s="5">
        <f>IFERROR(IF(B56="",0,SUMIFS(표1[매출금액],표1[매장코드],B56,표1[년],피벗값_구분!$X$2,표1[월],"&gt;="&amp;피벗값_구분!$X$4,표1[월],"&lt;="&amp;피벗값_구분!$X$5)),0)</f>
        <v>356547330</v>
      </c>
      <c r="E56" s="5">
        <f>IFERROR(IF(B56="",0,SUMIFS(표1[매출금액],표1[매장코드],B56,표1[년],피벗값_구분!$X$3,표1[월],"&gt;="&amp;피벗값_구분!$X$4,표1[월],"&lt;="&amp;피벗값_구분!$X$5)),0)</f>
        <v>370505260</v>
      </c>
      <c r="F56" s="19">
        <f t="shared" si="7"/>
        <v>3.9147481485838076E-2</v>
      </c>
      <c r="G56" s="20">
        <f>IFERROR(IF(B56="",0,SUMIFS(표1[수금액(V+)],표1[매장코드],B56,표1[년],피벗값_구분!$X$2,표1[월],"&gt;="&amp;피벗값_구분!$X$4,표1[월],"&lt;="&amp;피벗값_구분!$X$5)),0)</f>
        <v>225043083</v>
      </c>
      <c r="H56" s="21">
        <f>IFERROR(IF(B56="",0,SUMIFS(표1[수금액(V+)],표1[매장코드],B56,표1[년],피벗값_구분!$X$3,표1[월],"&gt;="&amp;피벗값_구분!$X$4,표1[월],"&lt;="&amp;피벗값_구분!$X$5)),0)</f>
        <v>233658882</v>
      </c>
      <c r="I56" s="22">
        <f t="shared" si="8"/>
        <v>0.63064929766449196</v>
      </c>
      <c r="J56" s="20">
        <f>IFERROR(IF(B56="",0,SUMIFS(표1[생산원가(V-)],표1[매장코드],B56,표1[년],피벗값_구분!$X$2,표1[월],"&gt;="&amp;피벗값_구분!$X$4,표1[월],"&lt;="&amp;피벗값_구분!$X$5)),0)</f>
        <v>110380464</v>
      </c>
      <c r="K56" s="21">
        <f>IFERROR(IF(B56="",0,SUMIFS(표1[생산원가(V-)],표1[매장코드],B56,표1[년],피벗값_구분!$X$3,표1[월],"&gt;="&amp;피벗값_구분!$X$4,표1[월],"&lt;="&amp;피벗값_구분!$X$5)),0)</f>
        <v>109146091</v>
      </c>
      <c r="L56" s="23">
        <f t="shared" si="9"/>
        <v>3.0859828377762391</v>
      </c>
      <c r="M56" s="20">
        <f>IFERROR(IF(B56="",0,SUMIFS(표1[총경비],표1[매장코드],B56,표1[년],피벗값_구분!$X$2,표1[월],"&gt;="&amp;피벗값_구분!$X$4,표1[월],"&lt;="&amp;피벗값_구분!$X$5)),0)</f>
        <v>55955670</v>
      </c>
      <c r="N56" s="21">
        <f>IFERROR(IF(B56="",0,SUMIFS(표1[총경비],표1[매장코드],B56,표1[년],피벗값_구분!$X$3,표1[월],"&gt;="&amp;피벗값_구분!$X$4,표1[월],"&lt;="&amp;피벗값_구분!$X$5)),0)</f>
        <v>58672550</v>
      </c>
      <c r="O56" s="24">
        <f t="shared" si="10"/>
        <v>0.1583582106229747</v>
      </c>
      <c r="P56" s="20">
        <f>IFERROR(IF(B56="",0,SUMIFS(표1[영업이익(V-)],표1[매장코드],B56,표1[년],피벗값_구분!$X$2,표1[월],"&gt;="&amp;피벗값_구분!$X$4,표1[월],"&lt;="&amp;피벗값_구분!$X$5)),0)</f>
        <v>94204157</v>
      </c>
      <c r="Q56" s="21">
        <f>IFERROR(IF(B56="",0,SUMIFS(표1[영업이익(V-)],표1[매장코드],B56,표1[년],피벗값_구분!$X$3,표1[월],"&gt;="&amp;피벗값_구분!$X$4,표1[월],"&lt;="&amp;피벗값_구분!$X$5)),0)</f>
        <v>103271074</v>
      </c>
      <c r="R56" s="24">
        <f t="shared" si="11"/>
        <v>0.3066034241996996</v>
      </c>
      <c r="S56" s="24">
        <f t="shared" si="6"/>
        <v>2.1318436291318632E-2</v>
      </c>
      <c r="T56" s="25">
        <f t="shared" si="12"/>
        <v>9066917</v>
      </c>
    </row>
    <row r="57" spans="2:20" ht="14.25" customHeight="1">
      <c r="B57" s="18" t="str">
        <f>IFERROR(INDEX(구분!$B:$B,MATCH(52,구분!$E:$E,0)),"")</f>
        <v>05002</v>
      </c>
      <c r="C57" s="99" t="str">
        <f>IFERROR(VLOOKUP(B57,구분!$B:$C,2,0),"")</f>
        <v>롯데아울렛김해점</v>
      </c>
      <c r="D57" s="5">
        <f>IFERROR(IF(B57="",0,SUMIFS(표1[매출금액],표1[매장코드],B57,표1[년],피벗값_구분!$X$2,표1[월],"&gt;="&amp;피벗값_구분!$X$4,표1[월],"&lt;="&amp;피벗값_구분!$X$5)),0)</f>
        <v>414602390</v>
      </c>
      <c r="E57" s="5">
        <f>IFERROR(IF(B57="",0,SUMIFS(표1[매출금액],표1[매장코드],B57,표1[년],피벗값_구분!$X$3,표1[월],"&gt;="&amp;피벗값_구분!$X$4,표1[월],"&lt;="&amp;피벗값_구분!$X$5)),0)</f>
        <v>368846030</v>
      </c>
      <c r="F57" s="19">
        <f t="shared" si="7"/>
        <v>-0.11036202661542785</v>
      </c>
      <c r="G57" s="20">
        <f>IFERROR(IF(B57="",0,SUMIFS(표1[수금액(V+)],표1[매장코드],B57,표1[년],피벗값_구분!$X$2,표1[월],"&gt;="&amp;피벗값_구분!$X$4,표1[월],"&lt;="&amp;피벗값_구분!$X$5)),0)</f>
        <v>317171275</v>
      </c>
      <c r="H57" s="21">
        <f>IFERROR(IF(B57="",0,SUMIFS(표1[수금액(V+)],표1[매장코드],B57,표1[년],피벗값_구분!$X$3,표1[월],"&gt;="&amp;피벗값_구분!$X$4,표1[월],"&lt;="&amp;피벗값_구분!$X$5)),0)</f>
        <v>282167448</v>
      </c>
      <c r="I57" s="22">
        <f t="shared" si="8"/>
        <v>0.7650006372577739</v>
      </c>
      <c r="J57" s="20">
        <f>IFERROR(IF(B57="",0,SUMIFS(표1[생산원가(V-)],표1[매장코드],B57,표1[년],피벗값_구분!$X$2,표1[월],"&gt;="&amp;피벗값_구분!$X$4,표1[월],"&lt;="&amp;피벗값_구분!$X$5)),0)</f>
        <v>142433388</v>
      </c>
      <c r="K57" s="21">
        <f>IFERROR(IF(B57="",0,SUMIFS(표1[생산원가(V-)],표1[매장코드],B57,표1[년],피벗값_구분!$X$3,표1[월],"&gt;="&amp;피벗값_구분!$X$4,표1[월],"&lt;="&amp;피벗값_구분!$X$5)),0)</f>
        <v>112174202</v>
      </c>
      <c r="L57" s="23">
        <f t="shared" si="9"/>
        <v>2.9892307388758841</v>
      </c>
      <c r="M57" s="20">
        <f>IFERROR(IF(B57="",0,SUMIFS(표1[총경비],표1[매장코드],B57,표1[년],피벗값_구분!$X$2,표1[월],"&gt;="&amp;피벗값_구분!$X$4,표1[월],"&lt;="&amp;피벗값_구분!$X$5)),0)</f>
        <v>55830830</v>
      </c>
      <c r="N57" s="21">
        <f>IFERROR(IF(B57="",0,SUMIFS(표1[총경비],표1[매장코드],B57,표1[년],피벗값_구분!$X$3,표1[월],"&gt;="&amp;피벗값_구분!$X$4,표1[월],"&lt;="&amp;피벗값_구분!$X$5)),0)</f>
        <v>49799600</v>
      </c>
      <c r="O57" s="24">
        <f t="shared" si="10"/>
        <v>0.13501460216340136</v>
      </c>
      <c r="P57" s="20">
        <f>IFERROR(IF(B57="",0,SUMIFS(표1[영업이익(V-)],표1[매장코드],B57,표1[년],피벗값_구분!$X$2,표1[월],"&gt;="&amp;피벗값_구분!$X$4,표1[월],"&lt;="&amp;피벗값_구분!$X$5)),0)</f>
        <v>145904135</v>
      </c>
      <c r="Q57" s="21">
        <f>IFERROR(IF(B57="",0,SUMIFS(표1[영업이익(V-)],표1[매장코드],B57,표1[년],피벗값_구분!$X$3,표1[월],"&gt;="&amp;피벗값_구분!$X$4,표1[월],"&lt;="&amp;피벗값_구분!$X$5)),0)</f>
        <v>144341660</v>
      </c>
      <c r="R57" s="24">
        <f t="shared" si="11"/>
        <v>0.4304664089782938</v>
      </c>
      <c r="S57" s="24">
        <f t="shared" si="6"/>
        <v>2.9796712319397154E-2</v>
      </c>
      <c r="T57" s="25">
        <f t="shared" si="12"/>
        <v>-1562475</v>
      </c>
    </row>
    <row r="58" spans="2:20" ht="14.25" customHeight="1">
      <c r="B58" s="18" t="str">
        <f>IFERROR(INDEX(구분!$B:$B,MATCH(53,구분!$E:$E,0)),"")</f>
        <v>05003</v>
      </c>
      <c r="C58" s="99" t="str">
        <f>IFERROR(VLOOKUP(B58,구분!$B:$C,2,0),"")</f>
        <v>롯데아울렛이천점</v>
      </c>
      <c r="D58" s="5">
        <f>IFERROR(IF(B58="",0,SUMIFS(표1[매출금액],표1[매장코드],B58,표1[년],피벗값_구분!$X$2,표1[월],"&gt;="&amp;피벗값_구분!$X$4,표1[월],"&lt;="&amp;피벗값_구분!$X$5)),0)</f>
        <v>222880170</v>
      </c>
      <c r="E58" s="5">
        <f>IFERROR(IF(B58="",0,SUMIFS(표1[매출금액],표1[매장코드],B58,표1[년],피벗값_구분!$X$3,표1[월],"&gt;="&amp;피벗값_구분!$X$4,표1[월],"&lt;="&amp;피벗값_구분!$X$5)),0)</f>
        <v>247285010</v>
      </c>
      <c r="F58" s="19">
        <f t="shared" si="7"/>
        <v>0.10949758338752165</v>
      </c>
      <c r="G58" s="20">
        <f>IFERROR(IF(B58="",0,SUMIFS(표1[수금액(V+)],표1[매장코드],B58,표1[년],피벗값_구분!$X$2,표1[월],"&gt;="&amp;피벗값_구분!$X$4,표1[월],"&lt;="&amp;피벗값_구분!$X$5)),0)</f>
        <v>171617859</v>
      </c>
      <c r="H58" s="21">
        <f>IFERROR(IF(B58="",0,SUMIFS(표1[수금액(V+)],표1[매장코드],B58,표1[년],피벗값_구분!$X$3,표1[월],"&gt;="&amp;피벗값_구분!$X$4,표1[월],"&lt;="&amp;피벗값_구분!$X$5)),0)</f>
        <v>190409588</v>
      </c>
      <c r="I58" s="22">
        <f t="shared" si="8"/>
        <v>0.77000052692235565</v>
      </c>
      <c r="J58" s="20">
        <f>IFERROR(IF(B58="",0,SUMIFS(표1[생산원가(V-)],표1[매장코드],B58,표1[년],피벗값_구분!$X$2,표1[월],"&gt;="&amp;피벗값_구분!$X$4,표1[월],"&lt;="&amp;피벗값_구분!$X$5)),0)</f>
        <v>72984080</v>
      </c>
      <c r="K58" s="21">
        <f>IFERROR(IF(B58="",0,SUMIFS(표1[생산원가(V-)],표1[매장코드],B58,표1[년],피벗값_구분!$X$3,표1[월],"&gt;="&amp;피벗값_구분!$X$4,표1[월],"&lt;="&amp;피벗값_구분!$X$5)),0)</f>
        <v>74522206</v>
      </c>
      <c r="L58" s="23">
        <f t="shared" si="9"/>
        <v>3.0166116465400195</v>
      </c>
      <c r="M58" s="20">
        <f>IFERROR(IF(B58="",0,SUMIFS(표1[총경비],표1[매장코드],B58,표1[년],피벗값_구분!$X$2,표1[월],"&gt;="&amp;피벗값_구분!$X$4,표1[월],"&lt;="&amp;피벗값_구분!$X$5)),0)</f>
        <v>35629220</v>
      </c>
      <c r="N58" s="21">
        <f>IFERROR(IF(B58="",0,SUMIFS(표1[총경비],표1[매장코드],B58,표1[년],피벗값_구분!$X$3,표1[월],"&gt;="&amp;피벗값_구분!$X$4,표1[월],"&lt;="&amp;피벗값_구분!$X$5)),0)</f>
        <v>39385870</v>
      </c>
      <c r="O58" s="24">
        <f t="shared" si="10"/>
        <v>0.15927318036786783</v>
      </c>
      <c r="P58" s="20">
        <f>IFERROR(IF(B58="",0,SUMIFS(표1[영업이익(V-)],표1[매장코드],B58,표1[년],피벗값_구분!$X$2,표1[월],"&gt;="&amp;피벗값_구분!$X$4,표1[월],"&lt;="&amp;피벗값_구분!$X$5)),0)</f>
        <v>83032156</v>
      </c>
      <c r="Q58" s="21">
        <f>IFERROR(IF(B58="",0,SUMIFS(표1[영업이익(V-)],표1[매장코드],B58,표1[년],피벗값_구분!$X$3,표1[월],"&gt;="&amp;피벗값_구분!$X$4,표1[월],"&lt;="&amp;피벗값_구분!$X$5)),0)</f>
        <v>98577419</v>
      </c>
      <c r="R58" s="24">
        <f t="shared" si="11"/>
        <v>0.43850276609973249</v>
      </c>
      <c r="S58" s="24">
        <f t="shared" si="6"/>
        <v>2.0349516523030669E-2</v>
      </c>
      <c r="T58" s="25">
        <f t="shared" si="12"/>
        <v>15545263</v>
      </c>
    </row>
    <row r="59" spans="2:20" ht="14.25" customHeight="1">
      <c r="B59" s="18" t="str">
        <f>IFERROR(INDEX(구분!$B:$B,MATCH(54,구분!$E:$E,0)),"")</f>
        <v>05004</v>
      </c>
      <c r="C59" s="99" t="str">
        <f>IFERROR(VLOOKUP(B59,구분!$B:$C,2,0),"")</f>
        <v>롯데아울렛광명점</v>
      </c>
      <c r="D59" s="5">
        <f>IFERROR(IF(B59="",0,SUMIFS(표1[매출금액],표1[매장코드],B59,표1[년],피벗값_구분!$X$2,표1[월],"&gt;="&amp;피벗값_구분!$X$4,표1[월],"&lt;="&amp;피벗값_구분!$X$5)),0)</f>
        <v>193276390</v>
      </c>
      <c r="E59" s="5">
        <f>IFERROR(IF(B59="",0,SUMIFS(표1[매출금액],표1[매장코드],B59,표1[년],피벗값_구분!$X$3,표1[월],"&gt;="&amp;피벗값_구분!$X$4,표1[월],"&lt;="&amp;피벗값_구분!$X$5)),0)</f>
        <v>190993090</v>
      </c>
      <c r="F59" s="19">
        <f t="shared" si="7"/>
        <v>-1.1813651941657229E-2</v>
      </c>
      <c r="G59" s="20">
        <f>IFERROR(IF(B59="",0,SUMIFS(표1[수금액(V+)],표1[매장코드],B59,표1[년],피벗값_구분!$X$2,표1[월],"&gt;="&amp;피벗값_구분!$X$4,표1[월],"&lt;="&amp;피벗값_구분!$X$5)),0)</f>
        <v>147856610</v>
      </c>
      <c r="H59" s="21">
        <f>IFERROR(IF(B59="",0,SUMIFS(표1[수금액(V+)],표1[매장코드],B59,표1[년],피벗값_구분!$X$3,표1[월],"&gt;="&amp;피벗값_구분!$X$4,표1[월],"&lt;="&amp;피벗값_구분!$X$5)),0)</f>
        <v>146109877</v>
      </c>
      <c r="I59" s="22">
        <f t="shared" si="8"/>
        <v>0.76500085421938568</v>
      </c>
      <c r="J59" s="20">
        <f>IFERROR(IF(B59="",0,SUMIFS(표1[생산원가(V-)],표1[매장코드],B59,표1[년],피벗값_구분!$X$2,표1[월],"&gt;="&amp;피벗값_구분!$X$4,표1[월],"&lt;="&amp;피벗값_구분!$X$5)),0)</f>
        <v>62522792</v>
      </c>
      <c r="K59" s="21">
        <f>IFERROR(IF(B59="",0,SUMIFS(표1[생산원가(V-)],표1[매장코드],B59,표1[년],피벗값_구분!$X$3,표1[월],"&gt;="&amp;피벗값_구분!$X$4,표1[월],"&lt;="&amp;피벗값_구분!$X$5)),0)</f>
        <v>57173623</v>
      </c>
      <c r="L59" s="23">
        <f t="shared" si="9"/>
        <v>3.0368913619166973</v>
      </c>
      <c r="M59" s="20">
        <f>IFERROR(IF(B59="",0,SUMIFS(표1[총경비],표1[매장코드],B59,표1[년],피벗값_구분!$X$2,표1[월],"&gt;="&amp;피벗값_구분!$X$4,표1[월],"&lt;="&amp;피벗값_구분!$X$5)),0)</f>
        <v>35456510</v>
      </c>
      <c r="N59" s="21">
        <f>IFERROR(IF(B59="",0,SUMIFS(표1[총경비],표1[매장코드],B59,표1[년],피벗값_구분!$X$3,표1[월],"&gt;="&amp;피벗값_구분!$X$4,표1[월],"&lt;="&amp;피벗값_구분!$X$5)),0)</f>
        <v>35068940</v>
      </c>
      <c r="O59" s="24">
        <f t="shared" si="10"/>
        <v>0.18361365848366556</v>
      </c>
      <c r="P59" s="20">
        <f>IFERROR(IF(B59="",0,SUMIFS(표1[영업이익(V-)],표1[매장코드],B59,표1[년],피벗값_구분!$X$2,표1[월],"&gt;="&amp;피벗값_구분!$X$4,표1[월],"&lt;="&amp;피벗값_구분!$X$5)),0)</f>
        <v>71892309</v>
      </c>
      <c r="Q59" s="21">
        <f>IFERROR(IF(B59="",0,SUMIFS(표1[영업이익(V-)],표1[매장코드],B59,표1[년],피벗값_구분!$X$3,표1[월],"&gt;="&amp;피벗값_구분!$X$4,표1[월],"&lt;="&amp;피벗값_구분!$X$5)),0)</f>
        <v>75653539</v>
      </c>
      <c r="R59" s="24">
        <f t="shared" si="11"/>
        <v>0.4357167733136314</v>
      </c>
      <c r="S59" s="24">
        <f t="shared" si="6"/>
        <v>1.5617298135044956E-2</v>
      </c>
      <c r="T59" s="25">
        <f t="shared" si="12"/>
        <v>3761230</v>
      </c>
    </row>
    <row r="60" spans="2:20" ht="14.25" customHeight="1">
      <c r="B60" s="18" t="str">
        <f>IFERROR(INDEX(구분!$B:$B,MATCH(55,구분!$E:$E,0)),"")</f>
        <v>05005</v>
      </c>
      <c r="C60" s="99" t="str">
        <f>IFERROR(VLOOKUP(B60,구분!$B:$C,2,0),"")</f>
        <v>롯데아울렛고양점</v>
      </c>
      <c r="D60" s="5">
        <f>IFERROR(IF(B60="",0,SUMIFS(표1[매출금액],표1[매장코드],B60,표1[년],피벗값_구분!$X$2,표1[월],"&gt;="&amp;피벗값_구분!$X$4,표1[월],"&lt;="&amp;피벗값_구분!$X$5)),0)</f>
        <v>110976160</v>
      </c>
      <c r="E60" s="5">
        <f>IFERROR(IF(B60="",0,SUMIFS(표1[매출금액],표1[매장코드],B60,표1[년],피벗값_구분!$X$3,표1[월],"&gt;="&amp;피벗값_구분!$X$4,표1[월],"&lt;="&amp;피벗값_구분!$X$5)),0)</f>
        <v>121717340</v>
      </c>
      <c r="F60" s="19">
        <f t="shared" si="7"/>
        <v>9.6788175045883731E-2</v>
      </c>
      <c r="G60" s="20">
        <f>IFERROR(IF(B60="",0,SUMIFS(표1[수금액(V+)],표1[매장코드],B60,표1[년],피벗값_구분!$X$2,표1[월],"&gt;="&amp;피벗값_구분!$X$4,표1[월],"&lt;="&amp;피벗값_구분!$X$5)),0)</f>
        <v>85451704</v>
      </c>
      <c r="H60" s="21">
        <f>IFERROR(IF(B60="",0,SUMIFS(표1[수금액(V+)],표1[매장코드],B60,표1[년],피벗값_구분!$X$3,표1[월],"&gt;="&amp;피벗값_구분!$X$4,표1[월],"&lt;="&amp;피벗값_구분!$X$5)),0)</f>
        <v>93722430</v>
      </c>
      <c r="I60" s="22">
        <f t="shared" si="8"/>
        <v>0.77000064247214073</v>
      </c>
      <c r="J60" s="20">
        <f>IFERROR(IF(B60="",0,SUMIFS(표1[생산원가(V-)],표1[매장코드],B60,표1[년],피벗값_구분!$X$2,표1[월],"&gt;="&amp;피벗값_구분!$X$4,표1[월],"&lt;="&amp;피벗값_구분!$X$5)),0)</f>
        <v>39420357</v>
      </c>
      <c r="K60" s="21">
        <f>IFERROR(IF(B60="",0,SUMIFS(표1[생산원가(V-)],표1[매장코드],B60,표1[년],피벗값_구분!$X$3,표1[월],"&gt;="&amp;피벗값_구분!$X$4,표1[월],"&lt;="&amp;피벗값_구분!$X$5)),0)</f>
        <v>38881776</v>
      </c>
      <c r="L60" s="23">
        <f t="shared" si="9"/>
        <v>2.8458609316798511</v>
      </c>
      <c r="M60" s="20">
        <f>IFERROR(IF(B60="",0,SUMIFS(표1[총경비],표1[매장코드],B60,표1[년],피벗값_구분!$X$2,표1[월],"&gt;="&amp;피벗값_구분!$X$4,표1[월],"&lt;="&amp;피벗값_구분!$X$5)),0)</f>
        <v>23697510</v>
      </c>
      <c r="N60" s="21">
        <f>IFERROR(IF(B60="",0,SUMIFS(표1[총경비],표1[매장코드],B60,표1[년],피벗값_구분!$X$3,표1[월],"&gt;="&amp;피벗값_구분!$X$4,표1[월],"&lt;="&amp;피벗값_구분!$X$5)),0)</f>
        <v>25038360</v>
      </c>
      <c r="O60" s="24">
        <f t="shared" si="10"/>
        <v>0.20570906331012492</v>
      </c>
      <c r="P60" s="20">
        <f>IFERROR(IF(B60="",0,SUMIFS(표1[영업이익(V-)],표1[매장코드],B60,표1[년],피벗값_구분!$X$2,표1[월],"&gt;="&amp;피벗값_구분!$X$4,표1[월],"&lt;="&amp;피벗값_구분!$X$5)),0)</f>
        <v>38263010</v>
      </c>
      <c r="Q60" s="21">
        <f>IFERROR(IF(B60="",0,SUMIFS(표1[영업이익(V-)],표1[매장코드],B60,표1[년],피벗값_구분!$X$3,표1[월],"&gt;="&amp;피벗값_구분!$X$4,표1[월],"&lt;="&amp;피벗값_구분!$X$5)),0)</f>
        <v>46320433</v>
      </c>
      <c r="R60" s="24">
        <f t="shared" si="11"/>
        <v>0.41861312693819963</v>
      </c>
      <c r="S60" s="24">
        <f t="shared" si="6"/>
        <v>9.5620115260619185E-3</v>
      </c>
      <c r="T60" s="25">
        <f t="shared" si="12"/>
        <v>8057423</v>
      </c>
    </row>
    <row r="61" spans="2:20" ht="14.25" customHeight="1">
      <c r="B61" s="18" t="str">
        <f>IFERROR(INDEX(구분!$B:$B,MATCH(56,구분!$E:$E,0)),"")</f>
        <v>05006</v>
      </c>
      <c r="C61" s="99" t="str">
        <f>IFERROR(VLOOKUP(B61,구분!$B:$C,2,0),"")</f>
        <v>롯데아울렛광교점</v>
      </c>
      <c r="D61" s="5">
        <f>IFERROR(IF(B61="",0,SUMIFS(표1[매출금액],표1[매장코드],B61,표1[년],피벗값_구분!$X$2,표1[월],"&gt;="&amp;피벗값_구분!$X$4,표1[월],"&lt;="&amp;피벗값_구분!$X$5)),0)</f>
        <v>210834740</v>
      </c>
      <c r="E61" s="5">
        <f>IFERROR(IF(B61="",0,SUMIFS(표1[매출금액],표1[매장코드],B61,표1[년],피벗값_구분!$X$3,표1[월],"&gt;="&amp;피벗값_구분!$X$4,표1[월],"&lt;="&amp;피벗값_구분!$X$5)),0)</f>
        <v>201610880</v>
      </c>
      <c r="F61" s="19">
        <f t="shared" si="7"/>
        <v>-4.3749241704664044E-2</v>
      </c>
      <c r="G61" s="20">
        <f>IFERROR(IF(B61="",0,SUMIFS(표1[수금액(V+)],표1[매장코드],B61,표1[년],피벗값_구분!$X$2,표1[월],"&gt;="&amp;피벗값_구분!$X$4,표1[월],"&lt;="&amp;피벗값_구분!$X$5)),0)</f>
        <v>162342914</v>
      </c>
      <c r="H61" s="21">
        <f>IFERROR(IF(B61="",0,SUMIFS(표1[수금액(V+)],표1[매장코드],B61,표1[년],피벗값_구분!$X$3,표1[월],"&gt;="&amp;피벗값_구분!$X$4,표1[월],"&lt;="&amp;피벗값_구분!$X$5)),0)</f>
        <v>155240520</v>
      </c>
      <c r="I61" s="22">
        <f t="shared" si="8"/>
        <v>0.77000070631108797</v>
      </c>
      <c r="J61" s="20">
        <f>IFERROR(IF(B61="",0,SUMIFS(표1[생산원가(V-)],표1[매장코드],B61,표1[년],피벗값_구분!$X$2,표1[월],"&gt;="&amp;피벗값_구분!$X$4,표1[월],"&lt;="&amp;피벗값_구분!$X$5)),0)</f>
        <v>70283269</v>
      </c>
      <c r="K61" s="21">
        <f>IFERROR(IF(B61="",0,SUMIFS(표1[생산원가(V-)],표1[매장코드],B61,표1[년],피벗값_구분!$X$3,표1[월],"&gt;="&amp;피벗값_구분!$X$4,표1[월],"&lt;="&amp;피벗값_구분!$X$5)),0)</f>
        <v>64334498</v>
      </c>
      <c r="L61" s="23">
        <f t="shared" si="9"/>
        <v>2.8489010387835489</v>
      </c>
      <c r="M61" s="20">
        <f>IFERROR(IF(B61="",0,SUMIFS(표1[총경비],표1[매장코드],B61,표1[년],피벗값_구분!$X$2,표1[월],"&gt;="&amp;피벗값_구분!$X$4,표1[월],"&lt;="&amp;피벗값_구분!$X$5)),0)</f>
        <v>39302810</v>
      </c>
      <c r="N61" s="21">
        <f>IFERROR(IF(B61="",0,SUMIFS(표1[총경비],표1[매장코드],B61,표1[년],피벗값_구분!$X$3,표1[월],"&gt;="&amp;피벗값_구분!$X$4,표1[월],"&lt;="&amp;피벗값_구분!$X$5)),0)</f>
        <v>39231610</v>
      </c>
      <c r="O61" s="24">
        <f t="shared" si="10"/>
        <v>0.19459073835697757</v>
      </c>
      <c r="P61" s="20">
        <f>IFERROR(IF(B61="",0,SUMIFS(표1[영업이익(V-)],표1[매장코드],B61,표1[년],피벗값_구분!$X$2,표1[월],"&gt;="&amp;피벗값_구분!$X$4,표1[월],"&lt;="&amp;피벗값_구분!$X$5)),0)</f>
        <v>77301199</v>
      </c>
      <c r="Q61" s="21">
        <f>IFERROR(IF(B61="",0,SUMIFS(표1[영업이익(V-)],표1[매장코드],B61,표1[년],피벗값_구분!$X$3,표1[월],"&gt;="&amp;피벗값_구분!$X$4,표1[월],"&lt;="&amp;피벗값_구분!$X$5)),0)</f>
        <v>76793248</v>
      </c>
      <c r="R61" s="24">
        <f t="shared" si="11"/>
        <v>0.41898816571804065</v>
      </c>
      <c r="S61" s="24">
        <f t="shared" si="6"/>
        <v>1.5852570344058126E-2</v>
      </c>
      <c r="T61" s="25">
        <f t="shared" si="12"/>
        <v>-507951</v>
      </c>
    </row>
    <row r="62" spans="2:20" ht="14.25" customHeight="1">
      <c r="B62" s="18" t="str">
        <f>IFERROR(INDEX(구분!$B:$B,MATCH(57,구분!$E:$E,0)),"")</f>
        <v>05007</v>
      </c>
      <c r="C62" s="99" t="str">
        <f>IFERROR(VLOOKUP(B62,구분!$B:$C,2,0),"")</f>
        <v>롯데아울렛군산점</v>
      </c>
      <c r="D62" s="5">
        <f>IFERROR(IF(B62="",0,SUMIFS(표1[매출금액],표1[매장코드],B62,표1[년],피벗값_구분!$X$2,표1[월],"&gt;="&amp;피벗값_구분!$X$4,표1[월],"&lt;="&amp;피벗값_구분!$X$5)),0)</f>
        <v>125011310</v>
      </c>
      <c r="E62" s="5">
        <f>IFERROR(IF(B62="",0,SUMIFS(표1[매출금액],표1[매장코드],B62,표1[년],피벗값_구분!$X$3,표1[월],"&gt;="&amp;피벗값_구분!$X$4,표1[월],"&lt;="&amp;피벗값_구분!$X$5)),0)</f>
        <v>122384750</v>
      </c>
      <c r="F62" s="19">
        <f t="shared" si="7"/>
        <v>-2.1010578962815444E-2</v>
      </c>
      <c r="G62" s="20">
        <f>IFERROR(IF(B62="",0,SUMIFS(표1[수금액(V+)],표1[매장코드],B62,표1[년],피벗값_구분!$X$2,표1[월],"&gt;="&amp;피벗값_구분!$X$4,표1[월],"&lt;="&amp;피벗값_구분!$X$5)),0)</f>
        <v>96258810</v>
      </c>
      <c r="H62" s="21">
        <f>IFERROR(IF(B62="",0,SUMIFS(표1[수금액(V+)],표1[매장코드],B62,표1[년],피벗값_구분!$X$3,표1[월],"&gt;="&amp;피벗값_구분!$X$4,표1[월],"&lt;="&amp;피벗값_구분!$X$5)),0)</f>
        <v>94236319</v>
      </c>
      <c r="I62" s="22">
        <f t="shared" si="8"/>
        <v>0.77000050251358931</v>
      </c>
      <c r="J62" s="20">
        <f>IFERROR(IF(B62="",0,SUMIFS(표1[생산원가(V-)],표1[매장코드],B62,표1[년],피벗값_구분!$X$2,표1[월],"&gt;="&amp;피벗값_구분!$X$4,표1[월],"&lt;="&amp;피벗값_구분!$X$5)),0)</f>
        <v>44777711</v>
      </c>
      <c r="K62" s="21">
        <f>IFERROR(IF(B62="",0,SUMIFS(표1[생산원가(V-)],표1[매장코드],B62,표1[년],피벗값_구분!$X$3,표1[월],"&gt;="&amp;피벗값_구분!$X$4,표1[월],"&lt;="&amp;피벗값_구분!$X$5)),0)</f>
        <v>38597518</v>
      </c>
      <c r="L62" s="23">
        <f t="shared" si="9"/>
        <v>2.8825393289890719</v>
      </c>
      <c r="M62" s="20">
        <f>IFERROR(IF(B62="",0,SUMIFS(표1[총경비],표1[매장코드],B62,표1[년],피벗값_구분!$X$2,표1[월],"&gt;="&amp;피벗값_구분!$X$4,표1[월],"&lt;="&amp;피벗값_구분!$X$5)),0)</f>
        <v>26295110</v>
      </c>
      <c r="N62" s="21">
        <f>IFERROR(IF(B62="",0,SUMIFS(표1[총경비],표1[매장코드],B62,표1[년],피벗값_구분!$X$3,표1[월],"&gt;="&amp;피벗값_구분!$X$4,표1[월],"&lt;="&amp;피벗값_구분!$X$5)),0)</f>
        <v>25943510</v>
      </c>
      <c r="O62" s="24">
        <f t="shared" si="10"/>
        <v>0.21198319235035412</v>
      </c>
      <c r="P62" s="20">
        <f>IFERROR(IF(B62="",0,SUMIFS(표1[영업이익(V-)],표1[매장코드],B62,표1[년],피벗값_구분!$X$2,표1[월],"&gt;="&amp;피벗값_구분!$X$4,표1[월],"&lt;="&amp;피벗값_구분!$X$5)),0)</f>
        <v>42730298</v>
      </c>
      <c r="Q62" s="21">
        <f>IFERROR(IF(B62="",0,SUMIFS(표1[영업이익(V-)],표1[매장코드],B62,표1[년],피벗값_구분!$X$3,표1[월],"&gt;="&amp;피벗값_구분!$X$4,표1[월],"&lt;="&amp;피벗값_구분!$X$5)),0)</f>
        <v>47071863</v>
      </c>
      <c r="R62" s="24">
        <f t="shared" si="11"/>
        <v>0.42308416122106723</v>
      </c>
      <c r="S62" s="24">
        <f t="shared" si="6"/>
        <v>9.7171305924365504E-3</v>
      </c>
      <c r="T62" s="25">
        <f t="shared" si="12"/>
        <v>4341565</v>
      </c>
    </row>
    <row r="63" spans="2:20" ht="14.25" customHeight="1">
      <c r="B63" s="18" t="str">
        <f>IFERROR(INDEX(구분!$B:$B,MATCH(58,구분!$E:$E,0)),"")</f>
        <v>05009</v>
      </c>
      <c r="C63" s="99" t="str">
        <f>IFERROR(VLOOKUP(B63,구분!$B:$C,2,0),"")</f>
        <v>롯데아울렛동부산점</v>
      </c>
      <c r="D63" s="5">
        <f>IFERROR(IF(B63="",0,SUMIFS(표1[매출금액],표1[매장코드],B63,표1[년],피벗값_구분!$X$2,표1[월],"&gt;="&amp;피벗값_구분!$X$4,표1[월],"&lt;="&amp;피벗값_구분!$X$5)),0)</f>
        <v>189274320</v>
      </c>
      <c r="E63" s="5">
        <f>IFERROR(IF(B63="",0,SUMIFS(표1[매출금액],표1[매장코드],B63,표1[년],피벗값_구분!$X$3,표1[월],"&gt;="&amp;피벗값_구분!$X$4,표1[월],"&lt;="&amp;피벗값_구분!$X$5)),0)</f>
        <v>205105890</v>
      </c>
      <c r="F63" s="19">
        <f t="shared" si="7"/>
        <v>8.36435180430182E-2</v>
      </c>
      <c r="G63" s="20">
        <f>IFERROR(IF(B63="",0,SUMIFS(표1[수금액(V+)],표1[매장코드],B63,표1[년],피벗값_구분!$X$2,표1[월],"&gt;="&amp;피벗값_구분!$X$4,표1[월],"&lt;="&amp;피벗값_구분!$X$5)),0)</f>
        <v>145741318</v>
      </c>
      <c r="H63" s="21">
        <f>IFERROR(IF(B63="",0,SUMIFS(표1[수금액(V+)],표1[매장코드],B63,표1[년],피벗값_구분!$X$3,표1[월],"&gt;="&amp;피벗값_구분!$X$4,표1[월],"&lt;="&amp;피벗값_구분!$X$5)),0)</f>
        <v>157931602</v>
      </c>
      <c r="I63" s="22">
        <f t="shared" si="8"/>
        <v>0.77000032519787709</v>
      </c>
      <c r="J63" s="20">
        <f>IFERROR(IF(B63="",0,SUMIFS(표1[생산원가(V-)],표1[매장코드],B63,표1[년],피벗값_구분!$X$2,표1[월],"&gt;="&amp;피벗값_구분!$X$4,표1[월],"&lt;="&amp;피벗값_구분!$X$5)),0)</f>
        <v>61666774</v>
      </c>
      <c r="K63" s="21">
        <f>IFERROR(IF(B63="",0,SUMIFS(표1[생산원가(V-)],표1[매장코드],B63,표1[년],피벗값_구분!$X$3,표1[월],"&gt;="&amp;피벗값_구분!$X$4,표1[월],"&lt;="&amp;피벗값_구분!$X$5)),0)</f>
        <v>63886803</v>
      </c>
      <c r="L63" s="23">
        <f t="shared" si="9"/>
        <v>2.9185980710288471</v>
      </c>
      <c r="M63" s="20">
        <f>IFERROR(IF(B63="",0,SUMIFS(표1[총경비],표1[매장코드],B63,표1[년],피벗값_구분!$X$2,표1[월],"&gt;="&amp;피벗값_구분!$X$4,표1[월],"&lt;="&amp;피벗값_구분!$X$5)),0)</f>
        <v>32217700</v>
      </c>
      <c r="N63" s="21">
        <f>IFERROR(IF(B63="",0,SUMIFS(표1[총경비],표1[매장코드],B63,표1[년],피벗값_구분!$X$3,표1[월],"&gt;="&amp;피벗값_구분!$X$4,표1[월],"&lt;="&amp;피벗값_구분!$X$5)),0)</f>
        <v>36011160</v>
      </c>
      <c r="O63" s="24">
        <f t="shared" si="10"/>
        <v>0.17557350498320648</v>
      </c>
      <c r="P63" s="20">
        <f>IFERROR(IF(B63="",0,SUMIFS(표1[영업이익(V-)],표1[매장코드],B63,표1[년],피벗값_구분!$X$2,표1[월],"&gt;="&amp;피벗값_구분!$X$4,표1[월],"&lt;="&amp;피벗값_구분!$X$5)),0)</f>
        <v>70825334</v>
      </c>
      <c r="Q63" s="21">
        <f>IFERROR(IF(B63="",0,SUMIFS(표1[영업이익(V-)],표1[매장코드],B63,표1[년],피벗값_구분!$X$3,표1[월],"&gt;="&amp;피벗값_구분!$X$4,표1[월],"&lt;="&amp;피벗값_구분!$X$5)),0)</f>
        <v>79687380</v>
      </c>
      <c r="R63" s="24">
        <f t="shared" si="11"/>
        <v>0.42737006723697701</v>
      </c>
      <c r="S63" s="24">
        <f t="shared" si="6"/>
        <v>1.6450011295051494E-2</v>
      </c>
      <c r="T63" s="25">
        <f t="shared" si="12"/>
        <v>8862046</v>
      </c>
    </row>
    <row r="64" spans="2:20" ht="15" customHeight="1">
      <c r="B64" s="18" t="str">
        <f>IFERROR(INDEX(구분!$B:$B,MATCH(59,구분!$E:$E,0)),"")</f>
        <v>05201</v>
      </c>
      <c r="C64" s="99" t="str">
        <f>IFERROR(VLOOKUP(B64,구분!$B:$C,2,0),"")</f>
        <v>LF스퀘어양주점</v>
      </c>
      <c r="D64" s="5">
        <f>IFERROR(IF(B64="",0,SUMIFS(표1[매출금액],표1[매장코드],B64,표1[년],피벗값_구분!$X$2,표1[월],"&gt;="&amp;피벗값_구분!$X$4,표1[월],"&lt;="&amp;피벗값_구분!$X$5)),0)</f>
        <v>221088200</v>
      </c>
      <c r="E64" s="5">
        <f>IFERROR(IF(B64="",0,SUMIFS(표1[매출금액],표1[매장코드],B64,표1[년],피벗값_구분!$X$3,표1[월],"&gt;="&amp;피벗값_구분!$X$4,표1[월],"&lt;="&amp;피벗값_구분!$X$5)),0)</f>
        <v>178645840</v>
      </c>
      <c r="F64" s="19">
        <f t="shared" si="7"/>
        <v>-0.19197026345141893</v>
      </c>
      <c r="G64" s="20">
        <f>IFERROR(IF(B64="",0,SUMIFS(표1[수금액(V+)],표1[매장코드],B64,표1[년],피벗값_구분!$X$2,표1[월],"&gt;="&amp;피벗값_구분!$X$4,표1[월],"&lt;="&amp;피벗값_구분!$X$5)),0)</f>
        <v>174659816</v>
      </c>
      <c r="H64" s="21">
        <f>IFERROR(IF(B64="",0,SUMIFS(표1[수금액(V+)],표1[매장코드],B64,표1[년],피벗값_구분!$X$3,표1[월],"&gt;="&amp;피벗값_구분!$X$4,표1[월],"&lt;="&amp;피벗값_구분!$X$5)),0)</f>
        <v>139343758</v>
      </c>
      <c r="I64" s="22">
        <f t="shared" si="8"/>
        <v>0.78000001567346877</v>
      </c>
      <c r="J64" s="20">
        <f>IFERROR(IF(B64="",0,SUMIFS(표1[생산원가(V-)],표1[매장코드],B64,표1[년],피벗값_구분!$X$2,표1[월],"&gt;="&amp;피벗값_구분!$X$4,표1[월],"&lt;="&amp;피벗값_구분!$X$5)),0)</f>
        <v>81376621</v>
      </c>
      <c r="K64" s="21">
        <f>IFERROR(IF(B64="",0,SUMIFS(표1[생산원가(V-)],표1[매장코드],B64,표1[년],피벗값_구분!$X$3,표1[월],"&gt;="&amp;피벗값_구분!$X$4,표1[월],"&lt;="&amp;피벗값_구분!$X$5)),0)</f>
        <v>57201052</v>
      </c>
      <c r="L64" s="23">
        <f t="shared" si="9"/>
        <v>2.8392014379544812</v>
      </c>
      <c r="M64" s="20">
        <f>IFERROR(IF(B64="",0,SUMIFS(표1[총경비],표1[매장코드],B64,표1[년],피벗값_구분!$X$2,표1[월],"&gt;="&amp;피벗값_구분!$X$4,표1[월],"&lt;="&amp;피벗값_구분!$X$5)),0)</f>
        <v>45178060</v>
      </c>
      <c r="N64" s="21">
        <f>IFERROR(IF(B64="",0,SUMIFS(표1[총경비],표1[매장코드],B64,표1[년],피벗값_구분!$X$3,표1[월],"&gt;="&amp;피벗값_구분!$X$4,표1[월],"&lt;="&amp;피벗값_구분!$X$5)),0)</f>
        <v>40397960</v>
      </c>
      <c r="O64" s="24">
        <f t="shared" si="10"/>
        <v>0.226134344913937</v>
      </c>
      <c r="P64" s="20">
        <f>IFERROR(IF(B64="",0,SUMIFS(표1[영업이익(V-)],표1[매장코드],B64,표1[년],피벗값_구분!$X$2,표1[월],"&gt;="&amp;피벗값_구분!$X$4,표1[월],"&lt;="&amp;피벗값_구분!$X$5)),0)</f>
        <v>77405030</v>
      </c>
      <c r="Q64" s="21">
        <f>IFERROR(IF(B64="",0,SUMIFS(표1[영업이익(V-)],표1[매장코드],B64,표1[년],피벗값_구분!$X$3,표1[월],"&gt;="&amp;피벗값_구분!$X$4,표1[월],"&lt;="&amp;피벗값_구분!$X$5)),0)</f>
        <v>69475091</v>
      </c>
      <c r="R64" s="24">
        <f t="shared" si="11"/>
        <v>0.42778829946446001</v>
      </c>
      <c r="S64" s="24">
        <f t="shared" si="6"/>
        <v>1.4341869837792764E-2</v>
      </c>
      <c r="T64" s="25">
        <f t="shared" si="12"/>
        <v>-7929939</v>
      </c>
    </row>
    <row r="65" spans="2:20" ht="14.25" customHeight="1">
      <c r="B65" s="18" t="str">
        <f>IFERROR(INDEX(구분!$B:$B,MATCH(60,구분!$E:$E,0)),"")</f>
        <v>05552</v>
      </c>
      <c r="C65" s="99" t="str">
        <f>IFERROR(VLOOKUP(B65,구분!$B:$C,2,0),"")</f>
        <v>신세계아울렛파주점</v>
      </c>
      <c r="D65" s="5">
        <f>IFERROR(IF(B65="",0,SUMIFS(표1[매출금액],표1[매장코드],B65,표1[년],피벗값_구분!$X$2,표1[월],"&gt;="&amp;피벗값_구분!$X$4,표1[월],"&lt;="&amp;피벗값_구분!$X$5)),0)</f>
        <v>102290450</v>
      </c>
      <c r="E65" s="5">
        <f>IFERROR(IF(B65="",0,SUMIFS(표1[매출금액],표1[매장코드],B65,표1[년],피벗값_구분!$X$3,표1[월],"&gt;="&amp;피벗값_구분!$X$4,표1[월],"&lt;="&amp;피벗값_구분!$X$5)),0)</f>
        <v>124238880</v>
      </c>
      <c r="F65" s="19">
        <f t="shared" si="7"/>
        <v>0.21456968856818989</v>
      </c>
      <c r="G65" s="20">
        <f>IFERROR(IF(B65="",0,SUMIFS(표1[수금액(V+)],표1[매장코드],B65,표1[년],피벗값_구분!$X$2,표1[월],"&gt;="&amp;피벗값_구분!$X$4,표1[월],"&lt;="&amp;피벗값_구분!$X$5)),0)</f>
        <v>85923985</v>
      </c>
      <c r="H65" s="21">
        <f>IFERROR(IF(B65="",0,SUMIFS(표1[수금액(V+)],표1[매장코드],B65,표1[년],피벗값_구분!$X$3,표1[월],"&gt;="&amp;피벗값_구분!$X$4,표1[월],"&lt;="&amp;피벗값_구분!$X$5)),0)</f>
        <v>104360664</v>
      </c>
      <c r="I65" s="22">
        <f t="shared" si="8"/>
        <v>0.84000003863524852</v>
      </c>
      <c r="J65" s="20">
        <f>IFERROR(IF(B65="",0,SUMIFS(표1[생산원가(V-)],표1[매장코드],B65,표1[년],피벗값_구분!$X$2,표1[월],"&gt;="&amp;피벗값_구분!$X$4,표1[월],"&lt;="&amp;피벗값_구분!$X$5)),0)</f>
        <v>38970265</v>
      </c>
      <c r="K65" s="21">
        <f>IFERROR(IF(B65="",0,SUMIFS(표1[생산원가(V-)],표1[매장코드],B65,표1[년],피벗값_구분!$X$3,표1[월],"&gt;="&amp;피벗값_구분!$X$4,표1[월],"&lt;="&amp;피벗값_구분!$X$5)),0)</f>
        <v>44713049</v>
      </c>
      <c r="L65" s="23">
        <f t="shared" si="9"/>
        <v>2.5259837763163135</v>
      </c>
      <c r="M65" s="20">
        <f>IFERROR(IF(B65="",0,SUMIFS(표1[총경비],표1[매장코드],B65,표1[년],피벗값_구분!$X$2,표1[월],"&gt;="&amp;피벗값_구분!$X$4,표1[월],"&lt;="&amp;피벗값_구분!$X$5)),0)</f>
        <v>25566080</v>
      </c>
      <c r="N65" s="21">
        <f>IFERROR(IF(B65="",0,SUMIFS(표1[총경비],표1[매장코드],B65,표1[년],피벗값_구분!$X$3,표1[월],"&gt;="&amp;피벗값_구분!$X$4,표1[월],"&lt;="&amp;피벗값_구분!$X$5)),0)</f>
        <v>26963300</v>
      </c>
      <c r="O65" s="24">
        <f t="shared" si="10"/>
        <v>0.21702787404393858</v>
      </c>
      <c r="P65" s="20">
        <f>IFERROR(IF(B65="",0,SUMIFS(표1[영업이익(V-)],표1[매장코드],B65,표1[년],피벗값_구분!$X$2,표1[월],"&gt;="&amp;피벗값_구분!$X$4,표1[월],"&lt;="&amp;피벗값_구분!$X$5)),0)</f>
        <v>39142449</v>
      </c>
      <c r="Q65" s="21">
        <f>IFERROR(IF(B65="",0,SUMIFS(표1[영업이익(V-)],표1[매장코드],B65,표1[년],피벗값_구분!$X$3,표1[월],"&gt;="&amp;피벗값_구분!$X$4,표1[월],"&lt;="&amp;피벗값_구분!$X$5)),0)</f>
        <v>50160282</v>
      </c>
      <c r="R65" s="24">
        <f t="shared" si="11"/>
        <v>0.44411467811042726</v>
      </c>
      <c r="S65" s="24">
        <f t="shared" si="6"/>
        <v>1.0354678563443397E-2</v>
      </c>
      <c r="T65" s="25">
        <f t="shared" si="12"/>
        <v>11017833</v>
      </c>
    </row>
    <row r="66" spans="2:20" ht="14.25" customHeight="1">
      <c r="B66" s="18" t="str">
        <f>IFERROR(INDEX(구분!$B:$B,MATCH(61,구분!$E:$E,0)),"")</f>
        <v>05601</v>
      </c>
      <c r="C66" s="99" t="str">
        <f>IFERROR(VLOOKUP(B66,구분!$B:$C,2,0),"")</f>
        <v>현대아울렛대전점</v>
      </c>
      <c r="D66" s="5">
        <f>IFERROR(IF(B66="",0,SUMIFS(표1[매출금액],표1[매장코드],B66,표1[년],피벗값_구분!$X$2,표1[월],"&gt;="&amp;피벗값_구분!$X$4,표1[월],"&lt;="&amp;피벗값_구분!$X$5)),0)</f>
        <v>400482450</v>
      </c>
      <c r="E66" s="5">
        <f>IFERROR(IF(B66="",0,SUMIFS(표1[매출금액],표1[매장코드],B66,표1[년],피벗값_구분!$X$3,표1[월],"&gt;="&amp;피벗값_구분!$X$4,표1[월],"&lt;="&amp;피벗값_구분!$X$5)),0)</f>
        <v>440031600</v>
      </c>
      <c r="F66" s="19">
        <f t="shared" si="7"/>
        <v>9.8753765614448277E-2</v>
      </c>
      <c r="G66" s="20">
        <f>IFERROR(IF(B66="",0,SUMIFS(표1[수금액(V+)],표1[매장코드],B66,표1[년],피벗값_구분!$X$2,표1[월],"&gt;="&amp;피벗값_구분!$X$4,표1[월],"&lt;="&amp;피벗값_구분!$X$5)),0)</f>
        <v>308371706</v>
      </c>
      <c r="H66" s="21">
        <f>IFERROR(IF(B66="",0,SUMIFS(표1[수금액(V+)],표1[매장코드],B66,표1[년],피벗값_구분!$X$3,표1[월],"&gt;="&amp;피벗값_구분!$X$4,표1[월],"&lt;="&amp;피벗값_구분!$X$5)),0)</f>
        <v>338824540</v>
      </c>
      <c r="I66" s="22">
        <f t="shared" si="8"/>
        <v>0.77000047269332472</v>
      </c>
      <c r="J66" s="20">
        <f>IFERROR(IF(B66="",0,SUMIFS(표1[생산원가(V-)],표1[매장코드],B66,표1[년],피벗값_구분!$X$2,표1[월],"&gt;="&amp;피벗값_구분!$X$4,표1[월],"&lt;="&amp;피벗값_구분!$X$5)),0)</f>
        <v>129793507</v>
      </c>
      <c r="K66" s="21">
        <f>IFERROR(IF(B66="",0,SUMIFS(표1[생산원가(V-)],표1[매장코드],B66,표1[년],피벗값_구분!$X$3,표1[월],"&gt;="&amp;피벗값_구분!$X$4,표1[월],"&lt;="&amp;피벗값_구분!$X$5)),0)</f>
        <v>132576019</v>
      </c>
      <c r="L66" s="23">
        <f t="shared" si="9"/>
        <v>3.0173535929806978</v>
      </c>
      <c r="M66" s="20">
        <f>IFERROR(IF(B66="",0,SUMIFS(표1[총경비],표1[매장코드],B66,표1[년],피벗값_구분!$X$2,표1[월],"&gt;="&amp;피벗값_구분!$X$4,표1[월],"&lt;="&amp;피벗값_구분!$X$5)),0)</f>
        <v>67988160</v>
      </c>
      <c r="N66" s="21">
        <f>IFERROR(IF(B66="",0,SUMIFS(표1[총경비],표1[매장코드],B66,표1[년],피벗값_구분!$X$3,표1[월],"&gt;="&amp;피벗값_구분!$X$4,표1[월],"&lt;="&amp;피벗값_구분!$X$5)),0)</f>
        <v>74790830</v>
      </c>
      <c r="O66" s="24">
        <f t="shared" si="10"/>
        <v>0.16996695237342047</v>
      </c>
      <c r="P66" s="20">
        <f>IFERROR(IF(B66="",0,SUMIFS(표1[영업이익(V-)],표1[매장코드],B66,표1[년],피벗값_구분!$X$2,표1[월],"&gt;="&amp;피벗값_구분!$X$4,표1[월],"&lt;="&amp;피벗값_구분!$X$5)),0)</f>
        <v>150544408</v>
      </c>
      <c r="Q66" s="21">
        <f>IFERROR(IF(B66="",0,SUMIFS(표1[영업이익(V-)],표1[매장코드],B66,표1[년],피벗값_구분!$X$3,표1[월],"&gt;="&amp;피벗값_구분!$X$4,표1[월],"&lt;="&amp;피벗값_구분!$X$5)),0)</f>
        <v>175446290</v>
      </c>
      <c r="R66" s="24">
        <f t="shared" si="11"/>
        <v>0.43858422667826585</v>
      </c>
      <c r="S66" s="24">
        <f t="shared" si="6"/>
        <v>3.6217697861002332E-2</v>
      </c>
      <c r="T66" s="25">
        <f t="shared" si="12"/>
        <v>24901882</v>
      </c>
    </row>
    <row r="67" spans="2:20" ht="14.25" customHeight="1">
      <c r="B67" s="18" t="str">
        <f>IFERROR(INDEX(구분!$B:$B,MATCH(62,구분!$E:$E,0)),"")</f>
        <v>05602</v>
      </c>
      <c r="C67" s="99" t="str">
        <f>IFERROR(VLOOKUP(B67,구분!$B:$C,2,0),"")</f>
        <v>현대아울렛남양주점</v>
      </c>
      <c r="D67" s="5">
        <f>IFERROR(IF(B67="",0,SUMIFS(표1[매출금액],표1[매장코드],B67,표1[년],피벗값_구분!$X$2,표1[월],"&gt;="&amp;피벗값_구분!$X$4,표1[월],"&lt;="&amp;피벗값_구분!$X$5)),0)</f>
        <v>437336580</v>
      </c>
      <c r="E67" s="5">
        <f>IFERROR(IF(B67="",0,SUMIFS(표1[매출금액],표1[매장코드],B67,표1[년],피벗값_구분!$X$3,표1[월],"&gt;="&amp;피벗값_구분!$X$4,표1[월],"&lt;="&amp;피벗값_구분!$X$5)),0)</f>
        <v>480212540</v>
      </c>
      <c r="F67" s="19">
        <f t="shared" si="7"/>
        <v>9.8038814864285992E-2</v>
      </c>
      <c r="G67" s="20">
        <f>IFERROR(IF(B67="",0,SUMIFS(표1[수금액(V+)],표1[매장코드],B67,표1[년],피벗값_구분!$X$2,표1[월],"&gt;="&amp;피벗값_구분!$X$4,표1[월],"&lt;="&amp;피벗값_구분!$X$5)),0)</f>
        <v>336749442</v>
      </c>
      <c r="H67" s="21">
        <f>IFERROR(IF(B67="",0,SUMIFS(표1[수금액(V+)],표1[매장코드],B67,표1[년],피벗값_구분!$X$3,표1[월],"&gt;="&amp;피벗값_구분!$X$4,표1[월],"&lt;="&amp;피벗값_구분!$X$5)),0)</f>
        <v>369763877</v>
      </c>
      <c r="I67" s="22">
        <f t="shared" si="8"/>
        <v>0.77000046062937044</v>
      </c>
      <c r="J67" s="20">
        <f>IFERROR(IF(B67="",0,SUMIFS(표1[생산원가(V-)],표1[매장코드],B67,표1[년],피벗값_구분!$X$2,표1[월],"&gt;="&amp;피벗값_구분!$X$4,표1[월],"&lt;="&amp;피벗값_구분!$X$5)),0)</f>
        <v>136720344</v>
      </c>
      <c r="K67" s="21">
        <f>IFERROR(IF(B67="",0,SUMIFS(표1[생산원가(V-)],표1[매장코드],B67,표1[년],피벗값_구분!$X$3,표1[월],"&gt;="&amp;피벗값_구분!$X$4,표1[월],"&lt;="&amp;피벗값_구분!$X$5)),0)</f>
        <v>142751469</v>
      </c>
      <c r="L67" s="23">
        <f t="shared" si="9"/>
        <v>3.0581601548734643</v>
      </c>
      <c r="M67" s="20">
        <f>IFERROR(IF(B67="",0,SUMIFS(표1[총경비],표1[매장코드],B67,표1[년],피벗값_구분!$X$2,표1[월],"&gt;="&amp;피벗값_구분!$X$4,표1[월],"&lt;="&amp;피벗값_구분!$X$5)),0)</f>
        <v>56858890</v>
      </c>
      <c r="N67" s="21">
        <f>IFERROR(IF(B67="",0,SUMIFS(표1[총경비],표1[매장코드],B67,표1[년],피벗값_구분!$X$3,표1[월],"&gt;="&amp;피벗값_구분!$X$4,표1[월],"&lt;="&amp;피벗값_구분!$X$5)),0)</f>
        <v>62407820</v>
      </c>
      <c r="O67" s="24">
        <f t="shared" si="10"/>
        <v>0.12995874701647733</v>
      </c>
      <c r="P67" s="20">
        <f>IFERROR(IF(B67="",0,SUMIFS(표1[영업이익(V-)],표1[매장코드],B67,표1[년],피벗값_구분!$X$2,표1[월],"&gt;="&amp;피벗값_구분!$X$4,표1[월],"&lt;="&amp;피벗값_구분!$X$5)),0)</f>
        <v>169415512</v>
      </c>
      <c r="Q67" s="21">
        <f>IFERROR(IF(B67="",0,SUMIFS(표1[영업이익(V-)],표1[매장코드],B67,표1[년],피벗값_구분!$X$3,표1[월],"&gt;="&amp;피벗값_구분!$X$4,표1[월],"&lt;="&amp;피벗값_구분!$X$5)),0)</f>
        <v>193397511</v>
      </c>
      <c r="R67" s="24">
        <f t="shared" si="11"/>
        <v>0.44300646980189234</v>
      </c>
      <c r="S67" s="24">
        <f t="shared" si="6"/>
        <v>3.9923401175755123E-2</v>
      </c>
      <c r="T67" s="25">
        <f t="shared" si="12"/>
        <v>23981999</v>
      </c>
    </row>
    <row r="68" spans="2:20" ht="14.25" hidden="1" customHeight="1">
      <c r="B68" s="18" t="str">
        <f>IFERROR(INDEX(구분!$B:$B,MATCH(63,구분!$E:$E,0)),"")</f>
        <v/>
      </c>
      <c r="C68" s="99" t="str">
        <f>IFERROR(VLOOKUP(B68,구분!$B:$C,2,0),"")</f>
        <v/>
      </c>
      <c r="D68" s="5">
        <f>IFERROR(IF(B68="",0,SUMIFS(표1[매출금액],표1[매장코드],B68,표1[년],피벗값_구분!$X$2,표1[월],"&gt;="&amp;피벗값_구분!$X$4,표1[월],"&lt;="&amp;피벗값_구분!$X$5)),0)</f>
        <v>0</v>
      </c>
      <c r="E68" s="5">
        <f>IFERROR(IF(B68="",0,SUMIFS(표1[매출금액],표1[매장코드],B68,표1[년],피벗값_구분!$X$3,표1[월],"&gt;="&amp;피벗값_구분!$X$4,표1[월],"&lt;="&amp;피벗값_구분!$X$5)),0)</f>
        <v>0</v>
      </c>
      <c r="F68" s="19" t="str">
        <f t="shared" si="7"/>
        <v/>
      </c>
      <c r="G68" s="20">
        <f>IFERROR(IF(B68="",0,SUMIFS(표1[수금액(V+)],표1[매장코드],B68,표1[년],피벗값_구분!$X$2,표1[월],"&gt;="&amp;피벗값_구분!$X$4,표1[월],"&lt;="&amp;피벗값_구분!$X$5)),0)</f>
        <v>0</v>
      </c>
      <c r="H68" s="21">
        <f>IFERROR(IF(B68="",0,SUMIFS(표1[수금액(V+)],표1[매장코드],B68,표1[년],피벗값_구분!$X$3,표1[월],"&gt;="&amp;피벗값_구분!$X$4,표1[월],"&lt;="&amp;피벗값_구분!$X$5)),0)</f>
        <v>0</v>
      </c>
      <c r="I68" s="22" t="str">
        <f t="shared" si="8"/>
        <v/>
      </c>
      <c r="J68" s="20">
        <f>IFERROR(IF(B68="",0,SUMIFS(표1[생산원가(V-)],표1[매장코드],B68,표1[년],피벗값_구분!$X$2,표1[월],"&gt;="&amp;피벗값_구분!$X$4,표1[월],"&lt;="&amp;피벗값_구분!$X$5)),0)</f>
        <v>0</v>
      </c>
      <c r="K68" s="21">
        <f>IFERROR(IF(B68="",0,SUMIFS(표1[생산원가(V-)],표1[매장코드],B68,표1[년],피벗값_구분!$X$3,표1[월],"&gt;="&amp;피벗값_구분!$X$4,표1[월],"&lt;="&amp;피벗값_구분!$X$5)),0)</f>
        <v>0</v>
      </c>
      <c r="L68" s="23" t="str">
        <f t="shared" si="9"/>
        <v/>
      </c>
      <c r="M68" s="20">
        <f>IFERROR(IF(B68="",0,SUMIFS(표1[총경비],표1[매장코드],B68,표1[년],피벗값_구분!$X$2,표1[월],"&gt;="&amp;피벗값_구분!$X$4,표1[월],"&lt;="&amp;피벗값_구분!$X$5)),0)</f>
        <v>0</v>
      </c>
      <c r="N68" s="21">
        <f>IFERROR(IF(B68="",0,SUMIFS(표1[총경비],표1[매장코드],B68,표1[년],피벗값_구분!$X$3,표1[월],"&gt;="&amp;피벗값_구분!$X$4,표1[월],"&lt;="&amp;피벗값_구분!$X$5)),0)</f>
        <v>0</v>
      </c>
      <c r="O68" s="24" t="str">
        <f t="shared" si="10"/>
        <v/>
      </c>
      <c r="P68" s="20">
        <f>IFERROR(IF(B68="",0,SUMIFS(표1[영업이익(V-)],표1[매장코드],B68,표1[년],피벗값_구분!$X$2,표1[월],"&gt;="&amp;피벗값_구분!$X$4,표1[월],"&lt;="&amp;피벗값_구분!$X$5)),0)</f>
        <v>0</v>
      </c>
      <c r="Q68" s="21">
        <f>IFERROR(IF(B68="",0,SUMIFS(표1[영업이익(V-)],표1[매장코드],B68,표1[년],피벗값_구분!$X$3,표1[월],"&gt;="&amp;피벗값_구분!$X$4,표1[월],"&lt;="&amp;피벗값_구분!$X$5)),0)</f>
        <v>0</v>
      </c>
      <c r="R68" s="24" t="str">
        <f t="shared" si="11"/>
        <v/>
      </c>
      <c r="S68" s="24" t="str">
        <f>IFERROR(IF(B68="","",Q68/#REF!),"")</f>
        <v/>
      </c>
      <c r="T68" s="25" t="str">
        <f t="shared" si="12"/>
        <v/>
      </c>
    </row>
    <row r="69" spans="2:20" ht="15" hidden="1" customHeight="1">
      <c r="B69" s="18" t="str">
        <f>IFERROR(INDEX(구분!$B:$B,MATCH(64,구분!$E:$E,0)),"")</f>
        <v/>
      </c>
      <c r="C69" s="99" t="str">
        <f>IFERROR(VLOOKUP(B69,구분!$B:$C,2,0),"")</f>
        <v/>
      </c>
      <c r="D69" s="5">
        <f>IFERROR(IF(B69="",0,SUMIFS(표1[매출금액],표1[매장코드],B69,표1[년],피벗값_구분!$X$2,표1[월],"&gt;="&amp;피벗값_구분!$X$4,표1[월],"&lt;="&amp;피벗값_구분!$X$5)),0)</f>
        <v>0</v>
      </c>
      <c r="E69" s="5">
        <f>IFERROR(IF(B69="",0,SUMIFS(표1[매출금액],표1[매장코드],B69,표1[년],피벗값_구분!$X$3,표1[월],"&gt;="&amp;피벗값_구분!$X$4,표1[월],"&lt;="&amp;피벗값_구분!$X$5)),0)</f>
        <v>0</v>
      </c>
      <c r="F69" s="19" t="str">
        <f t="shared" si="7"/>
        <v/>
      </c>
      <c r="G69" s="20">
        <f>IFERROR(IF(B69="",0,SUMIFS(표1[수금액(V+)],표1[매장코드],B69,표1[년],피벗값_구분!$X$2,표1[월],"&gt;="&amp;피벗값_구분!$X$4,표1[월],"&lt;="&amp;피벗값_구분!$X$5)),0)</f>
        <v>0</v>
      </c>
      <c r="H69" s="21">
        <f>IFERROR(IF(B69="",0,SUMIFS(표1[수금액(V+)],표1[매장코드],B69,표1[년],피벗값_구분!$X$3,표1[월],"&gt;="&amp;피벗값_구분!$X$4,표1[월],"&lt;="&amp;피벗값_구분!$X$5)),0)</f>
        <v>0</v>
      </c>
      <c r="I69" s="22" t="str">
        <f t="shared" si="8"/>
        <v/>
      </c>
      <c r="J69" s="20">
        <f>IFERROR(IF(B69="",0,SUMIFS(표1[생산원가(V-)],표1[매장코드],B69,표1[년],피벗값_구분!$X$2,표1[월],"&gt;="&amp;피벗값_구분!$X$4,표1[월],"&lt;="&amp;피벗값_구분!$X$5)),0)</f>
        <v>0</v>
      </c>
      <c r="K69" s="21">
        <f>IFERROR(IF(B69="",0,SUMIFS(표1[생산원가(V-)],표1[매장코드],B69,표1[년],피벗값_구분!$X$3,표1[월],"&gt;="&amp;피벗값_구분!$X$4,표1[월],"&lt;="&amp;피벗값_구분!$X$5)),0)</f>
        <v>0</v>
      </c>
      <c r="L69" s="23" t="str">
        <f t="shared" si="9"/>
        <v/>
      </c>
      <c r="M69" s="20">
        <f>IFERROR(IF(B69="",0,SUMIFS(표1[총경비],표1[매장코드],B69,표1[년],피벗값_구분!$X$2,표1[월],"&gt;="&amp;피벗값_구분!$X$4,표1[월],"&lt;="&amp;피벗값_구분!$X$5)),0)</f>
        <v>0</v>
      </c>
      <c r="N69" s="21">
        <f>IFERROR(IF(B69="",0,SUMIFS(표1[총경비],표1[매장코드],B69,표1[년],피벗값_구분!$X$3,표1[월],"&gt;="&amp;피벗값_구분!$X$4,표1[월],"&lt;="&amp;피벗값_구분!$X$5)),0)</f>
        <v>0</v>
      </c>
      <c r="O69" s="24" t="str">
        <f t="shared" si="10"/>
        <v/>
      </c>
      <c r="P69" s="20">
        <f>IFERROR(IF(B69="",0,SUMIFS(표1[영업이익(V-)],표1[매장코드],B69,표1[년],피벗값_구분!$X$2,표1[월],"&gt;="&amp;피벗값_구분!$X$4,표1[월],"&lt;="&amp;피벗값_구분!$X$5)),0)</f>
        <v>0</v>
      </c>
      <c r="Q69" s="21">
        <f>IFERROR(IF(B69="",0,SUMIFS(표1[영업이익(V-)],표1[매장코드],B69,표1[년],피벗값_구분!$X$3,표1[월],"&gt;="&amp;피벗값_구분!$X$4,표1[월],"&lt;="&amp;피벗값_구분!$X$5)),0)</f>
        <v>0</v>
      </c>
      <c r="R69" s="24" t="str">
        <f t="shared" si="11"/>
        <v/>
      </c>
      <c r="S69" s="24" t="str">
        <f>IFERROR(IF(B69="","",Q69/#REF!),"")</f>
        <v/>
      </c>
      <c r="T69" s="25" t="str">
        <f t="shared" si="12"/>
        <v/>
      </c>
    </row>
    <row r="70" spans="2:20" ht="14.25" customHeight="1">
      <c r="B70" s="123" t="s">
        <v>22</v>
      </c>
      <c r="C70" s="26"/>
      <c r="D70" s="27">
        <f>SUM(D6:D69)</f>
        <v>14422510974</v>
      </c>
      <c r="E70" s="27">
        <f>SUM(E6:E69)</f>
        <v>15777050580</v>
      </c>
      <c r="F70" s="28">
        <f>IFERROR((E70-D70)/D70,"")</f>
        <v>9.3918431294098451E-2</v>
      </c>
      <c r="G70" s="27">
        <f t="shared" ref="G70:H70" si="13">SUM(G6:G69)</f>
        <v>9595031940</v>
      </c>
      <c r="H70" s="27">
        <f t="shared" si="13"/>
        <v>10388921006</v>
      </c>
      <c r="I70" s="28">
        <f>IFERROR(H70/E70,"")</f>
        <v>0.65848308930248733</v>
      </c>
      <c r="J70" s="27">
        <f>SUM(J6:J69)</f>
        <v>4474694123</v>
      </c>
      <c r="K70" s="27">
        <f>SUM(K6:K69)</f>
        <v>4600259340</v>
      </c>
      <c r="L70" s="29">
        <f>IFERROR(E70/1.1/K70,"")</f>
        <v>3.1178184085911673</v>
      </c>
      <c r="M70" s="27">
        <f>SUM(M6:M69)</f>
        <v>2219504148</v>
      </c>
      <c r="N70" s="27">
        <f>SUM(N6:N69)</f>
        <v>2385842435</v>
      </c>
      <c r="O70" s="30">
        <f>IFERROR(N70/E70,"")</f>
        <v>0.15122233543603181</v>
      </c>
      <c r="P70" s="27">
        <f>SUM(P6:P69)</f>
        <v>4248062190</v>
      </c>
      <c r="Q70" s="31">
        <f>SUM(Q6:Q69)</f>
        <v>4844214303</v>
      </c>
      <c r="R70" s="30">
        <f>IFERROR(Q70/(E70/1.1),"")</f>
        <v>0.33774600051386794</v>
      </c>
      <c r="S70" s="30">
        <f>SUM(S6:S67)</f>
        <v>1.0000000000000004</v>
      </c>
      <c r="T70" s="32">
        <f>Q70-P70</f>
        <v>596152113</v>
      </c>
    </row>
    <row r="71" spans="2:20" s="11" customFormat="1" ht="14.25" customHeight="1"/>
    <row r="72" spans="2:20" s="11" customFormat="1" ht="14.25" customHeight="1"/>
    <row r="73" spans="2:20" s="11" customFormat="1" ht="14.25" customHeight="1"/>
    <row r="74" spans="2:20" s="11" customFormat="1" ht="14.25" customHeight="1"/>
    <row r="75" spans="2:20" s="11" customFormat="1" ht="14.25" customHeight="1"/>
    <row r="76" spans="2:20" s="11" customFormat="1" ht="14.25" customHeight="1"/>
    <row r="77" spans="2:20" s="11" customFormat="1" ht="14.25" customHeight="1"/>
    <row r="78" spans="2:20" s="11" customFormat="1" ht="14.25" customHeight="1"/>
    <row r="79" spans="2:20" s="11" customFormat="1" ht="14.25" customHeight="1"/>
    <row r="80" spans="2:20" s="11" customFormat="1" ht="14.25" customHeight="1"/>
    <row r="81" s="11" customFormat="1" ht="14.25" customHeight="1"/>
    <row r="82" s="11" customFormat="1" ht="14.25" customHeight="1"/>
    <row r="83" s="11" customFormat="1" ht="14.25" customHeight="1"/>
    <row r="84" s="11" customFormat="1" ht="14.25" customHeight="1"/>
    <row r="85" s="11" customFormat="1" ht="14.25" customHeight="1"/>
    <row r="86" s="11" customFormat="1" ht="14.25" customHeight="1"/>
    <row r="87" s="11" customFormat="1" ht="14.25" customHeight="1"/>
    <row r="88" s="11" customFormat="1" ht="14.25" customHeight="1"/>
    <row r="89" s="11" customFormat="1" ht="14.25" customHeight="1"/>
    <row r="90" s="11" customFormat="1" ht="14.25" customHeight="1"/>
    <row r="91" s="11" customFormat="1" ht="14.25" customHeight="1"/>
    <row r="92" s="11" customFormat="1" ht="14.25" customHeight="1"/>
    <row r="93" s="11" customFormat="1" ht="14.25" customHeight="1"/>
    <row r="94" s="11" customFormat="1" ht="14.25" customHeight="1"/>
    <row r="95" s="11" customFormat="1" ht="14.25" customHeight="1"/>
    <row r="96" s="11" customFormat="1" ht="14.25" customHeight="1"/>
    <row r="97" s="11" customFormat="1" ht="14.25" customHeight="1"/>
    <row r="98" s="11" customFormat="1" ht="14.25" customHeight="1"/>
    <row r="99" s="11" customFormat="1" ht="14.25" customHeight="1"/>
    <row r="100" s="11" customFormat="1" ht="14.25" customHeight="1"/>
    <row r="101" s="11" customFormat="1" ht="14.25" customHeight="1"/>
    <row r="102" s="11" customFormat="1" ht="14.25" customHeight="1"/>
    <row r="103" s="11" customFormat="1" ht="14.25" customHeight="1"/>
    <row r="104" s="11" customFormat="1" ht="14.25" customHeight="1"/>
    <row r="105" s="11" customFormat="1" ht="14.25" customHeight="1"/>
    <row r="106" s="11" customFormat="1" ht="14.25" customHeight="1"/>
    <row r="107" s="11" customFormat="1" ht="14.25" customHeight="1"/>
    <row r="108" s="11" customFormat="1" ht="14.25" customHeight="1"/>
    <row r="109" s="11" customFormat="1" ht="14.25" customHeight="1"/>
    <row r="110" s="11" customFormat="1" ht="14.25" customHeight="1"/>
    <row r="111" s="11" customFormat="1" ht="14.25" customHeight="1"/>
    <row r="112" s="11" customFormat="1" ht="14.25" customHeight="1"/>
    <row r="113" s="11" customFormat="1" ht="14.25" customHeight="1"/>
  </sheetData>
  <mergeCells count="6">
    <mergeCell ref="B2:T2"/>
    <mergeCell ref="D4:F4"/>
    <mergeCell ref="G4:I4"/>
    <mergeCell ref="J4:L4"/>
    <mergeCell ref="M4:O4"/>
    <mergeCell ref="P4:T4"/>
  </mergeCells>
  <phoneticPr fontId="25" type="noConversion"/>
  <printOptions horizontalCentered="1"/>
  <pageMargins left="0.15763888888888899" right="7.8472222222222193E-2" top="1.53541666666667" bottom="0.118055555555556" header="0.511811023622047" footer="0.511811023622047"/>
  <pageSetup paperSize="8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AA84"/>
    <pageSetUpPr fitToPage="1"/>
  </sheetPr>
  <dimension ref="A1:X111"/>
  <sheetViews>
    <sheetView zoomScaleNormal="100" workbookViewId="0">
      <pane xSplit="3" ySplit="5" topLeftCell="D6" activePane="bottomRight" state="frozen"/>
      <selection activeCell="L27" sqref="L27"/>
      <selection pane="topRight" activeCell="L27" sqref="L27"/>
      <selection pane="bottomLeft" activeCell="L27" sqref="L27"/>
      <selection pane="bottomRight" activeCell="H12" sqref="H12"/>
    </sheetView>
  </sheetViews>
  <sheetFormatPr defaultColWidth="8.8984375" defaultRowHeight="14.4"/>
  <cols>
    <col min="1" max="1" width="8.8984375" style="11"/>
    <col min="2" max="2" width="6.59765625" style="12" customWidth="1"/>
    <col min="3" max="3" width="12.59765625" style="12" customWidth="1"/>
    <col min="4" max="4" width="9.69921875" style="12" customWidth="1"/>
    <col min="5" max="5" width="8.796875" style="12" customWidth="1"/>
    <col min="6" max="6" width="7.796875" style="12" customWidth="1"/>
    <col min="7" max="7" width="8.796875" style="12" customWidth="1"/>
    <col min="8" max="8" width="8.59765625" style="12" customWidth="1"/>
    <col min="9" max="9" width="7.796875" style="12" customWidth="1"/>
    <col min="10" max="10" width="8.796875" style="12" customWidth="1"/>
    <col min="11" max="11" width="9" style="12" customWidth="1"/>
    <col min="12" max="12" width="7.796875" style="12" customWidth="1"/>
    <col min="13" max="13" width="8.796875" style="12" customWidth="1"/>
    <col min="14" max="14" width="8.59765625" style="12" customWidth="1"/>
    <col min="15" max="15" width="7.796875" style="12" customWidth="1"/>
    <col min="16" max="16" width="8.796875" style="12" customWidth="1"/>
    <col min="17" max="17" width="9" style="12" customWidth="1"/>
    <col min="18" max="20" width="7.796875" style="12" customWidth="1"/>
    <col min="21" max="24" width="8.8984375" style="11" hidden="1"/>
    <col min="25" max="16384" width="8.8984375" style="12"/>
  </cols>
  <sheetData>
    <row r="1" spans="1:24" s="11" customFormat="1" ht="14.25" customHeight="1"/>
    <row r="2" spans="1:24" s="11" customFormat="1" ht="22.5" customHeight="1">
      <c r="B2" s="124" t="s">
        <v>29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</row>
    <row r="3" spans="1:24" s="11" customFormat="1" ht="15" customHeight="1">
      <c r="L3" s="33"/>
      <c r="R3" s="33"/>
      <c r="T3" s="97" t="s">
        <v>30</v>
      </c>
      <c r="V3" s="98" t="s">
        <v>224</v>
      </c>
    </row>
    <row r="4" spans="1:24" s="2" customFormat="1" ht="15" customHeight="1">
      <c r="A4" s="1"/>
      <c r="B4" s="13" t="str">
        <f>피벗값_구분!B4</f>
        <v>(1~5월)</v>
      </c>
      <c r="C4" s="34"/>
      <c r="D4" s="129" t="s">
        <v>4</v>
      </c>
      <c r="E4" s="129"/>
      <c r="F4" s="129"/>
      <c r="G4" s="129" t="s">
        <v>5</v>
      </c>
      <c r="H4" s="129"/>
      <c r="I4" s="129"/>
      <c r="J4" s="129" t="s">
        <v>6</v>
      </c>
      <c r="K4" s="129"/>
      <c r="L4" s="129"/>
      <c r="M4" s="129" t="s">
        <v>7</v>
      </c>
      <c r="N4" s="129"/>
      <c r="O4" s="129"/>
      <c r="P4" s="130" t="s">
        <v>8</v>
      </c>
      <c r="Q4" s="130"/>
      <c r="R4" s="130"/>
      <c r="S4" s="130"/>
      <c r="T4" s="130"/>
      <c r="U4" s="1"/>
      <c r="V4" s="1"/>
      <c r="W4" s="1"/>
      <c r="X4" s="1"/>
    </row>
    <row r="5" spans="1:24" s="17" customFormat="1" ht="28.5" customHeight="1">
      <c r="A5" s="15"/>
      <c r="B5" s="116" t="s">
        <v>18</v>
      </c>
      <c r="C5" s="16" t="s">
        <v>32</v>
      </c>
      <c r="D5" s="16">
        <v>2025</v>
      </c>
      <c r="E5" s="16">
        <v>2026</v>
      </c>
      <c r="F5" s="117" t="s">
        <v>33</v>
      </c>
      <c r="G5" s="16">
        <v>2025</v>
      </c>
      <c r="H5" s="16">
        <v>2026</v>
      </c>
      <c r="I5" s="117" t="s">
        <v>34</v>
      </c>
      <c r="J5" s="16">
        <v>2025</v>
      </c>
      <c r="K5" s="16">
        <v>2026</v>
      </c>
      <c r="L5" s="117" t="s">
        <v>35</v>
      </c>
      <c r="M5" s="16">
        <v>2025</v>
      </c>
      <c r="N5" s="16">
        <v>2026</v>
      </c>
      <c r="O5" s="117" t="s">
        <v>36</v>
      </c>
      <c r="P5" s="16">
        <v>2025</v>
      </c>
      <c r="Q5" s="16">
        <v>2026</v>
      </c>
      <c r="R5" s="117" t="s">
        <v>37</v>
      </c>
      <c r="S5" s="117" t="s">
        <v>38</v>
      </c>
      <c r="T5" s="118" t="s">
        <v>39</v>
      </c>
      <c r="U5" s="15"/>
      <c r="V5" s="15" t="s">
        <v>225</v>
      </c>
      <c r="W5" s="15"/>
      <c r="X5" s="15"/>
    </row>
    <row r="6" spans="1:24" ht="14.25" customHeight="1">
      <c r="B6" s="35" t="str">
        <f>IFERROR(IF(U6="","",INDEX('피벗값_매장명(동일)'!B:B,U6)),"")</f>
        <v>05602</v>
      </c>
      <c r="C6" s="40" t="str">
        <f>IFERROR(IF(U6="","",INDEX('피벗값_매장명(동일)'!C:C,U6)),"")</f>
        <v>현대아울렛남양주점</v>
      </c>
      <c r="D6" s="36">
        <f>IFERROR(IF(U6="","",INDEX('피벗값_매장명(동일)'!D:D,U6)),"")</f>
        <v>437336580</v>
      </c>
      <c r="E6" s="36">
        <f>IFERROR(IF(U6="","",INDEX('피벗값_매장명(동일)'!E:E,U6)),"")</f>
        <v>480212540</v>
      </c>
      <c r="F6" s="37">
        <f>IFERROR(IF(U6="","",INDEX('피벗값_매장명(동일)'!F:F,U6)),"")</f>
        <v>9.8038814864285992E-2</v>
      </c>
      <c r="G6" s="36">
        <f>IFERROR(IF(U6="","",INDEX('피벗값_매장명(동일)'!G:G,U6)),"")</f>
        <v>336749442</v>
      </c>
      <c r="H6" s="36">
        <f>IFERROR(IF(U6="","",INDEX('피벗값_매장명(동일)'!H:H,U6)),"")</f>
        <v>369763877</v>
      </c>
      <c r="I6" s="37">
        <f>IFERROR(IF(U6="","",INDEX('피벗값_매장명(동일)'!I:I,U6)),"")</f>
        <v>0.77000046062937044</v>
      </c>
      <c r="J6" s="36">
        <f>IFERROR(IF(U6="","",INDEX('피벗값_매장명(동일)'!J:J,U6)),"")</f>
        <v>136720344</v>
      </c>
      <c r="K6" s="36">
        <f>IFERROR(IF(U6="","",INDEX('피벗값_매장명(동일)'!K:K,U6)),"")</f>
        <v>142751469</v>
      </c>
      <c r="L6" s="38">
        <f>IFERROR(IF(U6="","",INDEX('피벗값_매장명(동일)'!L:L,U6)),"")</f>
        <v>3.0581601548734643</v>
      </c>
      <c r="M6" s="36">
        <f>IFERROR(IF(U6="","",INDEX('피벗값_매장명(동일)'!M:M,U6)),"")</f>
        <v>56858890</v>
      </c>
      <c r="N6" s="36">
        <f>IFERROR(IF(U6="","",INDEX('피벗값_매장명(동일)'!N:N,U6)),"")</f>
        <v>62407820</v>
      </c>
      <c r="O6" s="37">
        <f>IFERROR(IF(U6="","",INDEX('피벗값_매장명(동일)'!O:O,U6)),"")</f>
        <v>0.12995874701647733</v>
      </c>
      <c r="P6" s="36">
        <f>IFERROR(IF(U6="","",INDEX('피벗값_매장명(동일)'!P:P,U6)),"")</f>
        <v>169415512</v>
      </c>
      <c r="Q6" s="36">
        <f>IFERROR(IF(U6="","",INDEX('피벗값_매장명(동일)'!Q:Q,U6)),"")</f>
        <v>193397511</v>
      </c>
      <c r="R6" s="37">
        <f>IFERROR(IF(U6="","",INDEX('피벗값_매장명(동일)'!R:R,U6)),"")</f>
        <v>0.44300646980189234</v>
      </c>
      <c r="S6" s="37">
        <f>IFERROR(IF(U6="","",INDEX('피벗값_매장명(동일)'!S:S,U6)),"")</f>
        <v>3.9923401175755123E-2</v>
      </c>
      <c r="T6" s="39">
        <f>IFERROR(IF(U6="","",INDEX('피벗값_매장명(동일)'!T:T,U6)),"")</f>
        <v>23981999</v>
      </c>
      <c r="U6" s="119">
        <f>IFERROR(MATCH(LARGE('피벗값_매장명(동일)'!$Q$6:$Q$70,2),'피벗값_매장명(동일)'!$Q$6:$Q$70,0)+6-1,"")</f>
        <v>67</v>
      </c>
    </row>
    <row r="7" spans="1:24" ht="14.25" customHeight="1">
      <c r="B7" s="35" t="str">
        <f>IFERROR(IF(U7="","",INDEX('피벗값_매장명(동일)'!B:B,U7)),"")</f>
        <v>05601</v>
      </c>
      <c r="C7" s="40" t="str">
        <f>IFERROR(IF(U7="","",INDEX('피벗값_매장명(동일)'!C:C,U7)),"")</f>
        <v>현대아울렛대전점</v>
      </c>
      <c r="D7" s="36">
        <f>IFERROR(IF(U7="","",INDEX('피벗값_매장명(동일)'!D:D,U7)),"")</f>
        <v>400482450</v>
      </c>
      <c r="E7" s="36">
        <f>IFERROR(IF(U7="","",INDEX('피벗값_매장명(동일)'!E:E,U7)),"")</f>
        <v>440031600</v>
      </c>
      <c r="F7" s="37">
        <f>IFERROR(IF(U7="","",INDEX('피벗값_매장명(동일)'!F:F,U7)),"")</f>
        <v>9.8753765614448277E-2</v>
      </c>
      <c r="G7" s="36">
        <f>IFERROR(IF(U7="","",INDEX('피벗값_매장명(동일)'!G:G,U7)),"")</f>
        <v>308371706</v>
      </c>
      <c r="H7" s="36">
        <f>IFERROR(IF(U7="","",INDEX('피벗값_매장명(동일)'!H:H,U7)),"")</f>
        <v>338824540</v>
      </c>
      <c r="I7" s="37">
        <f>IFERROR(IF(U7="","",INDEX('피벗값_매장명(동일)'!I:I,U7)),"")</f>
        <v>0.77000047269332472</v>
      </c>
      <c r="J7" s="36">
        <f>IFERROR(IF(U7="","",INDEX('피벗값_매장명(동일)'!J:J,U7)),"")</f>
        <v>129793507</v>
      </c>
      <c r="K7" s="36">
        <f>IFERROR(IF(U7="","",INDEX('피벗값_매장명(동일)'!K:K,U7)),"")</f>
        <v>132576019</v>
      </c>
      <c r="L7" s="38">
        <f>IFERROR(IF(U7="","",INDEX('피벗값_매장명(동일)'!L:L,U7)),"")</f>
        <v>3.0173535929806978</v>
      </c>
      <c r="M7" s="36">
        <f>IFERROR(IF(U7="","",INDEX('피벗값_매장명(동일)'!M:M,U7)),"")</f>
        <v>67988160</v>
      </c>
      <c r="N7" s="36">
        <f>IFERROR(IF(U7="","",INDEX('피벗값_매장명(동일)'!N:N,U7)),"")</f>
        <v>74790830</v>
      </c>
      <c r="O7" s="37">
        <f>IFERROR(IF(U7="","",INDEX('피벗값_매장명(동일)'!O:O,U7)),"")</f>
        <v>0.16996695237342047</v>
      </c>
      <c r="P7" s="36">
        <f>IFERROR(IF(U7="","",INDEX('피벗값_매장명(동일)'!P:P,U7)),"")</f>
        <v>150544408</v>
      </c>
      <c r="Q7" s="36">
        <f>IFERROR(IF(U7="","",INDEX('피벗값_매장명(동일)'!Q:Q,U7)),"")</f>
        <v>175446290</v>
      </c>
      <c r="R7" s="37">
        <f>IFERROR(IF(U7="","",INDEX('피벗값_매장명(동일)'!R:R,U7)),"")</f>
        <v>0.43858422667826585</v>
      </c>
      <c r="S7" s="37">
        <f>IFERROR(IF(U7="","",INDEX('피벗값_매장명(동일)'!S:S,U7)),"")</f>
        <v>3.6217697861002332E-2</v>
      </c>
      <c r="T7" s="39">
        <f>IFERROR(IF(U7="","",INDEX('피벗값_매장명(동일)'!T:T,U7)),"")</f>
        <v>24901882</v>
      </c>
      <c r="U7" s="119">
        <f>IFERROR(MATCH(LARGE('피벗값_매장명(동일)'!$Q$6:$Q$70,3),'피벗값_매장명(동일)'!$Q$6:$Q$70,0)+6-1,"")</f>
        <v>66</v>
      </c>
    </row>
    <row r="8" spans="1:24" ht="14.25" customHeight="1">
      <c r="B8" s="35" t="str">
        <f>IFERROR(IF(U8="","",INDEX('피벗값_매장명(동일)'!B:B,U8)),"")</f>
        <v>00307</v>
      </c>
      <c r="C8" s="40" t="str">
        <f>IFERROR(IF(U8="","",INDEX('피벗값_매장명(동일)'!C:C,U8)),"")</f>
        <v>신세계센텀점</v>
      </c>
      <c r="D8" s="36">
        <f>IFERROR(IF(U8="","",INDEX('피벗값_매장명(동일)'!D:D,U8)),"")</f>
        <v>516728640</v>
      </c>
      <c r="E8" s="36">
        <f>IFERROR(IF(U8="","",INDEX('피벗값_매장명(동일)'!E:E,U8)),"")</f>
        <v>544718680</v>
      </c>
      <c r="F8" s="37">
        <f>IFERROR(IF(U8="","",INDEX('피벗값_매장명(동일)'!F:F,U8)),"")</f>
        <v>5.4167773630662316E-2</v>
      </c>
      <c r="G8" s="36">
        <f>IFERROR(IF(U8="","",INDEX('피벗값_매장명(동일)'!G:G,U8)),"")</f>
        <v>329388259</v>
      </c>
      <c r="H8" s="36">
        <f>IFERROR(IF(U8="","",INDEX('피벗값_매장명(동일)'!H:H,U8)),"")</f>
        <v>345704157</v>
      </c>
      <c r="I8" s="37">
        <f>IFERROR(IF(U8="","",INDEX('피벗값_매장명(동일)'!I:I,U8)),"")</f>
        <v>0.63464714850608761</v>
      </c>
      <c r="J8" s="36">
        <f>IFERROR(IF(U8="","",INDEX('피벗값_매장명(동일)'!J:J,U8)),"")</f>
        <v>166632549</v>
      </c>
      <c r="K8" s="36">
        <f>IFERROR(IF(U8="","",INDEX('피벗값_매장명(동일)'!K:K,U8)),"")</f>
        <v>158261537</v>
      </c>
      <c r="L8" s="38">
        <f>IFERROR(IF(U8="","",INDEX('피벗값_매장명(동일)'!L:L,U8)),"")</f>
        <v>3.1289902106789214</v>
      </c>
      <c r="M8" s="36">
        <f>IFERROR(IF(U8="","",INDEX('피벗값_매장명(동일)'!M:M,U8)),"")</f>
        <v>74903350</v>
      </c>
      <c r="N8" s="36">
        <f>IFERROR(IF(U8="","",INDEX('피벗값_매장명(동일)'!N:N,U8)),"")</f>
        <v>78872520</v>
      </c>
      <c r="O8" s="37">
        <f>IFERROR(IF(U8="","",INDEX('피벗값_매장명(동일)'!O:O,U8)),"")</f>
        <v>0.1447949609512198</v>
      </c>
      <c r="P8" s="36">
        <f>IFERROR(IF(U8="","",INDEX('피벗값_매장명(동일)'!P:P,U8)),"")</f>
        <v>132811323</v>
      </c>
      <c r="Q8" s="36">
        <f>IFERROR(IF(U8="","",INDEX('피벗값_매장명(동일)'!Q:Q,U8)),"")</f>
        <v>156014970</v>
      </c>
      <c r="R8" s="37">
        <f>IFERROR(IF(U8="","",INDEX('피벗값_매장명(동일)'!R:R,U8)),"")</f>
        <v>0.31505522630507188</v>
      </c>
      <c r="S8" s="37">
        <f>IFERROR(IF(U8="","",INDEX('피벗값_매장명(동일)'!S:S,U8)),"")</f>
        <v>3.2206455008272579E-2</v>
      </c>
      <c r="T8" s="39">
        <f>IFERROR(IF(U8="","",INDEX('피벗값_매장명(동일)'!T:T,U8)),"")</f>
        <v>23203647</v>
      </c>
      <c r="U8" s="119">
        <f>IFERROR(MATCH(LARGE('피벗값_매장명(동일)'!$Q$6:$Q$70,4),'피벗값_매장명(동일)'!$Q$6:$Q$70,0)+6-1,"")</f>
        <v>42</v>
      </c>
    </row>
    <row r="9" spans="1:24" ht="14.25" customHeight="1">
      <c r="B9" s="35" t="str">
        <f>IFERROR(IF(U9="","",INDEX('피벗값_매장명(동일)'!B:B,U9)),"")</f>
        <v>00213</v>
      </c>
      <c r="C9" s="40" t="str">
        <f>IFERROR(IF(U9="","",INDEX('피벗값_매장명(동일)'!C:C,U9)),"")</f>
        <v>현대대구점</v>
      </c>
      <c r="D9" s="36">
        <f>IFERROR(IF(U9="","",INDEX('피벗값_매장명(동일)'!D:D,U9)),"")</f>
        <v>517541563</v>
      </c>
      <c r="E9" s="36">
        <f>IFERROR(IF(U9="","",INDEX('피벗값_매장명(동일)'!E:E,U9)),"")</f>
        <v>558204440</v>
      </c>
      <c r="F9" s="37">
        <f>IFERROR(IF(U9="","",INDEX('피벗값_매장명(동일)'!F:F,U9)),"")</f>
        <v>7.8569297438242661E-2</v>
      </c>
      <c r="G9" s="36">
        <f>IFERROR(IF(U9="","",INDEX('피벗값_매장명(동일)'!G:G,U9)),"")</f>
        <v>331777168</v>
      </c>
      <c r="H9" s="36">
        <f>IFERROR(IF(U9="","",INDEX('피벗값_매장명(동일)'!H:H,U9)),"")</f>
        <v>347852367</v>
      </c>
      <c r="I9" s="37">
        <f>IFERROR(IF(U9="","",INDEX('피벗값_매장명(동일)'!I:I,U9)),"")</f>
        <v>0.62316302428551085</v>
      </c>
      <c r="J9" s="36">
        <f>IFERROR(IF(U9="","",INDEX('피벗값_매장명(동일)'!J:J,U9)),"")</f>
        <v>165191748</v>
      </c>
      <c r="K9" s="36">
        <f>IFERROR(IF(U9="","",INDEX('피벗값_매장명(동일)'!K:K,U9)),"")</f>
        <v>168837125</v>
      </c>
      <c r="L9" s="38">
        <f>IFERROR(IF(U9="","",INDEX('피벗값_매장명(동일)'!L:L,U9)),"")</f>
        <v>3.0056101809254439</v>
      </c>
      <c r="M9" s="36">
        <f>IFERROR(IF(U9="","",INDEX('피벗값_매장명(동일)'!M:M,U9)),"")</f>
        <v>72279750</v>
      </c>
      <c r="N9" s="36">
        <f>IFERROR(IF(U9="","",INDEX('피벗값_매장명(동일)'!N:N,U9)),"")</f>
        <v>77647780</v>
      </c>
      <c r="O9" s="37">
        <f>IFERROR(IF(U9="","",INDEX('피벗값_매장명(동일)'!O:O,U9)),"")</f>
        <v>0.13910276313817926</v>
      </c>
      <c r="P9" s="36">
        <f>IFERROR(IF(U9="","",INDEX('피벗값_매장명(동일)'!P:P,U9)),"")</f>
        <v>136423860</v>
      </c>
      <c r="Q9" s="36">
        <f>IFERROR(IF(U9="","",INDEX('피벗값_매장명(동일)'!Q:Q,U9)),"")</f>
        <v>147392299</v>
      </c>
      <c r="R9" s="37">
        <f>IFERROR(IF(U9="","",INDEX('피벗값_매장명(동일)'!R:R,U9)),"")</f>
        <v>0.2904518797808201</v>
      </c>
      <c r="S9" s="37">
        <f>IFERROR(IF(U9="","",INDEX('피벗값_매장명(동일)'!S:S,U9)),"")</f>
        <v>3.0426461296049725E-2</v>
      </c>
      <c r="T9" s="39">
        <f>IFERROR(IF(U9="","",INDEX('피벗값_매장명(동일)'!T:T,U9)),"")</f>
        <v>10968439</v>
      </c>
      <c r="U9" s="119">
        <f>IFERROR(MATCH(LARGE('피벗값_매장명(동일)'!$Q$6:$Q$70,5),'피벗값_매장명(동일)'!$Q$6:$Q$70,0)+6-1,"")</f>
        <v>33</v>
      </c>
    </row>
    <row r="10" spans="1:24" ht="14.25" customHeight="1">
      <c r="B10" s="35" t="str">
        <f>IFERROR(IF(U10="","",INDEX('피벗값_매장명(동일)'!B:B,U10)),"")</f>
        <v>00304</v>
      </c>
      <c r="C10" s="40" t="str">
        <f>IFERROR(IF(U10="","",INDEX('피벗값_매장명(동일)'!C:C,U10)),"")</f>
        <v>신세계강남점</v>
      </c>
      <c r="D10" s="36">
        <f>IFERROR(IF(U10="","",INDEX('피벗값_매장명(동일)'!D:D,U10)),"")</f>
        <v>401401780</v>
      </c>
      <c r="E10" s="36">
        <f>IFERROR(IF(U10="","",INDEX('피벗값_매장명(동일)'!E:E,U10)),"")</f>
        <v>493837350</v>
      </c>
      <c r="F10" s="37">
        <f>IFERROR(IF(U10="","",INDEX('피벗값_매장명(동일)'!F:F,U10)),"")</f>
        <v>0.23028191354806649</v>
      </c>
      <c r="G10" s="36">
        <f>IFERROR(IF(U10="","",INDEX('피벗값_매장명(동일)'!G:G,U10)),"")</f>
        <v>253229208</v>
      </c>
      <c r="H10" s="36">
        <f>IFERROR(IF(U10="","",INDEX('피벗값_매장명(동일)'!H:H,U10)),"")</f>
        <v>308378470</v>
      </c>
      <c r="I10" s="37">
        <f>IFERROR(IF(U10="","",INDEX('피벗값_매장명(동일)'!I:I,U10)),"")</f>
        <v>0.62445351693224505</v>
      </c>
      <c r="J10" s="36">
        <f>IFERROR(IF(U10="","",INDEX('피벗값_매장명(동일)'!J:J,U10)),"")</f>
        <v>113065366</v>
      </c>
      <c r="K10" s="36">
        <f>IFERROR(IF(U10="","",INDEX('피벗값_매장명(동일)'!K:K,U10)),"")</f>
        <v>133932860</v>
      </c>
      <c r="L10" s="38">
        <f>IFERROR(IF(U10="","",INDEX('피벗값_매장명(동일)'!L:L,U10)),"")</f>
        <v>3.3520007371943334</v>
      </c>
      <c r="M10" s="36">
        <f>IFERROR(IF(U10="","",INDEX('피벗값_매장명(동일)'!M:M,U10)),"")</f>
        <v>38497010</v>
      </c>
      <c r="N10" s="36">
        <f>IFERROR(IF(U10="","",INDEX('피벗값_매장명(동일)'!N:N,U10)),"")</f>
        <v>42298760</v>
      </c>
      <c r="O10" s="37">
        <f>IFERROR(IF(U10="","",INDEX('피벗값_매장명(동일)'!O:O,U10)),"")</f>
        <v>8.5653221652837716E-2</v>
      </c>
      <c r="P10" s="36">
        <f>IFERROR(IF(U10="","",INDEX('피벗값_매장명(동일)'!P:P,U10)),"")</f>
        <v>117143006</v>
      </c>
      <c r="Q10" s="36">
        <f>IFERROR(IF(U10="","",INDEX('피벗값_매장명(동일)'!Q:Q,U10)),"")</f>
        <v>146411203</v>
      </c>
      <c r="R10" s="37">
        <f>IFERROR(IF(U10="","",INDEX('피벗값_매장명(동일)'!R:R,U10)),"")</f>
        <v>0.32612422551676173</v>
      </c>
      <c r="S10" s="37">
        <f>IFERROR(IF(U10="","",INDEX('피벗값_매장명(동일)'!S:S,U10)),"")</f>
        <v>3.0223931858119533E-2</v>
      </c>
      <c r="T10" s="39">
        <f>IFERROR(IF(U10="","",INDEX('피벗값_매장명(동일)'!T:T,U10)),"")</f>
        <v>29268197</v>
      </c>
      <c r="U10" s="119">
        <f>IFERROR(MATCH(LARGE('피벗값_매장명(동일)'!$Q$6:$Q$70,6),'피벗값_매장명(동일)'!$Q$6:$Q$70,0)+6-1,"")</f>
        <v>40</v>
      </c>
    </row>
    <row r="11" spans="1:24" ht="14.25" customHeight="1">
      <c r="B11" s="35" t="str">
        <f>IFERROR(IF(U11="","",INDEX('피벗값_매장명(동일)'!B:B,U11)),"")</f>
        <v>05002</v>
      </c>
      <c r="C11" s="40" t="str">
        <f>IFERROR(IF(U11="","",INDEX('피벗값_매장명(동일)'!C:C,U11)),"")</f>
        <v>롯데아울렛김해점</v>
      </c>
      <c r="D11" s="36">
        <f>IFERROR(IF(U11="","",INDEX('피벗값_매장명(동일)'!D:D,U11)),"")</f>
        <v>414602390</v>
      </c>
      <c r="E11" s="36">
        <f>IFERROR(IF(U11="","",INDEX('피벗값_매장명(동일)'!E:E,U11)),"")</f>
        <v>368846030</v>
      </c>
      <c r="F11" s="37">
        <f>IFERROR(IF(U11="","",INDEX('피벗값_매장명(동일)'!F:F,U11)),"")</f>
        <v>-0.11036202661542785</v>
      </c>
      <c r="G11" s="36">
        <f>IFERROR(IF(U11="","",INDEX('피벗값_매장명(동일)'!G:G,U11)),"")</f>
        <v>317171275</v>
      </c>
      <c r="H11" s="36">
        <f>IFERROR(IF(U11="","",INDEX('피벗값_매장명(동일)'!H:H,U11)),"")</f>
        <v>282167448</v>
      </c>
      <c r="I11" s="37">
        <f>IFERROR(IF(U11="","",INDEX('피벗값_매장명(동일)'!I:I,U11)),"")</f>
        <v>0.7650006372577739</v>
      </c>
      <c r="J11" s="36">
        <f>IFERROR(IF(U11="","",INDEX('피벗값_매장명(동일)'!J:J,U11)),"")</f>
        <v>142433388</v>
      </c>
      <c r="K11" s="36">
        <f>IFERROR(IF(U11="","",INDEX('피벗값_매장명(동일)'!K:K,U11)),"")</f>
        <v>112174202</v>
      </c>
      <c r="L11" s="38">
        <f>IFERROR(IF(U11="","",INDEX('피벗값_매장명(동일)'!L:L,U11)),"")</f>
        <v>2.9892307388758841</v>
      </c>
      <c r="M11" s="36">
        <f>IFERROR(IF(U11="","",INDEX('피벗값_매장명(동일)'!M:M,U11)),"")</f>
        <v>55830830</v>
      </c>
      <c r="N11" s="36">
        <f>IFERROR(IF(U11="","",INDEX('피벗값_매장명(동일)'!N:N,U11)),"")</f>
        <v>49799600</v>
      </c>
      <c r="O11" s="37">
        <f>IFERROR(IF(U11="","",INDEX('피벗값_매장명(동일)'!O:O,U11)),"")</f>
        <v>0.13501460216340136</v>
      </c>
      <c r="P11" s="36">
        <f>IFERROR(IF(U11="","",INDEX('피벗값_매장명(동일)'!P:P,U11)),"")</f>
        <v>145904135</v>
      </c>
      <c r="Q11" s="36">
        <f>IFERROR(IF(U11="","",INDEX('피벗값_매장명(동일)'!Q:Q,U11)),"")</f>
        <v>144341660</v>
      </c>
      <c r="R11" s="37">
        <f>IFERROR(IF(U11="","",INDEX('피벗값_매장명(동일)'!R:R,U11)),"")</f>
        <v>0.4304664089782938</v>
      </c>
      <c r="S11" s="37">
        <f>IFERROR(IF(U11="","",INDEX('피벗값_매장명(동일)'!S:S,U11)),"")</f>
        <v>2.9796712319397154E-2</v>
      </c>
      <c r="T11" s="39">
        <f>IFERROR(IF(U11="","",INDEX('피벗값_매장명(동일)'!T:T,U11)),"")</f>
        <v>-1562475</v>
      </c>
      <c r="U11" s="119">
        <f>IFERROR(MATCH(LARGE('피벗값_매장명(동일)'!$Q$6:$Q$70,7),'피벗값_매장명(동일)'!$Q$6:$Q$70,0)+6-1,"")</f>
        <v>57</v>
      </c>
    </row>
    <row r="12" spans="1:24" ht="14.25" customHeight="1">
      <c r="B12" s="35" t="str">
        <f>IFERROR(IF(U12="","",INDEX('피벗값_매장명(동일)'!B:B,U12)),"")</f>
        <v>00301</v>
      </c>
      <c r="C12" s="40" t="str">
        <f>IFERROR(IF(U12="","",INDEX('피벗값_매장명(동일)'!C:C,U12)),"")</f>
        <v>신세계광주점</v>
      </c>
      <c r="D12" s="36">
        <f>IFERROR(IF(U12="","",INDEX('피벗값_매장명(동일)'!D:D,U12)),"")</f>
        <v>439907700</v>
      </c>
      <c r="E12" s="36">
        <f>IFERROR(IF(U12="","",INDEX('피벗값_매장명(동일)'!E:E,U12)),"")</f>
        <v>457978260</v>
      </c>
      <c r="F12" s="37">
        <f>IFERROR(IF(U12="","",INDEX('피벗값_매장명(동일)'!F:F,U12)),"")</f>
        <v>4.1078071604566141E-2</v>
      </c>
      <c r="G12" s="36">
        <f>IFERROR(IF(U12="","",INDEX('피벗값_매장명(동일)'!G:G,U12)),"")</f>
        <v>281019098</v>
      </c>
      <c r="H12" s="36">
        <f>IFERROR(IF(U12="","",INDEX('피벗값_매장명(동일)'!H:H,U12)),"")</f>
        <v>291525725</v>
      </c>
      <c r="I12" s="37">
        <f>IFERROR(IF(U12="","",INDEX('피벗값_매장명(동일)'!I:I,U12)),"")</f>
        <v>0.63654926546076662</v>
      </c>
      <c r="J12" s="36">
        <f>IFERROR(IF(U12="","",INDEX('피벗값_매장명(동일)'!J:J,U12)),"")</f>
        <v>141178240</v>
      </c>
      <c r="K12" s="36">
        <f>IFERROR(IF(U12="","",INDEX('피벗값_매장명(동일)'!K:K,U12)),"")</f>
        <v>134698533</v>
      </c>
      <c r="L12" s="38">
        <f>IFERROR(IF(U12="","",INDEX('피벗값_매장명(동일)'!L:L,U12)),"")</f>
        <v>3.0909310105647005</v>
      </c>
      <c r="M12" s="36">
        <f>IFERROR(IF(U12="","",INDEX('피벗값_매장명(동일)'!M:M,U12)),"")</f>
        <v>52070900</v>
      </c>
      <c r="N12" s="36">
        <f>IFERROR(IF(U12="","",INDEX('피벗값_매장명(동일)'!N:N,U12)),"")</f>
        <v>55928060</v>
      </c>
      <c r="O12" s="37">
        <f>IFERROR(IF(U12="","",INDEX('피벗값_매장명(동일)'!O:O,U12)),"")</f>
        <v>0.12211946479730282</v>
      </c>
      <c r="P12" s="36">
        <f>IFERROR(IF(U12="","",INDEX('피벗값_매장명(동일)'!P:P,U12)),"")</f>
        <v>114293668</v>
      </c>
      <c r="Q12" s="36">
        <f>IFERROR(IF(U12="","",INDEX('피벗값_매장명(동일)'!Q:Q,U12)),"")</f>
        <v>130324853</v>
      </c>
      <c r="R12" s="37">
        <f>IFERROR(IF(U12="","",INDEX('피벗값_매장명(동일)'!R:R,U12)),"")</f>
        <v>0.31302214716480214</v>
      </c>
      <c r="S12" s="37">
        <f>IFERROR(IF(U12="","",INDEX('피벗값_매장명(동일)'!S:S,U12)),"")</f>
        <v>2.6903197267571424E-2</v>
      </c>
      <c r="T12" s="39">
        <f>IFERROR(IF(U12="","",INDEX('피벗값_매장명(동일)'!T:T,U12)),"")</f>
        <v>16031185</v>
      </c>
      <c r="U12" s="119">
        <f>IFERROR(MATCH(LARGE('피벗값_매장명(동일)'!$Q$6:$Q$70,8),'피벗값_매장명(동일)'!$Q$6:$Q$70,0)+6-1,"")</f>
        <v>38</v>
      </c>
    </row>
    <row r="13" spans="1:24" ht="14.25" customHeight="1">
      <c r="B13" s="35" t="str">
        <f>IFERROR(IF(U13="","",INDEX('피벗값_매장명(동일)'!B:B,U13)),"")</f>
        <v>00219</v>
      </c>
      <c r="C13" s="40" t="str">
        <f>IFERROR(IF(U13="","",INDEX('피벗값_매장명(동일)'!C:C,U13)),"")</f>
        <v>현대판교점</v>
      </c>
      <c r="D13" s="36">
        <f>IFERROR(IF(U13="","",INDEX('피벗값_매장명(동일)'!D:D,U13)),"")</f>
        <v>380260820</v>
      </c>
      <c r="E13" s="36">
        <f>IFERROR(IF(U13="","",INDEX('피벗값_매장명(동일)'!E:E,U13)),"")</f>
        <v>420179870</v>
      </c>
      <c r="F13" s="37">
        <f>IFERROR(IF(U13="","",INDEX('피벗값_매장명(동일)'!F:F,U13)),"")</f>
        <v>0.10497807794134563</v>
      </c>
      <c r="G13" s="36">
        <f>IFERROR(IF(U13="","",INDEX('피벗값_매장명(동일)'!G:G,U13)),"")</f>
        <v>244364105</v>
      </c>
      <c r="H13" s="36">
        <f>IFERROR(IF(U13="","",INDEX('피벗값_매장명(동일)'!H:H,U13)),"")</f>
        <v>261507858</v>
      </c>
      <c r="I13" s="37">
        <f>IFERROR(IF(U13="","",INDEX('피벗값_매장명(동일)'!I:I,U13)),"")</f>
        <v>0.62237121925902827</v>
      </c>
      <c r="J13" s="36">
        <f>IFERROR(IF(U13="","",INDEX('피벗값_매장명(동일)'!J:J,U13)),"")</f>
        <v>110516114</v>
      </c>
      <c r="K13" s="36">
        <f>IFERROR(IF(U13="","",INDEX('피벗값_매장명(동일)'!K:K,U13)),"")</f>
        <v>108564692</v>
      </c>
      <c r="L13" s="38">
        <f>IFERROR(IF(U13="","",INDEX('피벗값_매장명(동일)'!L:L,U13)),"")</f>
        <v>3.5184708118547414</v>
      </c>
      <c r="M13" s="36">
        <f>IFERROR(IF(U13="","",INDEX('피벗값_매장명(동일)'!M:M,U13)),"")</f>
        <v>55290210</v>
      </c>
      <c r="N13" s="36">
        <f>IFERROR(IF(U13="","",INDEX('피벗값_매장명(동일)'!N:N,U13)),"")</f>
        <v>60142760</v>
      </c>
      <c r="O13" s="37">
        <f>IFERROR(IF(U13="","",INDEX('피벗값_매장명(동일)'!O:O,U13)),"")</f>
        <v>0.14313574803095636</v>
      </c>
      <c r="P13" s="36">
        <f>IFERROR(IF(U13="","",INDEX('피벗값_매장명(동일)'!P:P,U13)),"")</f>
        <v>111633072</v>
      </c>
      <c r="Q13" s="36">
        <f>IFERROR(IF(U13="","",INDEX('피벗값_매장명(동일)'!Q:Q,U13)),"")</f>
        <v>129169724</v>
      </c>
      <c r="R13" s="37">
        <f>IFERROR(IF(U13="","",INDEX('피벗값_매장명(동일)'!R:R,U13)),"")</f>
        <v>0.33815683840351518</v>
      </c>
      <c r="S13" s="37">
        <f>IFERROR(IF(U13="","",INDEX('피벗값_매장명(동일)'!S:S,U13)),"")</f>
        <v>2.6664741879814394E-2</v>
      </c>
      <c r="T13" s="39">
        <f>IFERROR(IF(U13="","",INDEX('피벗값_매장명(동일)'!T:T,U13)),"")</f>
        <v>17536652</v>
      </c>
      <c r="U13" s="119">
        <f>IFERROR(MATCH(LARGE('피벗값_매장명(동일)'!$Q$6:$Q$70,9),'피벗값_매장명(동일)'!$Q$6:$Q$70,0)+6-1,"")</f>
        <v>36</v>
      </c>
    </row>
    <row r="14" spans="1:24" ht="14.25" customHeight="1">
      <c r="B14" s="35" t="str">
        <f>IFERROR(IF(U14="","",INDEX('피벗값_매장명(동일)'!B:B,U14)),"")</f>
        <v>00201</v>
      </c>
      <c r="C14" s="40" t="str">
        <f>IFERROR(IF(U14="","",INDEX('피벗값_매장명(동일)'!C:C,U14)),"")</f>
        <v>현대천호점</v>
      </c>
      <c r="D14" s="36">
        <f>IFERROR(IF(U14="","",INDEX('피벗값_매장명(동일)'!D:D,U14)),"")</f>
        <v>459385100</v>
      </c>
      <c r="E14" s="36">
        <f>IFERROR(IF(U14="","",INDEX('피벗값_매장명(동일)'!E:E,U14)),"")</f>
        <v>429974100</v>
      </c>
      <c r="F14" s="37">
        <f>IFERROR(IF(U14="","",INDEX('피벗값_매장명(동일)'!F:F,U14)),"")</f>
        <v>-6.4022537953451253E-2</v>
      </c>
      <c r="G14" s="36">
        <f>IFERROR(IF(U14="","",INDEX('피벗값_매장명(동일)'!G:G,U14)),"")</f>
        <v>296514959</v>
      </c>
      <c r="H14" s="36">
        <f>IFERROR(IF(U14="","",INDEX('피벗값_매장명(동일)'!H:H,U14)),"")</f>
        <v>272071310</v>
      </c>
      <c r="I14" s="37">
        <f>IFERROR(IF(U14="","",INDEX('피벗값_매장명(동일)'!I:I,U14)),"")</f>
        <v>0.63276208962353775</v>
      </c>
      <c r="J14" s="36">
        <f>IFERROR(IF(U14="","",INDEX('피벗값_매장명(동일)'!J:J,U14)),"")</f>
        <v>142519248</v>
      </c>
      <c r="K14" s="36">
        <f>IFERROR(IF(U14="","",INDEX('피벗값_매장명(동일)'!K:K,U14)),"")</f>
        <v>123827362</v>
      </c>
      <c r="L14" s="38">
        <f>IFERROR(IF(U14="","",INDEX('피벗값_매장명(동일)'!L:L,U14)),"")</f>
        <v>3.1566976728014722</v>
      </c>
      <c r="M14" s="36">
        <f>IFERROR(IF(U14="","",INDEX('피벗값_매장명(동일)'!M:M,U14)),"")</f>
        <v>66581120</v>
      </c>
      <c r="N14" s="36">
        <f>IFERROR(IF(U14="","",INDEX('피벗값_매장명(동일)'!N:N,U14)),"")</f>
        <v>62259800</v>
      </c>
      <c r="O14" s="37">
        <f>IFERROR(IF(U14="","",INDEX('피벗값_매장명(동일)'!O:O,U14)),"")</f>
        <v>0.14479895416956509</v>
      </c>
      <c r="P14" s="36">
        <f>IFERROR(IF(U14="","",INDEX('피벗값_매장명(동일)'!P:P,U14)),"")</f>
        <v>127039806</v>
      </c>
      <c r="Q14" s="36">
        <f>IFERROR(IF(U14="","",INDEX('피벗값_매장명(동일)'!Q:Q,U14)),"")</f>
        <v>123510191</v>
      </c>
      <c r="R14" s="37">
        <f>IFERROR(IF(U14="","",INDEX('피벗값_매장명(동일)'!R:R,U14)),"")</f>
        <v>0.31597533456084914</v>
      </c>
      <c r="S14" s="37">
        <f>IFERROR(IF(U14="","",INDEX('피벗값_매장명(동일)'!S:S,U14)),"")</f>
        <v>2.5496434153111414E-2</v>
      </c>
      <c r="T14" s="39">
        <f>IFERROR(IF(U14="","",INDEX('피벗값_매장명(동일)'!T:T,U14)),"")</f>
        <v>-3529615</v>
      </c>
      <c r="U14" s="119">
        <f>IFERROR(MATCH(LARGE('피벗값_매장명(동일)'!$Q$6:$Q$70,10),'피벗값_매장명(동일)'!$Q$6:$Q$70,0)+6-1,"")</f>
        <v>28</v>
      </c>
    </row>
    <row r="15" spans="1:24" ht="14.25" customHeight="1">
      <c r="B15" s="35" t="str">
        <f>IFERROR(IF(U15="","",INDEX('피벗값_매장명(동일)'!B:B,U15)),"")</f>
        <v>00504</v>
      </c>
      <c r="C15" s="40" t="str">
        <f>IFERROR(IF(U15="","",INDEX('피벗값_매장명(동일)'!C:C,U15)),"")</f>
        <v>갤러리아광교점</v>
      </c>
      <c r="D15" s="36">
        <f>IFERROR(IF(U15="","",INDEX('피벗값_매장명(동일)'!D:D,U15)),"")</f>
        <v>414430770</v>
      </c>
      <c r="E15" s="36">
        <f>IFERROR(IF(U15="","",INDEX('피벗값_매장명(동일)'!E:E,U15)),"")</f>
        <v>435458830</v>
      </c>
      <c r="F15" s="37">
        <f>IFERROR(IF(U15="","",INDEX('피벗값_매장명(동일)'!F:F,U15)),"")</f>
        <v>5.0739620516111777E-2</v>
      </c>
      <c r="G15" s="36">
        <f>IFERROR(IF(U15="","",INDEX('피벗값_매장명(동일)'!G:G,U15)),"")</f>
        <v>261327096</v>
      </c>
      <c r="H15" s="36">
        <f>IFERROR(IF(U15="","",INDEX('피벗값_매장명(동일)'!H:H,U15)),"")</f>
        <v>273277404</v>
      </c>
      <c r="I15" s="37">
        <f>IFERROR(IF(U15="","",INDEX('피벗값_매장명(동일)'!I:I,U15)),"")</f>
        <v>0.62756197641003164</v>
      </c>
      <c r="J15" s="36">
        <f>IFERROR(IF(U15="","",INDEX('피벗값_매장명(동일)'!J:J,U15)),"")</f>
        <v>129368702</v>
      </c>
      <c r="K15" s="36">
        <f>IFERROR(IF(U15="","",INDEX('피벗값_매장명(동일)'!K:K,U15)),"")</f>
        <v>129229820</v>
      </c>
      <c r="L15" s="38">
        <f>IFERROR(IF(U15="","",INDEX('피벗값_매장명(동일)'!L:L,U15)),"")</f>
        <v>3.0633151360604205</v>
      </c>
      <c r="M15" s="36">
        <f>IFERROR(IF(U15="","",INDEX('피벗값_매장명(동일)'!M:M,U15)),"")</f>
        <v>47925474</v>
      </c>
      <c r="N15" s="36">
        <f>IFERROR(IF(U15="","",INDEX('피벗값_매장명(동일)'!N:N,U15)),"")</f>
        <v>52175650</v>
      </c>
      <c r="O15" s="37">
        <f>IFERROR(IF(U15="","",INDEX('피벗값_매장명(동일)'!O:O,U15)),"")</f>
        <v>0.11981764154374823</v>
      </c>
      <c r="P15" s="36">
        <f>IFERROR(IF(U15="","",INDEX('피벗값_매장명(동일)'!P:P,U15)),"")</f>
        <v>108201386</v>
      </c>
      <c r="Q15" s="36">
        <f>IFERROR(IF(U15="","",INDEX('피벗값_매장명(동일)'!Q:Q,U15)),"")</f>
        <v>119204183</v>
      </c>
      <c r="R15" s="37">
        <f>IFERROR(IF(U15="","",INDEX('피벗값_매장명(동일)'!R:R,U15)),"")</f>
        <v>0.30111825106405582</v>
      </c>
      <c r="S15" s="37">
        <f>IFERROR(IF(U15="","",INDEX('피벗값_매장명(동일)'!S:S,U15)),"")</f>
        <v>2.4607537062548489E-2</v>
      </c>
      <c r="T15" s="39">
        <f>IFERROR(IF(U15="","",INDEX('피벗값_매장명(동일)'!T:T,U15)),"")</f>
        <v>11002797</v>
      </c>
      <c r="U15" s="119">
        <f>IFERROR(MATCH(LARGE('피벗값_매장명(동일)'!$Q$6:$Q$70,11),'피벗값_매장명(동일)'!$Q$6:$Q$70,0)+6-1,"")</f>
        <v>51</v>
      </c>
    </row>
    <row r="16" spans="1:24" ht="14.25" customHeight="1">
      <c r="B16" s="35" t="str">
        <f>IFERROR(IF(U16="","",INDEX('피벗값_매장명(동일)'!B:B,U16)),"")</f>
        <v>00314</v>
      </c>
      <c r="C16" s="40" t="str">
        <f>IFERROR(IF(U16="","",INDEX('피벗값_매장명(동일)'!C:C,U16)),"")</f>
        <v>신세계대구점</v>
      </c>
      <c r="D16" s="36">
        <f>IFERROR(IF(U16="","",INDEX('피벗값_매장명(동일)'!D:D,U16)),"")</f>
        <v>390285780</v>
      </c>
      <c r="E16" s="36">
        <f>IFERROR(IF(U16="","",INDEX('피벗값_매장명(동일)'!E:E,U16)),"")</f>
        <v>383554610</v>
      </c>
      <c r="F16" s="37">
        <f>IFERROR(IF(U16="","",INDEX('피벗값_매장명(동일)'!F:F,U16)),"")</f>
        <v>-1.7246772352300408E-2</v>
      </c>
      <c r="G16" s="36">
        <f>IFERROR(IF(U16="","",INDEX('피벗값_매장명(동일)'!G:G,U16)),"")</f>
        <v>246993538</v>
      </c>
      <c r="H16" s="36">
        <f>IFERROR(IF(U16="","",INDEX('피벗값_매장명(동일)'!H:H,U16)),"")</f>
        <v>243294141</v>
      </c>
      <c r="I16" s="37">
        <f>IFERROR(IF(U16="","",INDEX('피벗값_매장명(동일)'!I:I,U16)),"")</f>
        <v>0.6343142140828395</v>
      </c>
      <c r="J16" s="36">
        <f>IFERROR(IF(U16="","",INDEX('피벗값_매장명(동일)'!J:J,U16)),"")</f>
        <v>116071640</v>
      </c>
      <c r="K16" s="36">
        <f>IFERROR(IF(U16="","",INDEX('피벗값_매장명(동일)'!K:K,U16)),"")</f>
        <v>105600896</v>
      </c>
      <c r="L16" s="38">
        <f>IFERROR(IF(U16="","",INDEX('피벗값_매장명(동일)'!L:L,U16)),"")</f>
        <v>3.3019228273490127</v>
      </c>
      <c r="M16" s="36">
        <f>IFERROR(IF(U16="","",INDEX('피벗값_매장명(동일)'!M:M,U16)),"")</f>
        <v>38648580</v>
      </c>
      <c r="N16" s="36">
        <f>IFERROR(IF(U16="","",INDEX('피벗값_매장명(동일)'!N:N,U16)),"")</f>
        <v>53420450</v>
      </c>
      <c r="O16" s="37">
        <f>IFERROR(IF(U16="","",INDEX('피벗값_매장명(동일)'!O:O,U16)),"")</f>
        <v>0.13927729873980657</v>
      </c>
      <c r="P16" s="36">
        <f>IFERROR(IF(U16="","",INDEX('피벗값_매장명(동일)'!P:P,U16)),"")</f>
        <v>108467940</v>
      </c>
      <c r="Q16" s="36">
        <f>IFERROR(IF(U16="","",INDEX('피벗값_매장명(동일)'!Q:Q,U16)),"")</f>
        <v>115575595</v>
      </c>
      <c r="R16" s="37">
        <f>IFERROR(IF(U16="","",INDEX('피벗값_매장명(동일)'!R:R,U16)),"")</f>
        <v>0.3314603740520809</v>
      </c>
      <c r="S16" s="37">
        <f>IFERROR(IF(U16="","",INDEX('피벗값_매장명(동일)'!S:S,U16)),"")</f>
        <v>2.3858481018980634E-2</v>
      </c>
      <c r="T16" s="39">
        <f>IFERROR(IF(U16="","",INDEX('피벗값_매장명(동일)'!T:T,U16)),"")</f>
        <v>7107655</v>
      </c>
      <c r="U16" s="119">
        <f>IFERROR(MATCH(LARGE('피벗값_매장명(동일)'!$Q$6:$Q$70,12),'피벗값_매장명(동일)'!$Q$6:$Q$70,0)+6-1,"")</f>
        <v>48</v>
      </c>
    </row>
    <row r="17" spans="2:21" ht="14.25" customHeight="1">
      <c r="B17" s="35" t="str">
        <f>IFERROR(IF(U17="","",INDEX('피벗값_매장명(동일)'!B:B,U17)),"")</f>
        <v>00306</v>
      </c>
      <c r="C17" s="40" t="str">
        <f>IFERROR(IF(U17="","",INDEX('피벗값_매장명(동일)'!C:C,U17)),"")</f>
        <v>신세계경기점</v>
      </c>
      <c r="D17" s="36">
        <f>IFERROR(IF(U17="","",INDEX('피벗값_매장명(동일)'!D:D,U17)),"")</f>
        <v>358708780</v>
      </c>
      <c r="E17" s="36">
        <f>IFERROR(IF(U17="","",INDEX('피벗값_매장명(동일)'!E:E,U17)),"")</f>
        <v>376815570</v>
      </c>
      <c r="F17" s="37">
        <f>IFERROR(IF(U17="","",INDEX('피벗값_매장명(동일)'!F:F,U17)),"")</f>
        <v>5.0477688335367761E-2</v>
      </c>
      <c r="G17" s="36">
        <f>IFERROR(IF(U17="","",INDEX('피벗값_매장명(동일)'!G:G,U17)),"")</f>
        <v>227108567</v>
      </c>
      <c r="H17" s="36">
        <f>IFERROR(IF(U17="","",INDEX('피벗값_매장명(동일)'!H:H,U17)),"")</f>
        <v>238782669</v>
      </c>
      <c r="I17" s="37">
        <f>IFERROR(IF(U17="","",INDEX('피벗값_매장명(동일)'!I:I,U17)),"")</f>
        <v>0.63368578161459732</v>
      </c>
      <c r="J17" s="36">
        <f>IFERROR(IF(U17="","",INDEX('피벗값_매장명(동일)'!J:J,U17)),"")</f>
        <v>110521568</v>
      </c>
      <c r="K17" s="36">
        <f>IFERROR(IF(U17="","",INDEX('피벗값_매장명(동일)'!K:K,U17)),"")</f>
        <v>106952230</v>
      </c>
      <c r="L17" s="38">
        <f>IFERROR(IF(U17="","",INDEX('피벗값_매장명(동일)'!L:L,U17)),"")</f>
        <v>3.2029216136111334</v>
      </c>
      <c r="M17" s="36">
        <f>IFERROR(IF(U17="","",INDEX('피벗값_매장명(동일)'!M:M,U17)),"")</f>
        <v>53771418</v>
      </c>
      <c r="N17" s="36">
        <f>IFERROR(IF(U17="","",INDEX('피벗값_매장명(동일)'!N:N,U17)),"")</f>
        <v>56459450</v>
      </c>
      <c r="O17" s="37">
        <f>IFERROR(IF(U17="","",INDEX('피벗값_매장명(동일)'!O:O,U17)),"")</f>
        <v>0.14983311331853935</v>
      </c>
      <c r="P17" s="36">
        <f>IFERROR(IF(U17="","",INDEX('피벗값_매장명(동일)'!P:P,U17)),"")</f>
        <v>95940766</v>
      </c>
      <c r="Q17" s="36">
        <f>IFERROR(IF(U17="","",INDEX('피벗값_매장명(동일)'!Q:Q,U17)),"")</f>
        <v>110122925</v>
      </c>
      <c r="R17" s="37">
        <f>IFERROR(IF(U17="","",INDEX('피벗값_매장명(동일)'!R:R,U17)),"")</f>
        <v>0.32147083916941122</v>
      </c>
      <c r="S17" s="37">
        <f>IFERROR(IF(U17="","",INDEX('피벗값_매장명(동일)'!S:S,U17)),"")</f>
        <v>2.2732876398924254E-2</v>
      </c>
      <c r="T17" s="39">
        <f>IFERROR(IF(U17="","",INDEX('피벗값_매장명(동일)'!T:T,U17)),"")</f>
        <v>14182159</v>
      </c>
      <c r="U17" s="119">
        <f>IFERROR(MATCH(LARGE('피벗값_매장명(동일)'!$Q$6:$Q$70,13),'피벗값_매장명(동일)'!$Q$6:$Q$70,0)+6-1,"")</f>
        <v>41</v>
      </c>
    </row>
    <row r="18" spans="2:21" ht="14.25" customHeight="1">
      <c r="B18" s="35" t="str">
        <f>IFERROR(IF(U18="","",INDEX('피벗값_매장명(동일)'!B:B,U18)),"")</f>
        <v>00101</v>
      </c>
      <c r="C18" s="40" t="str">
        <f>IFERROR(IF(U18="","",INDEX('피벗값_매장명(동일)'!C:C,U18)),"")</f>
        <v>롯데잠실점</v>
      </c>
      <c r="D18" s="36">
        <f>IFERROR(IF(U18="","",INDEX('피벗값_매장명(동일)'!D:D,U18)),"")</f>
        <v>304063520</v>
      </c>
      <c r="E18" s="36">
        <f>IFERROR(IF(U18="","",INDEX('피벗값_매장명(동일)'!E:E,U18)),"")</f>
        <v>369840250</v>
      </c>
      <c r="F18" s="37">
        <f>IFERROR(IF(U18="","",INDEX('피벗값_매장명(동일)'!F:F,U18)),"")</f>
        <v>0.21632562169904498</v>
      </c>
      <c r="G18" s="36">
        <f>IFERROR(IF(U18="","",INDEX('피벗값_매장명(동일)'!G:G,U18)),"")</f>
        <v>195026705</v>
      </c>
      <c r="H18" s="36">
        <f>IFERROR(IF(U18="","",INDEX('피벗값_매장명(동일)'!H:H,U18)),"")</f>
        <v>236914267</v>
      </c>
      <c r="I18" s="37">
        <f>IFERROR(IF(U18="","",INDEX('피벗값_매장명(동일)'!I:I,U18)),"")</f>
        <v>0.64058540680739862</v>
      </c>
      <c r="J18" s="36">
        <f>IFERROR(IF(U18="","",INDEX('피벗값_매장명(동일)'!J:J,U18)),"")</f>
        <v>88822778</v>
      </c>
      <c r="K18" s="36">
        <f>IFERROR(IF(U18="","",INDEX('피벗값_매장명(동일)'!K:K,U18)),"")</f>
        <v>107012131</v>
      </c>
      <c r="L18" s="38">
        <f>IFERROR(IF(U18="","",INDEX('피벗값_매장명(동일)'!L:L,U18)),"")</f>
        <v>3.1418719162868465</v>
      </c>
      <c r="M18" s="36">
        <f>IFERROR(IF(U18="","",INDEX('피벗값_매장명(동일)'!M:M,U18)),"")</f>
        <v>32165690</v>
      </c>
      <c r="N18" s="36">
        <f>IFERROR(IF(U18="","",INDEX('피벗값_매장명(동일)'!N:N,U18)),"")</f>
        <v>35215740</v>
      </c>
      <c r="O18" s="37">
        <f>IFERROR(IF(U18="","",INDEX('피벗값_매장명(동일)'!O:O,U18)),"")</f>
        <v>9.5218787030346211E-2</v>
      </c>
      <c r="P18" s="36">
        <f>IFERROR(IF(U18="","",INDEX('피벗값_매장명(동일)'!P:P,U18)),"")</f>
        <v>88474227</v>
      </c>
      <c r="Q18" s="36">
        <f>IFERROR(IF(U18="","",INDEX('피벗값_매장명(동일)'!Q:Q,U18)),"")</f>
        <v>108364475</v>
      </c>
      <c r="R18" s="37">
        <f>IFERROR(IF(U18="","",INDEX('피벗값_매장명(동일)'!R:R,U18)),"")</f>
        <v>0.32230381225407456</v>
      </c>
      <c r="S18" s="37">
        <f>IFERROR(IF(U18="","",INDEX('피벗값_매장명(동일)'!S:S,U18)),"")</f>
        <v>2.2369876355984163E-2</v>
      </c>
      <c r="T18" s="39">
        <f>IFERROR(IF(U18="","",INDEX('피벗값_매장명(동일)'!T:T,U18)),"")</f>
        <v>19890248</v>
      </c>
      <c r="U18" s="119">
        <f>IFERROR(MATCH(LARGE('피벗값_매장명(동일)'!$Q$6:$Q$70,14),'피벗값_매장명(동일)'!$Q$6:$Q$70,0)+6-1,"")</f>
        <v>6</v>
      </c>
    </row>
    <row r="19" spans="2:21" ht="14.25" customHeight="1">
      <c r="B19" s="35" t="str">
        <f>IFERROR(IF(U19="","",INDEX('피벗값_매장명(동일)'!B:B,U19)),"")</f>
        <v>00129</v>
      </c>
      <c r="C19" s="40" t="str">
        <f>IFERROR(IF(U19="","",INDEX('피벗값_매장명(동일)'!C:C,U19)),"")</f>
        <v>롯데평촌점</v>
      </c>
      <c r="D19" s="36">
        <f>IFERROR(IF(U19="","",INDEX('피벗값_매장명(동일)'!D:D,U19)),"")</f>
        <v>295984510</v>
      </c>
      <c r="E19" s="36">
        <f>IFERROR(IF(U19="","",INDEX('피벗값_매장명(동일)'!E:E,U19)),"")</f>
        <v>355223110</v>
      </c>
      <c r="F19" s="37">
        <f>IFERROR(IF(U19="","",INDEX('피벗값_매장명(동일)'!F:F,U19)),"")</f>
        <v>0.20014087899397168</v>
      </c>
      <c r="G19" s="36">
        <f>IFERROR(IF(U19="","",INDEX('피벗값_매장명(동일)'!G:G,U19)),"")</f>
        <v>189974329</v>
      </c>
      <c r="H19" s="36">
        <f>IFERROR(IF(U19="","",INDEX('피벗값_매장명(동일)'!H:H,U19)),"")</f>
        <v>227708060</v>
      </c>
      <c r="I19" s="37">
        <f>IFERROR(IF(U19="","",INDEX('피벗값_매장명(동일)'!I:I,U19)),"")</f>
        <v>0.64102828219706764</v>
      </c>
      <c r="J19" s="36">
        <f>IFERROR(IF(U19="","",INDEX('피벗값_매장명(동일)'!J:J,U19)),"")</f>
        <v>92654598</v>
      </c>
      <c r="K19" s="36">
        <f>IFERROR(IF(U19="","",INDEX('피벗값_매장명(동일)'!K:K,U19)),"")</f>
        <v>102007171</v>
      </c>
      <c r="L19" s="38">
        <f>IFERROR(IF(U19="","",INDEX('피벗값_매장명(동일)'!L:L,U19)),"")</f>
        <v>3.1657588072901266</v>
      </c>
      <c r="M19" s="36">
        <f>IFERROR(IF(U19="","",INDEX('피벗값_매장명(동일)'!M:M,U19)),"")</f>
        <v>38190450</v>
      </c>
      <c r="N19" s="36">
        <f>IFERROR(IF(U19="","",INDEX('피벗값_매장명(동일)'!N:N,U19)),"")</f>
        <v>49458840</v>
      </c>
      <c r="O19" s="37">
        <f>IFERROR(IF(U19="","",INDEX('피벗값_매장명(동일)'!O:O,U19)),"")</f>
        <v>0.13923317094994186</v>
      </c>
      <c r="P19" s="36">
        <f>IFERROR(IF(U19="","",INDEX('피벗값_매장명(동일)'!P:P,U19)),"")</f>
        <v>80049337</v>
      </c>
      <c r="Q19" s="36">
        <f>IFERROR(IF(U19="","",INDEX('피벗값_매장명(동일)'!Q:Q,U19)),"")</f>
        <v>105000157</v>
      </c>
      <c r="R19" s="37">
        <f>IFERROR(IF(U19="","",INDEX('피벗값_매장명(동일)'!R:R,U19)),"")</f>
        <v>0.32514825034891454</v>
      </c>
      <c r="S19" s="37">
        <f>IFERROR(IF(U19="","",INDEX('피벗값_매장명(동일)'!S:S,U19)),"")</f>
        <v>2.1675374050849461E-2</v>
      </c>
      <c r="T19" s="39">
        <f>IFERROR(IF(U19="","",INDEX('피벗값_매장명(동일)'!T:T,U19)),"")</f>
        <v>24950820</v>
      </c>
      <c r="U19" s="119">
        <f>IFERROR(MATCH(LARGE('피벗값_매장명(동일)'!$Q$6:$Q$70,15),'피벗값_매장명(동일)'!$Q$6:$Q$70,0)+6-1,"")</f>
        <v>19</v>
      </c>
    </row>
    <row r="20" spans="2:21" ht="14.25" customHeight="1">
      <c r="B20" s="35" t="str">
        <f>IFERROR(IF(U20="","",INDEX('피벗값_매장명(동일)'!B:B,U20)),"")</f>
        <v>01305</v>
      </c>
      <c r="C20" s="40" t="str">
        <f>IFERROR(IF(U20="","",INDEX('피벗값_매장명(동일)'!C:C,U20)),"")</f>
        <v>신세계본점</v>
      </c>
      <c r="D20" s="36">
        <f>IFERROR(IF(U20="","",INDEX('피벗값_매장명(동일)'!D:D,U20)),"")</f>
        <v>356547330</v>
      </c>
      <c r="E20" s="36">
        <f>IFERROR(IF(U20="","",INDEX('피벗값_매장명(동일)'!E:E,U20)),"")</f>
        <v>370505260</v>
      </c>
      <c r="F20" s="37">
        <f>IFERROR(IF(U20="","",INDEX('피벗값_매장명(동일)'!F:F,U20)),"")</f>
        <v>3.9147481485838076E-2</v>
      </c>
      <c r="G20" s="36">
        <f>IFERROR(IF(U20="","",INDEX('피벗값_매장명(동일)'!G:G,U20)),"")</f>
        <v>225043083</v>
      </c>
      <c r="H20" s="36">
        <f>IFERROR(IF(U20="","",INDEX('피벗값_매장명(동일)'!H:H,U20)),"")</f>
        <v>233658882</v>
      </c>
      <c r="I20" s="37">
        <f>IFERROR(IF(U20="","",INDEX('피벗값_매장명(동일)'!I:I,U20)),"")</f>
        <v>0.63064929766449196</v>
      </c>
      <c r="J20" s="36">
        <f>IFERROR(IF(U20="","",INDEX('피벗값_매장명(동일)'!J:J,U20)),"")</f>
        <v>110380464</v>
      </c>
      <c r="K20" s="36">
        <f>IFERROR(IF(U20="","",INDEX('피벗값_매장명(동일)'!K:K,U20)),"")</f>
        <v>109146091</v>
      </c>
      <c r="L20" s="38">
        <f>IFERROR(IF(U20="","",INDEX('피벗값_매장명(동일)'!L:L,U20)),"")</f>
        <v>3.0859828377762391</v>
      </c>
      <c r="M20" s="36">
        <f>IFERROR(IF(U20="","",INDEX('피벗값_매장명(동일)'!M:M,U20)),"")</f>
        <v>55955670</v>
      </c>
      <c r="N20" s="36">
        <f>IFERROR(IF(U20="","",INDEX('피벗값_매장명(동일)'!N:N,U20)),"")</f>
        <v>58672550</v>
      </c>
      <c r="O20" s="37">
        <f>IFERROR(IF(U20="","",INDEX('피벗값_매장명(동일)'!O:O,U20)),"")</f>
        <v>0.1583582106229747</v>
      </c>
      <c r="P20" s="36">
        <f>IFERROR(IF(U20="","",INDEX('피벗값_매장명(동일)'!P:P,U20)),"")</f>
        <v>94204157</v>
      </c>
      <c r="Q20" s="36">
        <f>IFERROR(IF(U20="","",INDEX('피벗값_매장명(동일)'!Q:Q,U20)),"")</f>
        <v>103271074</v>
      </c>
      <c r="R20" s="37">
        <f>IFERROR(IF(U20="","",INDEX('피벗값_매장명(동일)'!R:R,U20)),"")</f>
        <v>0.3066034241996996</v>
      </c>
      <c r="S20" s="37">
        <f>IFERROR(IF(U20="","",INDEX('피벗값_매장명(동일)'!S:S,U20)),"")</f>
        <v>2.1318436291318632E-2</v>
      </c>
      <c r="T20" s="39">
        <f>IFERROR(IF(U20="","",INDEX('피벗값_매장명(동일)'!T:T,U20)),"")</f>
        <v>9066917</v>
      </c>
      <c r="U20" s="119">
        <f>IFERROR(MATCH(LARGE('피벗값_매장명(동일)'!$Q$6:$Q$70,16),'피벗값_매장명(동일)'!$Q$6:$Q$70,0)+6-1,"")</f>
        <v>56</v>
      </c>
    </row>
    <row r="21" spans="2:21" ht="14.25" customHeight="1">
      <c r="B21" s="35" t="str">
        <f>IFERROR(IF(U21="","",INDEX('피벗값_매장명(동일)'!B:B,U21)),"")</f>
        <v>00141</v>
      </c>
      <c r="C21" s="40" t="str">
        <f>IFERROR(IF(U21="","",INDEX('피벗값_매장명(동일)'!C:C,U21)),"")</f>
        <v>롯데인천터미널점</v>
      </c>
      <c r="D21" s="36">
        <f>IFERROR(IF(U21="","",INDEX('피벗값_매장명(동일)'!D:D,U21)),"")</f>
        <v>356127100</v>
      </c>
      <c r="E21" s="36">
        <f>IFERROR(IF(U21="","",INDEX('피벗값_매장명(동일)'!E:E,U21)),"")</f>
        <v>348028640</v>
      </c>
      <c r="F21" s="37">
        <f>IFERROR(IF(U21="","",INDEX('피벗값_매장명(동일)'!F:F,U21)),"")</f>
        <v>-2.2740364324983973E-2</v>
      </c>
      <c r="G21" s="36">
        <f>IFERROR(IF(U21="","",INDEX('피벗값_매장명(동일)'!G:G,U21)),"")</f>
        <v>228085896</v>
      </c>
      <c r="H21" s="36">
        <f>IFERROR(IF(U21="","",INDEX('피벗값_매장명(동일)'!H:H,U21)),"")</f>
        <v>222979373</v>
      </c>
      <c r="I21" s="37">
        <f>IFERROR(IF(U21="","",INDEX('피벗값_매장명(동일)'!I:I,U21)),"")</f>
        <v>0.64069259644838428</v>
      </c>
      <c r="J21" s="36">
        <f>IFERROR(IF(U21="","",INDEX('피벗값_매장명(동일)'!J:J,U21)),"")</f>
        <v>105583227</v>
      </c>
      <c r="K21" s="36">
        <f>IFERROR(IF(U21="","",INDEX('피벗값_매장명(동일)'!K:K,U21)),"")</f>
        <v>99808291</v>
      </c>
      <c r="L21" s="38">
        <f>IFERROR(IF(U21="","",INDEX('피벗값_매장명(동일)'!L:L,U21)),"")</f>
        <v>3.1699738524455117</v>
      </c>
      <c r="M21" s="36">
        <f>IFERROR(IF(U21="","",INDEX('피벗값_매장명(동일)'!M:M,U21)),"")</f>
        <v>47477860</v>
      </c>
      <c r="N21" s="36">
        <f>IFERROR(IF(U21="","",INDEX('피벗값_매장명(동일)'!N:N,U21)),"")</f>
        <v>46266070</v>
      </c>
      <c r="O21" s="37">
        <f>IFERROR(IF(U21="","",INDEX('피벗값_매장명(동일)'!O:O,U21)),"")</f>
        <v>0.13293753640504988</v>
      </c>
      <c r="P21" s="36">
        <f>IFERROR(IF(U21="","",INDEX('피벗값_매장명(동일)'!P:P,U21)),"")</f>
        <v>101767587</v>
      </c>
      <c r="Q21" s="36">
        <f>IFERROR(IF(U21="","",INDEX('피벗값_매장명(동일)'!Q:Q,U21)),"")</f>
        <v>102900230</v>
      </c>
      <c r="R21" s="37">
        <f>IFERROR(IF(U21="","",INDEX('피벗값_매장명(동일)'!R:R,U21)),"")</f>
        <v>0.32523258143352801</v>
      </c>
      <c r="S21" s="37">
        <f>IFERROR(IF(U21="","",INDEX('피벗값_매장명(동일)'!S:S,U21)),"")</f>
        <v>2.1241882287551639E-2</v>
      </c>
      <c r="T21" s="39">
        <f>IFERROR(IF(U21="","",INDEX('피벗값_매장명(동일)'!T:T,U21)),"")</f>
        <v>1132643</v>
      </c>
      <c r="U21" s="119">
        <f>IFERROR(MATCH(LARGE('피벗값_매장명(동일)'!$Q$6:$Q$70,17),'피벗값_매장명(동일)'!$Q$6:$Q$70,0)+6-1,"")</f>
        <v>26</v>
      </c>
    </row>
    <row r="22" spans="2:21" ht="14.25" customHeight="1">
      <c r="B22" s="35" t="str">
        <f>IFERROR(IF(U22="","",INDEX('피벗값_매장명(동일)'!B:B,U22)),"")</f>
        <v>00128</v>
      </c>
      <c r="C22" s="40" t="str">
        <f>IFERROR(IF(U22="","",INDEX('피벗값_매장명(동일)'!C:C,U22)),"")</f>
        <v>롯데부산본점</v>
      </c>
      <c r="D22" s="36">
        <f>IFERROR(IF(U22="","",INDEX('피벗값_매장명(동일)'!D:D,U22)),"")</f>
        <v>318432220</v>
      </c>
      <c r="E22" s="36">
        <f>IFERROR(IF(U22="","",INDEX('피벗값_매장명(동일)'!E:E,U22)),"")</f>
        <v>341686200</v>
      </c>
      <c r="F22" s="37">
        <f>IFERROR(IF(U22="","",INDEX('피벗값_매장명(동일)'!F:F,U22)),"")</f>
        <v>7.3026466982518287E-2</v>
      </c>
      <c r="G22" s="36">
        <f>IFERROR(IF(U22="","",INDEX('피벗값_매장명(동일)'!G:G,U22)),"")</f>
        <v>203796169</v>
      </c>
      <c r="H22" s="36">
        <f>IFERROR(IF(U22="","",INDEX('피벗값_매장명(동일)'!H:H,U22)),"")</f>
        <v>218843755</v>
      </c>
      <c r="I22" s="37">
        <f>IFERROR(IF(U22="","",INDEX('피벗값_매장명(동일)'!I:I,U22)),"")</f>
        <v>0.64048169051018156</v>
      </c>
      <c r="J22" s="36">
        <f>IFERROR(IF(U22="","",INDEX('피벗값_매장명(동일)'!J:J,U22)),"")</f>
        <v>93232490</v>
      </c>
      <c r="K22" s="36">
        <f>IFERROR(IF(U22="","",INDEX('피벗값_매장명(동일)'!K:K,U22)),"")</f>
        <v>97968242</v>
      </c>
      <c r="L22" s="38">
        <f>IFERROR(IF(U22="","",INDEX('피벗값_매장명(동일)'!L:L,U22)),"")</f>
        <v>3.1706582851799885</v>
      </c>
      <c r="M22" s="36">
        <f>IFERROR(IF(U22="","",INDEX('피벗값_매장명(동일)'!M:M,U22)),"")</f>
        <v>36971910</v>
      </c>
      <c r="N22" s="36">
        <f>IFERROR(IF(U22="","",INDEX('피벗값_매장명(동일)'!N:N,U22)),"")</f>
        <v>36020670</v>
      </c>
      <c r="O22" s="37">
        <f>IFERROR(IF(U22="","",INDEX('피벗값_매장명(동일)'!O:O,U22)),"")</f>
        <v>0.10542032426243729</v>
      </c>
      <c r="P22" s="36">
        <f>IFERROR(IF(U22="","",INDEX('피벗값_매장명(동일)'!P:P,U22)),"")</f>
        <v>92036754</v>
      </c>
      <c r="Q22" s="36">
        <f>IFERROR(IF(U22="","",INDEX('피벗값_매장명(동일)'!Q:Q,U22)),"")</f>
        <v>100980625</v>
      </c>
      <c r="R22" s="37">
        <f>IFERROR(IF(U22="","",INDEX('피벗값_매장명(동일)'!R:R,U22)),"")</f>
        <v>0.32508976803862732</v>
      </c>
      <c r="S22" s="37">
        <f>IFERROR(IF(U22="","",INDEX('피벗값_매장명(동일)'!S:S,U22)),"")</f>
        <v>2.0845614723829033E-2</v>
      </c>
      <c r="T22" s="39">
        <f>IFERROR(IF(U22="","",INDEX('피벗값_매장명(동일)'!T:T,U22)),"")</f>
        <v>8943871</v>
      </c>
      <c r="U22" s="119">
        <f>IFERROR(MATCH(LARGE('피벗값_매장명(동일)'!$Q$6:$Q$70,18),'피벗값_매장명(동일)'!$Q$6:$Q$70,0)+6-1,"")</f>
        <v>18</v>
      </c>
    </row>
    <row r="23" spans="2:21" ht="14.25" customHeight="1">
      <c r="B23" s="35" t="str">
        <f>IFERROR(IF(U23="","",INDEX('피벗값_매장명(동일)'!B:B,U23)),"")</f>
        <v>05003</v>
      </c>
      <c r="C23" s="40" t="str">
        <f>IFERROR(IF(U23="","",INDEX('피벗값_매장명(동일)'!C:C,U23)),"")</f>
        <v>롯데아울렛이천점</v>
      </c>
      <c r="D23" s="36">
        <f>IFERROR(IF(U23="","",INDEX('피벗값_매장명(동일)'!D:D,U23)),"")</f>
        <v>222880170</v>
      </c>
      <c r="E23" s="36">
        <f>IFERROR(IF(U23="","",INDEX('피벗값_매장명(동일)'!E:E,U23)),"")</f>
        <v>247285010</v>
      </c>
      <c r="F23" s="37">
        <f>IFERROR(IF(U23="","",INDEX('피벗값_매장명(동일)'!F:F,U23)),"")</f>
        <v>0.10949758338752165</v>
      </c>
      <c r="G23" s="36">
        <f>IFERROR(IF(U23="","",INDEX('피벗값_매장명(동일)'!G:G,U23)),"")</f>
        <v>171617859</v>
      </c>
      <c r="H23" s="36">
        <f>IFERROR(IF(U23="","",INDEX('피벗값_매장명(동일)'!H:H,U23)),"")</f>
        <v>190409588</v>
      </c>
      <c r="I23" s="37">
        <f>IFERROR(IF(U23="","",INDEX('피벗값_매장명(동일)'!I:I,U23)),"")</f>
        <v>0.77000052692235565</v>
      </c>
      <c r="J23" s="36">
        <f>IFERROR(IF(U23="","",INDEX('피벗값_매장명(동일)'!J:J,U23)),"")</f>
        <v>72984080</v>
      </c>
      <c r="K23" s="36">
        <f>IFERROR(IF(U23="","",INDEX('피벗값_매장명(동일)'!K:K,U23)),"")</f>
        <v>74522206</v>
      </c>
      <c r="L23" s="38">
        <f>IFERROR(IF(U23="","",INDEX('피벗값_매장명(동일)'!L:L,U23)),"")</f>
        <v>3.0166116465400195</v>
      </c>
      <c r="M23" s="36">
        <f>IFERROR(IF(U23="","",INDEX('피벗값_매장명(동일)'!M:M,U23)),"")</f>
        <v>35629220</v>
      </c>
      <c r="N23" s="36">
        <f>IFERROR(IF(U23="","",INDEX('피벗값_매장명(동일)'!N:N,U23)),"")</f>
        <v>39385870</v>
      </c>
      <c r="O23" s="37">
        <f>IFERROR(IF(U23="","",INDEX('피벗값_매장명(동일)'!O:O,U23)),"")</f>
        <v>0.15927318036786783</v>
      </c>
      <c r="P23" s="36">
        <f>IFERROR(IF(U23="","",INDEX('피벗값_매장명(동일)'!P:P,U23)),"")</f>
        <v>83032156</v>
      </c>
      <c r="Q23" s="36">
        <f>IFERROR(IF(U23="","",INDEX('피벗값_매장명(동일)'!Q:Q,U23)),"")</f>
        <v>98577419</v>
      </c>
      <c r="R23" s="37">
        <f>IFERROR(IF(U23="","",INDEX('피벗값_매장명(동일)'!R:R,U23)),"")</f>
        <v>0.43850276609973249</v>
      </c>
      <c r="S23" s="37">
        <f>IFERROR(IF(U23="","",INDEX('피벗값_매장명(동일)'!S:S,U23)),"")</f>
        <v>2.0349516523030669E-2</v>
      </c>
      <c r="T23" s="39">
        <f>IFERROR(IF(U23="","",INDEX('피벗값_매장명(동일)'!T:T,U23)),"")</f>
        <v>15545263</v>
      </c>
      <c r="U23" s="119">
        <f>IFERROR(MATCH(LARGE('피벗값_매장명(동일)'!$Q$6:$Q$70,19),'피벗값_매장명(동일)'!$Q$6:$Q$70,0)+6-1,"")</f>
        <v>58</v>
      </c>
    </row>
    <row r="24" spans="2:21" ht="14.25" customHeight="1">
      <c r="B24" s="35" t="str">
        <f>IFERROR(IF(U24="","",INDEX('피벗값_매장명(동일)'!B:B,U24)),"")</f>
        <v>00142</v>
      </c>
      <c r="C24" s="40" t="str">
        <f>IFERROR(IF(U24="","",INDEX('피벗값_매장명(동일)'!C:C,U24)),"")</f>
        <v>롯데동탄점</v>
      </c>
      <c r="D24" s="36">
        <f>IFERROR(IF(U24="","",INDEX('피벗값_매장명(동일)'!D:D,U24)),"")</f>
        <v>250689340</v>
      </c>
      <c r="E24" s="36">
        <f>IFERROR(IF(U24="","",INDEX('피벗값_매장명(동일)'!E:E,U24)),"")</f>
        <v>324186670</v>
      </c>
      <c r="F24" s="37">
        <f>IFERROR(IF(U24="","",INDEX('피벗값_매장명(동일)'!F:F,U24)),"")</f>
        <v>0.29318091467311691</v>
      </c>
      <c r="G24" s="36">
        <f>IFERROR(IF(U24="","",INDEX('피벗값_매장명(동일)'!G:G,U24)),"")</f>
        <v>160592051</v>
      </c>
      <c r="H24" s="36">
        <f>IFERROR(IF(U24="","",INDEX('피벗값_매장명(동일)'!H:H,U24)),"")</f>
        <v>208990633</v>
      </c>
      <c r="I24" s="37">
        <f>IFERROR(IF(U24="","",INDEX('피벗값_매장명(동일)'!I:I,U24)),"")</f>
        <v>0.64466140140802208</v>
      </c>
      <c r="J24" s="36">
        <f>IFERROR(IF(U24="","",INDEX('피벗값_매장명(동일)'!J:J,U24)),"")</f>
        <v>73856648</v>
      </c>
      <c r="K24" s="36">
        <f>IFERROR(IF(U24="","",INDEX('피벗값_매장명(동일)'!K:K,U24)),"")</f>
        <v>92593622</v>
      </c>
      <c r="L24" s="38">
        <f>IFERROR(IF(U24="","",INDEX('피벗값_매장명(동일)'!L:L,U24)),"")</f>
        <v>3.1828882830121334</v>
      </c>
      <c r="M24" s="36">
        <f>IFERROR(IF(U24="","",INDEX('피벗값_매장명(동일)'!M:M,U24)),"")</f>
        <v>37644830</v>
      </c>
      <c r="N24" s="36">
        <f>IFERROR(IF(U24="","",INDEX('피벗값_매장명(동일)'!N:N,U24)),"")</f>
        <v>40703050</v>
      </c>
      <c r="O24" s="37">
        <f>IFERROR(IF(U24="","",INDEX('피벗값_매장명(동일)'!O:O,U24)),"")</f>
        <v>0.12555436039365839</v>
      </c>
      <c r="P24" s="36">
        <f>IFERROR(IF(U24="","",INDEX('피벗값_매장명(동일)'!P:P,U24)),"")</f>
        <v>72136126</v>
      </c>
      <c r="Q24" s="36">
        <f>IFERROR(IF(U24="","",INDEX('피벗값_매장명(동일)'!Q:Q,U24)),"")</f>
        <v>97397864</v>
      </c>
      <c r="R24" s="37">
        <f>IFERROR(IF(U24="","",INDEX('피벗값_매장명(동일)'!R:R,U24)),"")</f>
        <v>0.33048135631239872</v>
      </c>
      <c r="S24" s="37">
        <f>IFERROR(IF(U24="","",INDEX('피벗값_매장명(동일)'!S:S,U24)),"")</f>
        <v>2.0106018831512459E-2</v>
      </c>
      <c r="T24" s="39">
        <f>IFERROR(IF(U24="","",INDEX('피벗값_매장명(동일)'!T:T,U24)),"")</f>
        <v>25261738</v>
      </c>
      <c r="U24" s="119">
        <f>IFERROR(MATCH(LARGE('피벗값_매장명(동일)'!$Q$6:$Q$70,20),'피벗값_매장명(동일)'!$Q$6:$Q$70,0)+6-1,"")</f>
        <v>27</v>
      </c>
    </row>
    <row r="25" spans="2:21" ht="14.25" customHeight="1">
      <c r="B25" s="35" t="str">
        <f>IFERROR(IF(U25="","",INDEX('피벗값_매장명(동일)'!B:B,U25)),"")</f>
        <v>00203</v>
      </c>
      <c r="C25" s="40" t="str">
        <f>IFERROR(IF(U25="","",INDEX('피벗값_매장명(동일)'!C:C,U25)),"")</f>
        <v>현대울산점</v>
      </c>
      <c r="D25" s="36">
        <f>IFERROR(IF(U25="","",INDEX('피벗값_매장명(동일)'!D:D,U25)),"")</f>
        <v>310578900</v>
      </c>
      <c r="E25" s="36">
        <f>IFERROR(IF(U25="","",INDEX('피벗값_매장명(동일)'!E:E,U25)),"")</f>
        <v>347567300</v>
      </c>
      <c r="F25" s="37">
        <f>IFERROR(IF(U25="","",INDEX('피벗값_매장명(동일)'!F:F,U25)),"")</f>
        <v>0.11909501901127217</v>
      </c>
      <c r="G25" s="36">
        <f>IFERROR(IF(U25="","",INDEX('피벗값_매장명(동일)'!G:G,U25)),"")</f>
        <v>209572259</v>
      </c>
      <c r="H25" s="36">
        <f>IFERROR(IF(U25="","",INDEX('피벗값_매장명(동일)'!H:H,U25)),"")</f>
        <v>216966062</v>
      </c>
      <c r="I25" s="37">
        <f>IFERROR(IF(U25="","",INDEX('피벗값_매장명(동일)'!I:I,U25)),"")</f>
        <v>0.62424187200579573</v>
      </c>
      <c r="J25" s="36">
        <f>IFERROR(IF(U25="","",INDEX('피벗값_매장명(동일)'!J:J,U25)),"")</f>
        <v>87626323</v>
      </c>
      <c r="K25" s="36">
        <f>IFERROR(IF(U25="","",INDEX('피벗값_매장명(동일)'!K:K,U25)),"")</f>
        <v>100831823</v>
      </c>
      <c r="L25" s="38">
        <f>IFERROR(IF(U25="","",INDEX('피벗값_매장명(동일)'!L:L,U25)),"")</f>
        <v>3.1336364188047328</v>
      </c>
      <c r="M25" s="36">
        <f>IFERROR(IF(U25="","",INDEX('피벗값_매장명(동일)'!M:M,U25)),"")</f>
        <v>40408350</v>
      </c>
      <c r="N25" s="36">
        <f>IFERROR(IF(U25="","",INDEX('피벗값_매장명(동일)'!N:N,U25)),"")</f>
        <v>41013400</v>
      </c>
      <c r="O25" s="37">
        <f>IFERROR(IF(U25="","",INDEX('피벗값_매장명(동일)'!O:O,U25)),"")</f>
        <v>0.11800131945669227</v>
      </c>
      <c r="P25" s="36">
        <f>IFERROR(IF(U25="","",INDEX('피벗값_매장명(동일)'!P:P,U25)),"")</f>
        <v>102893912</v>
      </c>
      <c r="Q25" s="36">
        <f>IFERROR(IF(U25="","",INDEX('피벗값_매장명(동일)'!Q:Q,U25)),"")</f>
        <v>96410051</v>
      </c>
      <c r="R25" s="37">
        <f>IFERROR(IF(U25="","",INDEX('피벗값_매장명(동일)'!R:R,U25)),"")</f>
        <v>0.30512380221039209</v>
      </c>
      <c r="S25" s="37">
        <f>IFERROR(IF(U25="","",INDEX('피벗값_매장명(동일)'!S:S,U25)),"")</f>
        <v>1.9902102791012712E-2</v>
      </c>
      <c r="T25" s="39">
        <f>IFERROR(IF(U25="","",INDEX('피벗값_매장명(동일)'!T:T,U25)),"")</f>
        <v>-6483861</v>
      </c>
      <c r="U25" s="119">
        <f>IFERROR(MATCH(LARGE('피벗값_매장명(동일)'!$Q$6:$Q$70,21),'피벗값_매장명(동일)'!$Q$6:$Q$70,0)+6-1,"")</f>
        <v>29</v>
      </c>
    </row>
    <row r="26" spans="2:21" ht="14.25" customHeight="1">
      <c r="B26" s="35" t="str">
        <f>IFERROR(IF(U26="","",INDEX('피벗값_매장명(동일)'!B:B,U26)),"")</f>
        <v>00111</v>
      </c>
      <c r="C26" s="40" t="str">
        <f>IFERROR(IF(U26="","",INDEX('피벗값_매장명(동일)'!C:C,U26)),"")</f>
        <v>롯데포항점</v>
      </c>
      <c r="D26" s="36">
        <f>IFERROR(IF(U26="","",INDEX('피벗값_매장명(동일)'!D:D,U26)),"")</f>
        <v>282624550</v>
      </c>
      <c r="E26" s="36">
        <f>IFERROR(IF(U26="","",INDEX('피벗값_매장명(동일)'!E:E,U26)),"")</f>
        <v>293790280</v>
      </c>
      <c r="F26" s="37">
        <f>IFERROR(IF(U26="","",INDEX('피벗값_매장명(동일)'!F:F,U26)),"")</f>
        <v>3.9507289794888663E-2</v>
      </c>
      <c r="G26" s="36">
        <f>IFERROR(IF(U26="","",INDEX('피벗값_매장명(동일)'!G:G,U26)),"")</f>
        <v>181269907</v>
      </c>
      <c r="H26" s="36">
        <f>IFERROR(IF(U26="","",INDEX('피벗값_매장명(동일)'!H:H,U26)),"")</f>
        <v>188363309</v>
      </c>
      <c r="I26" s="37">
        <f>IFERROR(IF(U26="","",INDEX('피벗값_매장명(동일)'!I:I,U26)),"")</f>
        <v>0.64114888007867377</v>
      </c>
      <c r="J26" s="36">
        <f>IFERROR(IF(U26="","",INDEX('피벗값_매장명(동일)'!J:J,U26)),"")</f>
        <v>84181505</v>
      </c>
      <c r="K26" s="36">
        <f>IFERROR(IF(U26="","",INDEX('피벗값_매장명(동일)'!K:K,U26)),"")</f>
        <v>83812337</v>
      </c>
      <c r="L26" s="38">
        <f>IFERROR(IF(U26="","",INDEX('피벗값_매장명(동일)'!L:L,U26)),"")</f>
        <v>3.1866677661938088</v>
      </c>
      <c r="M26" s="36">
        <f>IFERROR(IF(U26="","",INDEX('피벗값_매장명(동일)'!M:M,U26)),"")</f>
        <v>41640450</v>
      </c>
      <c r="N26" s="36">
        <f>IFERROR(IF(U26="","",INDEX('피벗값_매장명(동일)'!N:N,U26)),"")</f>
        <v>43422940</v>
      </c>
      <c r="O26" s="37">
        <f>IFERROR(IF(U26="","",INDEX('피벗값_매장명(동일)'!O:O,U26)),"")</f>
        <v>0.1478025072851287</v>
      </c>
      <c r="P26" s="36">
        <f>IFERROR(IF(U26="","",INDEX('피벗값_매장명(동일)'!P:P,U26)),"")</f>
        <v>80609320</v>
      </c>
      <c r="Q26" s="36">
        <f>IFERROR(IF(U26="","",INDEX('피벗값_매장명(동일)'!Q:Q,U26)),"")</f>
        <v>87427035</v>
      </c>
      <c r="R26" s="37">
        <f>IFERROR(IF(U26="","",INDEX('피벗값_매장명(동일)'!R:R,U26)),"")</f>
        <v>0.32734145765475975</v>
      </c>
      <c r="S26" s="37">
        <f>IFERROR(IF(U26="","",INDEX('피벗값_매장명(동일)'!S:S,U26)),"")</f>
        <v>1.8047722402755144E-2</v>
      </c>
      <c r="T26" s="39">
        <f>IFERROR(IF(U26="","",INDEX('피벗값_매장명(동일)'!T:T,U26)),"")</f>
        <v>6817715</v>
      </c>
      <c r="U26" s="119">
        <f>IFERROR(MATCH(LARGE('피벗값_매장명(동일)'!$Q$6:$Q$70,22),'피벗값_매장명(동일)'!$Q$6:$Q$70,0)+6-1,"")</f>
        <v>10</v>
      </c>
    </row>
    <row r="27" spans="2:21" ht="14.25" customHeight="1">
      <c r="B27" s="35" t="str">
        <f>IFERROR(IF(U27="","",INDEX('피벗값_매장명(동일)'!B:B,U27)),"")</f>
        <v>00114</v>
      </c>
      <c r="C27" s="40" t="str">
        <f>IFERROR(IF(U27="","",INDEX('피벗값_매장명(동일)'!C:C,U27)),"")</f>
        <v>롯데창원점</v>
      </c>
      <c r="D27" s="36">
        <f>IFERROR(IF(U27="","",INDEX('피벗값_매장명(동일)'!D:D,U27)),"")</f>
        <v>299016680</v>
      </c>
      <c r="E27" s="36">
        <f>IFERROR(IF(U27="","",INDEX('피벗값_매장명(동일)'!E:E,U27)),"")</f>
        <v>276462270</v>
      </c>
      <c r="F27" s="37">
        <f>IFERROR(IF(U27="","",INDEX('피벗값_매장명(동일)'!F:F,U27)),"")</f>
        <v>-7.5428601508116533E-2</v>
      </c>
      <c r="G27" s="36">
        <f>IFERROR(IF(U27="","",INDEX('피벗값_매장명(동일)'!G:G,U27)),"")</f>
        <v>191524203</v>
      </c>
      <c r="H27" s="36">
        <f>IFERROR(IF(U27="","",INDEX('피벗값_매장명(동일)'!H:H,U27)),"")</f>
        <v>177069746</v>
      </c>
      <c r="I27" s="37">
        <f>IFERROR(IF(U27="","",INDEX('피벗값_매장명(동일)'!I:I,U27)),"")</f>
        <v>0.64048430912471344</v>
      </c>
      <c r="J27" s="36">
        <f>IFERROR(IF(U27="","",INDEX('피벗값_매장명(동일)'!J:J,U27)),"")</f>
        <v>92390173</v>
      </c>
      <c r="K27" s="36">
        <f>IFERROR(IF(U27="","",INDEX('피벗값_매장명(동일)'!K:K,U27)),"")</f>
        <v>80314201</v>
      </c>
      <c r="L27" s="38">
        <f>IFERROR(IF(U27="","",INDEX('피벗값_매장명(동일)'!L:L,U27)),"")</f>
        <v>3.1293262366344945</v>
      </c>
      <c r="M27" s="36">
        <f>IFERROR(IF(U27="","",INDEX('피벗값_매장명(동일)'!M:M,U27)),"")</f>
        <v>40081750</v>
      </c>
      <c r="N27" s="36">
        <f>IFERROR(IF(U27="","",INDEX('피벗값_매장명(동일)'!N:N,U27)),"")</f>
        <v>35734470</v>
      </c>
      <c r="O27" s="37">
        <f>IFERROR(IF(U27="","",INDEX('피벗값_매장명(동일)'!O:O,U27)),"")</f>
        <v>0.12925622726023336</v>
      </c>
      <c r="P27" s="36">
        <f>IFERROR(IF(U27="","",INDEX('피벗값_매장명(동일)'!P:P,U27)),"")</f>
        <v>81722739</v>
      </c>
      <c r="Q27" s="36">
        <f>IFERROR(IF(U27="","",INDEX('피벗값_매장명(동일)'!Q:Q,U27)),"")</f>
        <v>80658295</v>
      </c>
      <c r="R27" s="37">
        <f>IFERROR(IF(U27="","",INDEX('피벗값_매장명(동일)'!R:R,U27)),"")</f>
        <v>0.32092670186061922</v>
      </c>
      <c r="S27" s="37">
        <f>IFERROR(IF(U27="","",INDEX('피벗값_매장명(동일)'!S:S,U27)),"")</f>
        <v>1.6650439050569808E-2</v>
      </c>
      <c r="T27" s="39">
        <f>IFERROR(IF(U27="","",INDEX('피벗값_매장명(동일)'!T:T,U27)),"")</f>
        <v>-1064444</v>
      </c>
      <c r="U27" s="119">
        <f>IFERROR(MATCH(LARGE('피벗값_매장명(동일)'!$Q$6:$Q$70,23),'피벗값_매장명(동일)'!$Q$6:$Q$70,0)+6-1,"")</f>
        <v>13</v>
      </c>
    </row>
    <row r="28" spans="2:21" ht="14.25" customHeight="1">
      <c r="B28" s="35" t="str">
        <f>IFERROR(IF(U28="","",INDEX('피벗값_매장명(동일)'!B:B,U28)),"")</f>
        <v>05009</v>
      </c>
      <c r="C28" s="40" t="str">
        <f>IFERROR(IF(U28="","",INDEX('피벗값_매장명(동일)'!C:C,U28)),"")</f>
        <v>롯데아울렛동부산점</v>
      </c>
      <c r="D28" s="36">
        <f>IFERROR(IF(U28="","",INDEX('피벗값_매장명(동일)'!D:D,U28)),"")</f>
        <v>189274320</v>
      </c>
      <c r="E28" s="36">
        <f>IFERROR(IF(U28="","",INDEX('피벗값_매장명(동일)'!E:E,U28)),"")</f>
        <v>205105890</v>
      </c>
      <c r="F28" s="37">
        <f>IFERROR(IF(U28="","",INDEX('피벗값_매장명(동일)'!F:F,U28)),"")</f>
        <v>8.36435180430182E-2</v>
      </c>
      <c r="G28" s="36">
        <f>IFERROR(IF(U28="","",INDEX('피벗값_매장명(동일)'!G:G,U28)),"")</f>
        <v>145741318</v>
      </c>
      <c r="H28" s="36">
        <f>IFERROR(IF(U28="","",INDEX('피벗값_매장명(동일)'!H:H,U28)),"")</f>
        <v>157931602</v>
      </c>
      <c r="I28" s="37">
        <f>IFERROR(IF(U28="","",INDEX('피벗값_매장명(동일)'!I:I,U28)),"")</f>
        <v>0.77000032519787709</v>
      </c>
      <c r="J28" s="36">
        <f>IFERROR(IF(U28="","",INDEX('피벗값_매장명(동일)'!J:J,U28)),"")</f>
        <v>61666774</v>
      </c>
      <c r="K28" s="36">
        <f>IFERROR(IF(U28="","",INDEX('피벗값_매장명(동일)'!K:K,U28)),"")</f>
        <v>63886803</v>
      </c>
      <c r="L28" s="38">
        <f>IFERROR(IF(U28="","",INDEX('피벗값_매장명(동일)'!L:L,U28)),"")</f>
        <v>2.9185980710288471</v>
      </c>
      <c r="M28" s="36">
        <f>IFERROR(IF(U28="","",INDEX('피벗값_매장명(동일)'!M:M,U28)),"")</f>
        <v>32217700</v>
      </c>
      <c r="N28" s="36">
        <f>IFERROR(IF(U28="","",INDEX('피벗값_매장명(동일)'!N:N,U28)),"")</f>
        <v>36011160</v>
      </c>
      <c r="O28" s="37">
        <f>IFERROR(IF(U28="","",INDEX('피벗값_매장명(동일)'!O:O,U28)),"")</f>
        <v>0.17557350498320648</v>
      </c>
      <c r="P28" s="36">
        <f>IFERROR(IF(U28="","",INDEX('피벗값_매장명(동일)'!P:P,U28)),"")</f>
        <v>70825334</v>
      </c>
      <c r="Q28" s="36">
        <f>IFERROR(IF(U28="","",INDEX('피벗값_매장명(동일)'!Q:Q,U28)),"")</f>
        <v>79687380</v>
      </c>
      <c r="R28" s="37">
        <f>IFERROR(IF(U28="","",INDEX('피벗값_매장명(동일)'!R:R,U28)),"")</f>
        <v>0.42737006723697701</v>
      </c>
      <c r="S28" s="37">
        <f>IFERROR(IF(U28="","",INDEX('피벗값_매장명(동일)'!S:S,U28)),"")</f>
        <v>1.6450011295051494E-2</v>
      </c>
      <c r="T28" s="39">
        <f>IFERROR(IF(U28="","",INDEX('피벗값_매장명(동일)'!T:T,U28)),"")</f>
        <v>8862046</v>
      </c>
      <c r="U28" s="119">
        <f>IFERROR(MATCH(LARGE('피벗값_매장명(동일)'!$Q$6:$Q$70,24),'피벗값_매장명(동일)'!$Q$6:$Q$70,0)+6-1,"")</f>
        <v>63</v>
      </c>
    </row>
    <row r="29" spans="2:21" ht="14.25" customHeight="1">
      <c r="B29" s="35" t="str">
        <f>IFERROR(IF(U29="","",INDEX('피벗값_매장명(동일)'!B:B,U29)),"")</f>
        <v>00308</v>
      </c>
      <c r="C29" s="40" t="str">
        <f>IFERROR(IF(U29="","",INDEX('피벗값_매장명(동일)'!C:C,U29)),"")</f>
        <v>신세계타임스퀘어점</v>
      </c>
      <c r="D29" s="36">
        <f>IFERROR(IF(U29="","",INDEX('피벗값_매장명(동일)'!D:D,U29)),"")</f>
        <v>214400900</v>
      </c>
      <c r="E29" s="36">
        <f>IFERROR(IF(U29="","",INDEX('피벗값_매장명(동일)'!E:E,U29)),"")</f>
        <v>261120780</v>
      </c>
      <c r="F29" s="37">
        <f>IFERROR(IF(U29="","",INDEX('피벗값_매장명(동일)'!F:F,U29)),"")</f>
        <v>0.21790897332986942</v>
      </c>
      <c r="G29" s="36">
        <f>IFERROR(IF(U29="","",INDEX('피벗값_매장명(동일)'!G:G,U29)),"")</f>
        <v>135397941</v>
      </c>
      <c r="H29" s="36">
        <f>IFERROR(IF(U29="","",INDEX('피벗값_매장명(동일)'!H:H,U29)),"")</f>
        <v>165278400</v>
      </c>
      <c r="I29" s="37">
        <f>IFERROR(IF(U29="","",INDEX('피벗값_매장명(동일)'!I:I,U29)),"")</f>
        <v>0.63295766809520104</v>
      </c>
      <c r="J29" s="36">
        <f>IFERROR(IF(U29="","",INDEX('피벗값_매장명(동일)'!J:J,U29)),"")</f>
        <v>62453454</v>
      </c>
      <c r="K29" s="36">
        <f>IFERROR(IF(U29="","",INDEX('피벗값_매장명(동일)'!K:K,U29)),"")</f>
        <v>71405778</v>
      </c>
      <c r="L29" s="38">
        <f>IFERROR(IF(U29="","",INDEX('피벗값_매장명(동일)'!L:L,U29)),"")</f>
        <v>3.3244162296323871</v>
      </c>
      <c r="M29" s="36">
        <f>IFERROR(IF(U29="","",INDEX('피벗값_매장명(동일)'!M:M,U29)),"")</f>
        <v>27571920</v>
      </c>
      <c r="N29" s="36">
        <f>IFERROR(IF(U29="","",INDEX('피벗값_매장명(동일)'!N:N,U29)),"")</f>
        <v>33396490</v>
      </c>
      <c r="O29" s="37">
        <f>IFERROR(IF(U29="","",INDEX('피벗값_매장명(동일)'!O:O,U29)),"")</f>
        <v>0.12789671507568259</v>
      </c>
      <c r="P29" s="36">
        <f>IFERROR(IF(U29="","",INDEX('피벗값_매장명(동일)'!P:P,U29)),"")</f>
        <v>60635583</v>
      </c>
      <c r="Q29" s="36">
        <f>IFERROR(IF(U29="","",INDEX('피벗값_매장명(동일)'!Q:Q,U29)),"")</f>
        <v>78847313</v>
      </c>
      <c r="R29" s="37">
        <f>IFERROR(IF(U29="","",INDEX('피벗값_매장명(동일)'!R:R,U29)),"")</f>
        <v>0.33215297648850473</v>
      </c>
      <c r="S29" s="37">
        <f>IFERROR(IF(U29="","",INDEX('피벗값_매장명(동일)'!S:S,U29)),"")</f>
        <v>1.6276594730990787E-2</v>
      </c>
      <c r="T29" s="39">
        <f>IFERROR(IF(U29="","",INDEX('피벗값_매장명(동일)'!T:T,U29)),"")</f>
        <v>18211730</v>
      </c>
      <c r="U29" s="119">
        <f>IFERROR(MATCH(LARGE('피벗값_매장명(동일)'!$Q$6:$Q$70,25),'피벗값_매장명(동일)'!$Q$6:$Q$70,0)+6-1,"")</f>
        <v>43</v>
      </c>
    </row>
    <row r="30" spans="2:21" ht="14.25" customHeight="1">
      <c r="B30" s="35" t="str">
        <f>IFERROR(IF(U30="","",INDEX('피벗값_매장명(동일)'!B:B,U30)),"")</f>
        <v>00315</v>
      </c>
      <c r="C30" s="40" t="str">
        <f>IFERROR(IF(U30="","",INDEX('피벗값_매장명(동일)'!C:C,U30)),"")</f>
        <v>신세계대전점</v>
      </c>
      <c r="D30" s="36">
        <f>IFERROR(IF(U30="","",INDEX('피벗값_매장명(동일)'!D:D,U30)),"")</f>
        <v>221730450</v>
      </c>
      <c r="E30" s="36">
        <f>IFERROR(IF(U30="","",INDEX('피벗값_매장명(동일)'!E:E,U30)),"")</f>
        <v>246018830</v>
      </c>
      <c r="F30" s="37">
        <f>IFERROR(IF(U30="","",INDEX('피벗값_매장명(동일)'!F:F,U30)),"")</f>
        <v>0.10954011954605243</v>
      </c>
      <c r="G30" s="36">
        <f>IFERROR(IF(U30="","",INDEX('피벗값_매장명(동일)'!G:G,U30)),"")</f>
        <v>142349044</v>
      </c>
      <c r="H30" s="36">
        <f>IFERROR(IF(U30="","",INDEX('피벗값_매장명(동일)'!H:H,U30)),"")</f>
        <v>157477955</v>
      </c>
      <c r="I30" s="37">
        <f>IFERROR(IF(U30="","",INDEX('피벗값_매장명(동일)'!I:I,U30)),"")</f>
        <v>0.6401052919404584</v>
      </c>
      <c r="J30" s="36">
        <f>IFERROR(IF(U30="","",INDEX('피벗값_매장명(동일)'!J:J,U30)),"")</f>
        <v>66200730</v>
      </c>
      <c r="K30" s="36">
        <f>IFERROR(IF(U30="","",INDEX('피벗값_매장명(동일)'!K:K,U30)),"")</f>
        <v>65652934</v>
      </c>
      <c r="L30" s="38">
        <f>IFERROR(IF(U30="","",INDEX('피벗값_매장명(동일)'!L:L,U30)),"")</f>
        <v>3.4066029984003734</v>
      </c>
      <c r="M30" s="36">
        <f>IFERROR(IF(U30="","",INDEX('피벗값_매장명(동일)'!M:M,U30)),"")</f>
        <v>31290080</v>
      </c>
      <c r="N30" s="36">
        <f>IFERROR(IF(U30="","",INDEX('피벗값_매장명(동일)'!N:N,U30)),"")</f>
        <v>29178010</v>
      </c>
      <c r="O30" s="37">
        <f>IFERROR(IF(U30="","",INDEX('피벗값_매장명(동일)'!O:O,U30)),"")</f>
        <v>0.11860071848971886</v>
      </c>
      <c r="P30" s="36">
        <f>IFERROR(IF(U30="","",INDEX('피벗값_매장명(동일)'!P:P,U30)),"")</f>
        <v>63207492</v>
      </c>
      <c r="Q30" s="36">
        <f>IFERROR(IF(U30="","",INDEX('피벗값_매장명(동일)'!Q:Q,U30)),"")</f>
        <v>77508844</v>
      </c>
      <c r="R30" s="37">
        <f>IFERROR(IF(U30="","",INDEX('피벗값_매장명(동일)'!R:R,U30)),"")</f>
        <v>0.34655773462543499</v>
      </c>
      <c r="S30" s="37">
        <f>IFERROR(IF(U30="","",INDEX('피벗값_매장명(동일)'!S:S,U30)),"")</f>
        <v>1.6000292132410228E-2</v>
      </c>
      <c r="T30" s="39">
        <f>IFERROR(IF(U30="","",INDEX('피벗값_매장명(동일)'!T:T,U30)),"")</f>
        <v>14301352</v>
      </c>
      <c r="U30" s="119">
        <f>IFERROR(MATCH(LARGE('피벗값_매장명(동일)'!$Q$6:$Q$70,26),'피벗값_매장명(동일)'!$Q$6:$Q$70,0)+6-1,"")</f>
        <v>49</v>
      </c>
    </row>
    <row r="31" spans="2:21" ht="14.25" customHeight="1">
      <c r="B31" s="35" t="str">
        <f>IFERROR(IF(U31="","",INDEX('피벗값_매장명(동일)'!B:B,U31)),"")</f>
        <v>00303</v>
      </c>
      <c r="C31" s="40" t="str">
        <f>IFERROR(IF(U31="","",INDEX('피벗값_매장명(동일)'!C:C,U31)),"")</f>
        <v>신세계마산점</v>
      </c>
      <c r="D31" s="36">
        <f>IFERROR(IF(U31="","",INDEX('피벗값_매장명(동일)'!D:D,U31)),"")</f>
        <v>273929580</v>
      </c>
      <c r="E31" s="36">
        <f>IFERROR(IF(U31="","",INDEX('피벗값_매장명(동일)'!E:E,U31)),"")</f>
        <v>257834120</v>
      </c>
      <c r="F31" s="37">
        <f>IFERROR(IF(U31="","",INDEX('피벗값_매장명(동일)'!F:F,U31)),"")</f>
        <v>-5.8757655890977527E-2</v>
      </c>
      <c r="G31" s="36">
        <f>IFERROR(IF(U31="","",INDEX('피벗값_매장명(동일)'!G:G,U31)),"")</f>
        <v>173658447</v>
      </c>
      <c r="H31" s="36">
        <f>IFERROR(IF(U31="","",INDEX('피벗값_매장명(동일)'!H:H,U31)),"")</f>
        <v>164185797</v>
      </c>
      <c r="I31" s="37">
        <f>IFERROR(IF(U31="","",INDEX('피벗값_매장명(동일)'!I:I,U31)),"")</f>
        <v>0.63678847857684628</v>
      </c>
      <c r="J31" s="36">
        <f>IFERROR(IF(U31="","",INDEX('피벗값_매장명(동일)'!J:J,U31)),"")</f>
        <v>82025893</v>
      </c>
      <c r="K31" s="36">
        <f>IFERROR(IF(U31="","",INDEX('피벗값_매장명(동일)'!K:K,U31)),"")</f>
        <v>72428323</v>
      </c>
      <c r="L31" s="38">
        <f>IFERROR(IF(U31="","",INDEX('피벗값_매장명(동일)'!L:L,U31)),"")</f>
        <v>3.2362292102973935</v>
      </c>
      <c r="M31" s="36">
        <f>IFERROR(IF(U31="","",INDEX('피벗값_매장명(동일)'!M:M,U31)),"")</f>
        <v>46143260</v>
      </c>
      <c r="N31" s="36">
        <f>IFERROR(IF(U31="","",INDEX('피벗값_매장명(동일)'!N:N,U31)),"")</f>
        <v>45176670</v>
      </c>
      <c r="O31" s="37">
        <f>IFERROR(IF(U31="","",INDEX('피벗값_매장명(동일)'!O:O,U31)),"")</f>
        <v>0.17521602649021006</v>
      </c>
      <c r="P31" s="36">
        <f>IFERROR(IF(U31="","",INDEX('피벗값_매장명(동일)'!P:P,U31)),"")</f>
        <v>75845423</v>
      </c>
      <c r="Q31" s="36">
        <f>IFERROR(IF(U31="","",INDEX('피벗값_매장명(동일)'!Q:Q,U31)),"")</f>
        <v>76831492</v>
      </c>
      <c r="R31" s="37">
        <f>IFERROR(IF(U31="","",INDEX('피벗값_매장명(동일)'!R:R,U31)),"")</f>
        <v>0.32778687785774824</v>
      </c>
      <c r="S31" s="37">
        <f>IFERROR(IF(U31="","",INDEX('피벗값_매장명(동일)'!S:S,U31)),"")</f>
        <v>1.5860465122779274E-2</v>
      </c>
      <c r="T31" s="39">
        <f>IFERROR(IF(U31="","",INDEX('피벗값_매장명(동일)'!T:T,U31)),"")</f>
        <v>986069</v>
      </c>
      <c r="U31" s="119">
        <f>IFERROR(MATCH(LARGE('피벗값_매장명(동일)'!$Q$6:$Q$70,27),'피벗값_매장명(동일)'!$Q$6:$Q$70,0)+6-1,"")</f>
        <v>39</v>
      </c>
    </row>
    <row r="32" spans="2:21" ht="14.25" customHeight="1">
      <c r="B32" s="35" t="str">
        <f>IFERROR(IF(U32="","",INDEX('피벗값_매장명(동일)'!B:B,U32)),"")</f>
        <v>05006</v>
      </c>
      <c r="C32" s="40" t="str">
        <f>IFERROR(IF(U32="","",INDEX('피벗값_매장명(동일)'!C:C,U32)),"")</f>
        <v>롯데아울렛광교점</v>
      </c>
      <c r="D32" s="36">
        <f>IFERROR(IF(U32="","",INDEX('피벗값_매장명(동일)'!D:D,U32)),"")</f>
        <v>210834740</v>
      </c>
      <c r="E32" s="36">
        <f>IFERROR(IF(U32="","",INDEX('피벗값_매장명(동일)'!E:E,U32)),"")</f>
        <v>201610880</v>
      </c>
      <c r="F32" s="37">
        <f>IFERROR(IF(U32="","",INDEX('피벗값_매장명(동일)'!F:F,U32)),"")</f>
        <v>-4.3749241704664044E-2</v>
      </c>
      <c r="G32" s="36">
        <f>IFERROR(IF(U32="","",INDEX('피벗값_매장명(동일)'!G:G,U32)),"")</f>
        <v>162342914</v>
      </c>
      <c r="H32" s="36">
        <f>IFERROR(IF(U32="","",INDEX('피벗값_매장명(동일)'!H:H,U32)),"")</f>
        <v>155240520</v>
      </c>
      <c r="I32" s="37">
        <f>IFERROR(IF(U32="","",INDEX('피벗값_매장명(동일)'!I:I,U32)),"")</f>
        <v>0.77000070631108797</v>
      </c>
      <c r="J32" s="36">
        <f>IFERROR(IF(U32="","",INDEX('피벗값_매장명(동일)'!J:J,U32)),"")</f>
        <v>70283269</v>
      </c>
      <c r="K32" s="36">
        <f>IFERROR(IF(U32="","",INDEX('피벗값_매장명(동일)'!K:K,U32)),"")</f>
        <v>64334498</v>
      </c>
      <c r="L32" s="38">
        <f>IFERROR(IF(U32="","",INDEX('피벗값_매장명(동일)'!L:L,U32)),"")</f>
        <v>2.8489010387835489</v>
      </c>
      <c r="M32" s="36">
        <f>IFERROR(IF(U32="","",INDEX('피벗값_매장명(동일)'!M:M,U32)),"")</f>
        <v>39302810</v>
      </c>
      <c r="N32" s="36">
        <f>IFERROR(IF(U32="","",INDEX('피벗값_매장명(동일)'!N:N,U32)),"")</f>
        <v>39231610</v>
      </c>
      <c r="O32" s="37">
        <f>IFERROR(IF(U32="","",INDEX('피벗값_매장명(동일)'!O:O,U32)),"")</f>
        <v>0.19459073835697757</v>
      </c>
      <c r="P32" s="36">
        <f>IFERROR(IF(U32="","",INDEX('피벗값_매장명(동일)'!P:P,U32)),"")</f>
        <v>77301199</v>
      </c>
      <c r="Q32" s="36">
        <f>IFERROR(IF(U32="","",INDEX('피벗값_매장명(동일)'!Q:Q,U32)),"")</f>
        <v>76793248</v>
      </c>
      <c r="R32" s="37">
        <f>IFERROR(IF(U32="","",INDEX('피벗값_매장명(동일)'!R:R,U32)),"")</f>
        <v>0.41898816571804065</v>
      </c>
      <c r="S32" s="37">
        <f>IFERROR(IF(U32="","",INDEX('피벗값_매장명(동일)'!S:S,U32)),"")</f>
        <v>1.5852570344058126E-2</v>
      </c>
      <c r="T32" s="39">
        <f>IFERROR(IF(U32="","",INDEX('피벗값_매장명(동일)'!T:T,U32)),"")</f>
        <v>-507951</v>
      </c>
      <c r="U32" s="119">
        <f>IFERROR(MATCH(LARGE('피벗값_매장명(동일)'!$Q$6:$Q$70,28),'피벗값_매장명(동일)'!$Q$6:$Q$70,0)+6-1,"")</f>
        <v>61</v>
      </c>
    </row>
    <row r="33" spans="2:21" ht="14.25" customHeight="1">
      <c r="B33" s="35" t="str">
        <f>IFERROR(IF(U33="","",INDEX('피벗값_매장명(동일)'!B:B,U33)),"")</f>
        <v>05004</v>
      </c>
      <c r="C33" s="40" t="str">
        <f>IFERROR(IF(U33="","",INDEX('피벗값_매장명(동일)'!C:C,U33)),"")</f>
        <v>롯데아울렛광명점</v>
      </c>
      <c r="D33" s="36">
        <f>IFERROR(IF(U33="","",INDEX('피벗값_매장명(동일)'!D:D,U33)),"")</f>
        <v>193276390</v>
      </c>
      <c r="E33" s="36">
        <f>IFERROR(IF(U33="","",INDEX('피벗값_매장명(동일)'!E:E,U33)),"")</f>
        <v>190993090</v>
      </c>
      <c r="F33" s="37">
        <f>IFERROR(IF(U33="","",INDEX('피벗값_매장명(동일)'!F:F,U33)),"")</f>
        <v>-1.1813651941657229E-2</v>
      </c>
      <c r="G33" s="36">
        <f>IFERROR(IF(U33="","",INDEX('피벗값_매장명(동일)'!G:G,U33)),"")</f>
        <v>147856610</v>
      </c>
      <c r="H33" s="36">
        <f>IFERROR(IF(U33="","",INDEX('피벗값_매장명(동일)'!H:H,U33)),"")</f>
        <v>146109877</v>
      </c>
      <c r="I33" s="37">
        <f>IFERROR(IF(U33="","",INDEX('피벗값_매장명(동일)'!I:I,U33)),"")</f>
        <v>0.76500085421938568</v>
      </c>
      <c r="J33" s="36">
        <f>IFERROR(IF(U33="","",INDEX('피벗값_매장명(동일)'!J:J,U33)),"")</f>
        <v>62522792</v>
      </c>
      <c r="K33" s="36">
        <f>IFERROR(IF(U33="","",INDEX('피벗값_매장명(동일)'!K:K,U33)),"")</f>
        <v>57173623</v>
      </c>
      <c r="L33" s="38">
        <f>IFERROR(IF(U33="","",INDEX('피벗값_매장명(동일)'!L:L,U33)),"")</f>
        <v>3.0368913619166973</v>
      </c>
      <c r="M33" s="36">
        <f>IFERROR(IF(U33="","",INDEX('피벗값_매장명(동일)'!M:M,U33)),"")</f>
        <v>35456510</v>
      </c>
      <c r="N33" s="36">
        <f>IFERROR(IF(U33="","",INDEX('피벗값_매장명(동일)'!N:N,U33)),"")</f>
        <v>35068940</v>
      </c>
      <c r="O33" s="37">
        <f>IFERROR(IF(U33="","",INDEX('피벗값_매장명(동일)'!O:O,U33)),"")</f>
        <v>0.18361365848366556</v>
      </c>
      <c r="P33" s="36">
        <f>IFERROR(IF(U33="","",INDEX('피벗값_매장명(동일)'!P:P,U33)),"")</f>
        <v>71892309</v>
      </c>
      <c r="Q33" s="36">
        <f>IFERROR(IF(U33="","",INDEX('피벗값_매장명(동일)'!Q:Q,U33)),"")</f>
        <v>75653539</v>
      </c>
      <c r="R33" s="37">
        <f>IFERROR(IF(U33="","",INDEX('피벗값_매장명(동일)'!R:R,U33)),"")</f>
        <v>0.4357167733136314</v>
      </c>
      <c r="S33" s="37">
        <f>IFERROR(IF(U33="","",INDEX('피벗값_매장명(동일)'!S:S,U33)),"")</f>
        <v>1.5617298135044956E-2</v>
      </c>
      <c r="T33" s="39">
        <f>IFERROR(IF(U33="","",INDEX('피벗값_매장명(동일)'!T:T,U33)),"")</f>
        <v>3761230</v>
      </c>
      <c r="U33" s="119">
        <f>IFERROR(MATCH(LARGE('피벗값_매장명(동일)'!$Q$6:$Q$70,29),'피벗값_매장명(동일)'!$Q$6:$Q$70,0)+6-1,"")</f>
        <v>59</v>
      </c>
    </row>
    <row r="34" spans="2:21" ht="14.25" customHeight="1">
      <c r="B34" s="35" t="str">
        <f>IFERROR(IF(U34="","",INDEX('피벗값_매장명(동일)'!B:B,U34)),"")</f>
        <v>00214</v>
      </c>
      <c r="C34" s="40" t="str">
        <f>IFERROR(IF(U34="","",INDEX('피벗값_매장명(동일)'!C:C,U34)),"")</f>
        <v>현대충청점</v>
      </c>
      <c r="D34" s="36">
        <f>IFERROR(IF(U34="","",INDEX('피벗값_매장명(동일)'!D:D,U34)),"")</f>
        <v>270587890</v>
      </c>
      <c r="E34" s="36">
        <f>IFERROR(IF(U34="","",INDEX('피벗값_매장명(동일)'!E:E,U34)),"")</f>
        <v>260099570</v>
      </c>
      <c r="F34" s="37">
        <f>IFERROR(IF(U34="","",INDEX('피벗값_매장명(동일)'!F:F,U34)),"")</f>
        <v>-3.8761232071398317E-2</v>
      </c>
      <c r="G34" s="36">
        <f>IFERROR(IF(U34="","",INDEX('피벗값_매장명(동일)'!G:G,U34)),"")</f>
        <v>184866193</v>
      </c>
      <c r="H34" s="36">
        <f>IFERROR(IF(U34="","",INDEX('피벗값_매장명(동일)'!H:H,U34)),"")</f>
        <v>163185660</v>
      </c>
      <c r="I34" s="37">
        <f>IFERROR(IF(U34="","",INDEX('피벗값_매장명(동일)'!I:I,U34)),"")</f>
        <v>0.62739688496985979</v>
      </c>
      <c r="J34" s="36">
        <f>IFERROR(IF(U34="","",INDEX('피벗값_매장명(동일)'!J:J,U34)),"")</f>
        <v>79863305</v>
      </c>
      <c r="K34" s="36">
        <f>IFERROR(IF(U34="","",INDEX('피벗값_매장명(동일)'!K:K,U34)),"")</f>
        <v>73357723</v>
      </c>
      <c r="L34" s="38">
        <f>IFERROR(IF(U34="","",INDEX('피벗값_매장명(동일)'!L:L,U34)),"")</f>
        <v>3.2233028081508817</v>
      </c>
      <c r="M34" s="36">
        <f>IFERROR(IF(U34="","",INDEX('피벗값_매장명(동일)'!M:M,U34)),"")</f>
        <v>39536960</v>
      </c>
      <c r="N34" s="36">
        <f>IFERROR(IF(U34="","",INDEX('피벗값_매장명(동일)'!N:N,U34)),"")</f>
        <v>35582310</v>
      </c>
      <c r="O34" s="37">
        <f>IFERROR(IF(U34="","",INDEX('피벗값_매장명(동일)'!O:O,U34)),"")</f>
        <v>0.13680264830887648</v>
      </c>
      <c r="P34" s="36">
        <f>IFERROR(IF(U34="","",INDEX('피벗값_매장명(동일)'!P:P,U34)),"")</f>
        <v>88196871</v>
      </c>
      <c r="Q34" s="36">
        <f>IFERROR(IF(U34="","",INDEX('피벗값_매장명(동일)'!Q:Q,U34)),"")</f>
        <v>74992878</v>
      </c>
      <c r="R34" s="37">
        <f>IFERROR(IF(U34="","",INDEX('피벗값_매장명(동일)'!R:R,U34)),"")</f>
        <v>0.3171561021804073</v>
      </c>
      <c r="S34" s="37">
        <f>IFERROR(IF(U34="","",INDEX('피벗값_매장명(동일)'!S:S,U34)),"")</f>
        <v>1.5480916679007625E-2</v>
      </c>
      <c r="T34" s="39">
        <f>IFERROR(IF(U34="","",INDEX('피벗값_매장명(동일)'!T:T,U34)),"")</f>
        <v>-13203993</v>
      </c>
      <c r="U34" s="119">
        <f>IFERROR(MATCH(LARGE('피벗값_매장명(동일)'!$Q$6:$Q$70,30),'피벗값_매장명(동일)'!$Q$6:$Q$70,0)+6-1,"")</f>
        <v>34</v>
      </c>
    </row>
    <row r="35" spans="2:21" ht="14.25" customHeight="1">
      <c r="B35" s="35" t="str">
        <f>IFERROR(IF(U35="","",INDEX('피벗값_매장명(동일)'!B:B,U35)),"")</f>
        <v>00311</v>
      </c>
      <c r="C35" s="40" t="str">
        <f>IFERROR(IF(U35="","",INDEX('피벗값_매장명(동일)'!C:C,U35)),"")</f>
        <v>신세계김해점</v>
      </c>
      <c r="D35" s="36">
        <f>IFERROR(IF(U35="","",INDEX('피벗값_매장명(동일)'!D:D,U35)),"")</f>
        <v>236465790</v>
      </c>
      <c r="E35" s="36">
        <f>IFERROR(IF(U35="","",INDEX('피벗값_매장명(동일)'!E:E,U35)),"")</f>
        <v>257196200</v>
      </c>
      <c r="F35" s="37">
        <f>IFERROR(IF(U35="","",INDEX('피벗값_매장명(동일)'!F:F,U35)),"")</f>
        <v>8.7667691804383205E-2</v>
      </c>
      <c r="G35" s="36">
        <f>IFERROR(IF(U35="","",INDEX('피벗값_매장명(동일)'!G:G,U35)),"")</f>
        <v>151041152</v>
      </c>
      <c r="H35" s="36">
        <f>IFERROR(IF(U35="","",INDEX('피벗값_매장명(동일)'!H:H,U35)),"")</f>
        <v>163842142</v>
      </c>
      <c r="I35" s="37">
        <f>IFERROR(IF(U35="","",INDEX('피벗값_매장명(동일)'!I:I,U35)),"")</f>
        <v>0.63703173686080894</v>
      </c>
      <c r="J35" s="36">
        <f>IFERROR(IF(U35="","",INDEX('피벗값_매장명(동일)'!J:J,U35)),"")</f>
        <v>75387768</v>
      </c>
      <c r="K35" s="36">
        <f>IFERROR(IF(U35="","",INDEX('피벗값_매장명(동일)'!K:K,U35)),"")</f>
        <v>76083845</v>
      </c>
      <c r="L35" s="38">
        <f>IFERROR(IF(U35="","",INDEX('피벗값_매장명(동일)'!L:L,U35)),"")</f>
        <v>3.0731192314574436</v>
      </c>
      <c r="M35" s="36">
        <f>IFERROR(IF(U35="","",INDEX('피벗값_매장명(동일)'!M:M,U35)),"")</f>
        <v>33048610</v>
      </c>
      <c r="N35" s="36">
        <f>IFERROR(IF(U35="","",INDEX('피벗값_매장명(동일)'!N:N,U35)),"")</f>
        <v>34935340</v>
      </c>
      <c r="O35" s="37">
        <f>IFERROR(IF(U35="","",INDEX('피벗값_매장명(동일)'!O:O,U35)),"")</f>
        <v>0.13583147807004925</v>
      </c>
      <c r="P35" s="36">
        <f>IFERROR(IF(U35="","",INDEX('피벗값_매장명(동일)'!P:P,U35)),"")</f>
        <v>61922370</v>
      </c>
      <c r="Q35" s="36">
        <f>IFERROR(IF(U35="","",INDEX('피벗값_매장명(동일)'!Q:Q,U35)),"")</f>
        <v>72863557</v>
      </c>
      <c r="R35" s="37">
        <f>IFERROR(IF(U35="","",INDEX('피벗값_매장명(동일)'!R:R,U35)),"")</f>
        <v>0.31162945914441975</v>
      </c>
      <c r="S35" s="37">
        <f>IFERROR(IF(U35="","",INDEX('피벗값_매장명(동일)'!S:S,U35)),"")</f>
        <v>1.504135705864126E-2</v>
      </c>
      <c r="T35" s="39">
        <f>IFERROR(IF(U35="","",INDEX('피벗값_매장명(동일)'!T:T,U35)),"")</f>
        <v>10941187</v>
      </c>
      <c r="U35" s="119">
        <f>IFERROR(MATCH(LARGE('피벗값_매장명(동일)'!$Q$6:$Q$70,31),'피벗값_매장명(동일)'!$Q$6:$Q$70,0)+6-1,"")</f>
        <v>46</v>
      </c>
    </row>
    <row r="36" spans="2:21" ht="14.25" customHeight="1">
      <c r="B36" s="35" t="str">
        <f>IFERROR(IF(U36="","",INDEX('피벗값_매장명(동일)'!B:B,U36)),"")</f>
        <v>00106</v>
      </c>
      <c r="C36" s="40" t="str">
        <f>IFERROR(IF(U36="","",INDEX('피벗값_매장명(동일)'!C:C,U36)),"")</f>
        <v>롯데광주점</v>
      </c>
      <c r="D36" s="36">
        <f>IFERROR(IF(U36="","",INDEX('피벗값_매장명(동일)'!D:D,U36)),"")</f>
        <v>260717950</v>
      </c>
      <c r="E36" s="36">
        <f>IFERROR(IF(U36="","",INDEX('피벗값_매장명(동일)'!E:E,U36)),"")</f>
        <v>256148830</v>
      </c>
      <c r="F36" s="37">
        <f>IFERROR(IF(U36="","",INDEX('피벗값_매장명(동일)'!F:F,U36)),"")</f>
        <v>-1.7525145468503416E-2</v>
      </c>
      <c r="G36" s="36">
        <f>IFERROR(IF(U36="","",INDEX('피벗값_매장명(동일)'!G:G,U36)),"")</f>
        <v>167079816</v>
      </c>
      <c r="H36" s="36">
        <f>IFERROR(IF(U36="","",INDEX('피벗값_매장명(동일)'!H:H,U36)),"")</f>
        <v>163826099</v>
      </c>
      <c r="I36" s="37">
        <f>IFERROR(IF(U36="","",INDEX('피벗값_매장명(동일)'!I:I,U36)),"")</f>
        <v>0.63957387195561266</v>
      </c>
      <c r="J36" s="36">
        <f>IFERROR(IF(U36="","",INDEX('피벗값_매장명(동일)'!J:J,U36)),"")</f>
        <v>82989002</v>
      </c>
      <c r="K36" s="36">
        <f>IFERROR(IF(U36="","",INDEX('피벗값_매장명(동일)'!K:K,U36)),"")</f>
        <v>77026418</v>
      </c>
      <c r="L36" s="38">
        <f>IFERROR(IF(U36="","",INDEX('피벗값_매장명(동일)'!L:L,U36)),"")</f>
        <v>3.0231520402165493</v>
      </c>
      <c r="M36" s="36">
        <f>IFERROR(IF(U36="","",INDEX('피벗값_매장명(동일)'!M:M,U36)),"")</f>
        <v>33584010</v>
      </c>
      <c r="N36" s="36">
        <f>IFERROR(IF(U36="","",INDEX('피벗값_매장명(동일)'!N:N,U36)),"")</f>
        <v>34545970</v>
      </c>
      <c r="O36" s="37">
        <f>IFERROR(IF(U36="","",INDEX('피벗값_매장명(동일)'!O:O,U36)),"")</f>
        <v>0.13486678818716447</v>
      </c>
      <c r="P36" s="36">
        <f>IFERROR(IF(U36="","",INDEX('피벗값_매장명(동일)'!P:P,U36)),"")</f>
        <v>68901739</v>
      </c>
      <c r="Q36" s="36">
        <f>IFERROR(IF(U36="","",INDEX('피벗값_매장명(동일)'!Q:Q,U36)),"")</f>
        <v>71906400</v>
      </c>
      <c r="R36" s="37">
        <f>IFERROR(IF(U36="","",INDEX('피벗값_매장명(동일)'!R:R,U36)),"")</f>
        <v>0.30879329021334978</v>
      </c>
      <c r="S36" s="37">
        <f>IFERROR(IF(U36="","",INDEX('피벗값_매장명(동일)'!S:S,U36)),"")</f>
        <v>1.4843769392173399E-2</v>
      </c>
      <c r="T36" s="39">
        <f>IFERROR(IF(U36="","",INDEX('피벗값_매장명(동일)'!T:T,U36)),"")</f>
        <v>3004661</v>
      </c>
      <c r="U36" s="119">
        <f>IFERROR(MATCH(LARGE('피벗값_매장명(동일)'!$Q$6:$Q$70,32),'피벗값_매장명(동일)'!$Q$6:$Q$70,0)+6-1,"")</f>
        <v>8</v>
      </c>
    </row>
    <row r="37" spans="2:21" ht="14.25" customHeight="1">
      <c r="B37" s="35" t="str">
        <f>IFERROR(IF(U37="","",INDEX('피벗값_매장명(동일)'!B:B,U37)),"")</f>
        <v>05201</v>
      </c>
      <c r="C37" s="40" t="str">
        <f>IFERROR(IF(U37="","",INDEX('피벗값_매장명(동일)'!C:C,U37)),"")</f>
        <v>LF스퀘어양주점</v>
      </c>
      <c r="D37" s="36">
        <f>IFERROR(IF(U37="","",INDEX('피벗값_매장명(동일)'!D:D,U37)),"")</f>
        <v>221088200</v>
      </c>
      <c r="E37" s="36">
        <f>IFERROR(IF(U37="","",INDEX('피벗값_매장명(동일)'!E:E,U37)),"")</f>
        <v>178645840</v>
      </c>
      <c r="F37" s="37">
        <f>IFERROR(IF(U37="","",INDEX('피벗값_매장명(동일)'!F:F,U37)),"")</f>
        <v>-0.19197026345141893</v>
      </c>
      <c r="G37" s="36">
        <f>IFERROR(IF(U37="","",INDEX('피벗값_매장명(동일)'!G:G,U37)),"")</f>
        <v>174659816</v>
      </c>
      <c r="H37" s="36">
        <f>IFERROR(IF(U37="","",INDEX('피벗값_매장명(동일)'!H:H,U37)),"")</f>
        <v>139343758</v>
      </c>
      <c r="I37" s="37">
        <f>IFERROR(IF(U37="","",INDEX('피벗값_매장명(동일)'!I:I,U37)),"")</f>
        <v>0.78000001567346877</v>
      </c>
      <c r="J37" s="36">
        <f>IFERROR(IF(U37="","",INDEX('피벗값_매장명(동일)'!J:J,U37)),"")</f>
        <v>81376621</v>
      </c>
      <c r="K37" s="36">
        <f>IFERROR(IF(U37="","",INDEX('피벗값_매장명(동일)'!K:K,U37)),"")</f>
        <v>57201052</v>
      </c>
      <c r="L37" s="38">
        <f>IFERROR(IF(U37="","",INDEX('피벗값_매장명(동일)'!L:L,U37)),"")</f>
        <v>2.8392014379544812</v>
      </c>
      <c r="M37" s="36">
        <f>IFERROR(IF(U37="","",INDEX('피벗값_매장명(동일)'!M:M,U37)),"")</f>
        <v>45178060</v>
      </c>
      <c r="N37" s="36">
        <f>IFERROR(IF(U37="","",INDEX('피벗값_매장명(동일)'!N:N,U37)),"")</f>
        <v>40397960</v>
      </c>
      <c r="O37" s="37">
        <f>IFERROR(IF(U37="","",INDEX('피벗값_매장명(동일)'!O:O,U37)),"")</f>
        <v>0.226134344913937</v>
      </c>
      <c r="P37" s="36">
        <f>IFERROR(IF(U37="","",INDEX('피벗값_매장명(동일)'!P:P,U37)),"")</f>
        <v>77405030</v>
      </c>
      <c r="Q37" s="36">
        <f>IFERROR(IF(U37="","",INDEX('피벗값_매장명(동일)'!Q:Q,U37)),"")</f>
        <v>69475091</v>
      </c>
      <c r="R37" s="37">
        <f>IFERROR(IF(U37="","",INDEX('피벗값_매장명(동일)'!R:R,U37)),"")</f>
        <v>0.42778829946446001</v>
      </c>
      <c r="S37" s="37">
        <f>IFERROR(IF(U37="","",INDEX('피벗값_매장명(동일)'!S:S,U37)),"")</f>
        <v>1.4341869837792764E-2</v>
      </c>
      <c r="T37" s="39">
        <f>IFERROR(IF(U37="","",INDEX('피벗값_매장명(동일)'!T:T,U37)),"")</f>
        <v>-7929939</v>
      </c>
      <c r="U37" s="119">
        <f>IFERROR(MATCH(LARGE('피벗값_매장명(동일)'!$Q$6:$Q$70,33),'피벗값_매장명(동일)'!$Q$6:$Q$70,0)+6-1,"")</f>
        <v>64</v>
      </c>
    </row>
    <row r="38" spans="2:21" ht="14.25" customHeight="1">
      <c r="B38" s="35" t="str">
        <f>IFERROR(IF(U38="","",INDEX('피벗값_매장명(동일)'!B:B,U38)),"")</f>
        <v>00222</v>
      </c>
      <c r="C38" s="40" t="str">
        <f>IFERROR(IF(U38="","",INDEX('피벗값_매장명(동일)'!C:C,U38)),"")</f>
        <v>현대신촌점</v>
      </c>
      <c r="D38" s="36">
        <f>IFERROR(IF(U38="","",INDEX('피벗값_매장명(동일)'!D:D,U38)),"")</f>
        <v>71884410</v>
      </c>
      <c r="E38" s="36">
        <f>IFERROR(IF(U38="","",INDEX('피벗값_매장명(동일)'!E:E,U38)),"")</f>
        <v>238182780</v>
      </c>
      <c r="F38" s="37">
        <f>IFERROR(IF(U38="","",INDEX('피벗값_매장명(동일)'!F:F,U38)),"")</f>
        <v>2.313413576045209</v>
      </c>
      <c r="G38" s="36">
        <f>IFERROR(IF(U38="","",INDEX('피벗값_매장명(동일)'!G:G,U38)),"")</f>
        <v>45178811</v>
      </c>
      <c r="H38" s="36">
        <f>IFERROR(IF(U38="","",INDEX('피벗값_매장명(동일)'!H:H,U38)),"")</f>
        <v>152377538</v>
      </c>
      <c r="I38" s="37">
        <f>IFERROR(IF(U38="","",INDEX('피벗값_매장명(동일)'!I:I,U38)),"")</f>
        <v>0.63975043871769399</v>
      </c>
      <c r="J38" s="36">
        <f>IFERROR(IF(U38="","",INDEX('피벗값_매장명(동일)'!J:J,U38)),"")</f>
        <v>23375728</v>
      </c>
      <c r="K38" s="36">
        <f>IFERROR(IF(U38="","",INDEX('피벗값_매장명(동일)'!K:K,U38)),"")</f>
        <v>69284144</v>
      </c>
      <c r="L38" s="38">
        <f>IFERROR(IF(U38="","",INDEX('피벗값_매장명(동일)'!L:L,U38)),"")</f>
        <v>3.1252432013881846</v>
      </c>
      <c r="M38" s="36">
        <f>IFERROR(IF(U38="","",INDEX('피벗값_매장명(동일)'!M:M,U38)),"")</f>
        <v>20197840</v>
      </c>
      <c r="N38" s="36">
        <f>IFERROR(IF(U38="","",INDEX('피벗값_매장명(동일)'!N:N,U38)),"")</f>
        <v>39811850</v>
      </c>
      <c r="O38" s="37">
        <f>IFERROR(IF(U38="","",INDEX('피벗값_매장명(동일)'!O:O,U38)),"")</f>
        <v>0.16714831357665738</v>
      </c>
      <c r="P38" s="36">
        <f>IFERROR(IF(U38="","",INDEX('피벗값_매장명(동일)'!P:P,U38)),"")</f>
        <v>17695918</v>
      </c>
      <c r="Q38" s="36">
        <f>IFERROR(IF(U38="","",INDEX('피벗값_매장명(동일)'!Q:Q,U38)),"")</f>
        <v>69240891</v>
      </c>
      <c r="R38" s="37">
        <f>IFERROR(IF(U38="","",INDEX('피벗값_매장명(동일)'!R:R,U38)),"")</f>
        <v>0.31977534270109709</v>
      </c>
      <c r="S38" s="37">
        <f>IFERROR(IF(U38="","",INDEX('피벗값_매장명(동일)'!S:S,U38)),"")</f>
        <v>1.429352350434196E-2</v>
      </c>
      <c r="T38" s="39">
        <f>IFERROR(IF(U38="","",INDEX('피벗값_매장명(동일)'!T:T,U38)),"")</f>
        <v>51544973</v>
      </c>
      <c r="U38" s="119">
        <f>IFERROR(MATCH(LARGE('피벗값_매장명(동일)'!$Q$6:$Q$70,34),'피벗값_매장명(동일)'!$Q$6:$Q$70,0)+6-1,"")</f>
        <v>37</v>
      </c>
    </row>
    <row r="39" spans="2:21" ht="14.25" customHeight="1">
      <c r="B39" s="35" t="str">
        <f>IFERROR(IF(U39="","",INDEX('피벗값_매장명(동일)'!B:B,U39)),"")</f>
        <v>00310</v>
      </c>
      <c r="C39" s="40" t="str">
        <f>IFERROR(IF(U39="","",INDEX('피벗값_매장명(동일)'!C:C,U39)),"")</f>
        <v>신세계의정부점</v>
      </c>
      <c r="D39" s="36">
        <f>IFERROR(IF(U39="","",INDEX('피벗값_매장명(동일)'!D:D,U39)),"")</f>
        <v>209523820</v>
      </c>
      <c r="E39" s="36">
        <f>IFERROR(IF(U39="","",INDEX('피벗값_매장명(동일)'!E:E,U39)),"")</f>
        <v>235338440</v>
      </c>
      <c r="F39" s="37">
        <f>IFERROR(IF(U39="","",INDEX('피벗값_매장명(동일)'!F:F,U39)),"")</f>
        <v>0.12320613474878417</v>
      </c>
      <c r="G39" s="36">
        <f>IFERROR(IF(U39="","",INDEX('피벗값_매장명(동일)'!G:G,U39)),"")</f>
        <v>132196534</v>
      </c>
      <c r="H39" s="36">
        <f>IFERROR(IF(U39="","",INDEX('피벗값_매장명(동일)'!H:H,U39)),"")</f>
        <v>149004927</v>
      </c>
      <c r="I39" s="37">
        <f>IFERROR(IF(U39="","",INDEX('피벗값_매장명(동일)'!I:I,U39)),"")</f>
        <v>0.63315167296936281</v>
      </c>
      <c r="J39" s="36">
        <f>IFERROR(IF(U39="","",INDEX('피벗값_매장명(동일)'!J:J,U39)),"")</f>
        <v>65102577</v>
      </c>
      <c r="K39" s="36">
        <f>IFERROR(IF(U39="","",INDEX('피벗값_매장명(동일)'!K:K,U39)),"")</f>
        <v>71325581</v>
      </c>
      <c r="L39" s="38">
        <f>IFERROR(IF(U39="","",INDEX('피벗값_매장명(동일)'!L:L,U39)),"")</f>
        <v>2.9995414459173677</v>
      </c>
      <c r="M39" s="36">
        <f>IFERROR(IF(U39="","",INDEX('피벗값_매장명(동일)'!M:M,U39)),"")</f>
        <v>34458960</v>
      </c>
      <c r="N39" s="36">
        <f>IFERROR(IF(U39="","",INDEX('피벗값_매장명(동일)'!N:N,U39)),"")</f>
        <v>38810660</v>
      </c>
      <c r="O39" s="37">
        <f>IFERROR(IF(U39="","",INDEX('피벗값_매장명(동일)'!O:O,U39)),"")</f>
        <v>0.16491424010459149</v>
      </c>
      <c r="P39" s="36">
        <f>IFERROR(IF(U39="","",INDEX('피벗값_매장명(동일)'!P:P,U39)),"")</f>
        <v>55076091</v>
      </c>
      <c r="Q39" s="36">
        <f>IFERROR(IF(U39="","",INDEX('피벗값_매장명(동일)'!Q:Q,U39)),"")</f>
        <v>64133443</v>
      </c>
      <c r="R39" s="37">
        <f>IFERROR(IF(U39="","",INDEX('피벗값_매장명(동일)'!R:R,U39)),"")</f>
        <v>0.29976737884384719</v>
      </c>
      <c r="S39" s="37">
        <f>IFERROR(IF(U39="","",INDEX('피벗값_매장명(동일)'!S:S,U39)),"")</f>
        <v>1.3239183691828508E-2</v>
      </c>
      <c r="T39" s="39">
        <f>IFERROR(IF(U39="","",INDEX('피벗값_매장명(동일)'!T:T,U39)),"")</f>
        <v>9057352</v>
      </c>
      <c r="U39" s="119">
        <f>IFERROR(MATCH(LARGE('피벗값_매장명(동일)'!$Q$6:$Q$70,35),'피벗값_매장명(동일)'!$Q$6:$Q$70,0)+6-1,"")</f>
        <v>45</v>
      </c>
    </row>
    <row r="40" spans="2:21" ht="14.25" customHeight="1">
      <c r="B40" s="35" t="str">
        <f>IFERROR(IF(U40="","",INDEX('피벗값_매장명(동일)'!B:B,U40)),"")</f>
        <v>00503</v>
      </c>
      <c r="C40" s="40" t="str">
        <f>IFERROR(IF(U40="","",INDEX('피벗값_매장명(동일)'!C:C,U40)),"")</f>
        <v>갤러리아천안점</v>
      </c>
      <c r="D40" s="36">
        <f>IFERROR(IF(U40="","",INDEX('피벗값_매장명(동일)'!D:D,U40)),"")</f>
        <v>210242580</v>
      </c>
      <c r="E40" s="36">
        <f>IFERROR(IF(U40="","",INDEX('피벗값_매장명(동일)'!E:E,U40)),"")</f>
        <v>211806640</v>
      </c>
      <c r="F40" s="37">
        <f>IFERROR(IF(U40="","",INDEX('피벗값_매장명(동일)'!F:F,U40)),"")</f>
        <v>7.4393112946007419E-3</v>
      </c>
      <c r="G40" s="36">
        <f>IFERROR(IF(U40="","",INDEX('피벗값_매장명(동일)'!G:G,U40)),"")</f>
        <v>135027238</v>
      </c>
      <c r="H40" s="36">
        <f>IFERROR(IF(U40="","",INDEX('피벗값_매장명(동일)'!H:H,U40)),"")</f>
        <v>134447591</v>
      </c>
      <c r="I40" s="37">
        <f>IFERROR(IF(U40="","",INDEX('피벗값_매장명(동일)'!I:I,U40)),"")</f>
        <v>0.6347657042291025</v>
      </c>
      <c r="J40" s="36">
        <f>IFERROR(IF(U40="","",INDEX('피벗값_매장명(동일)'!J:J,U40)),"")</f>
        <v>65887080</v>
      </c>
      <c r="K40" s="36">
        <f>IFERROR(IF(U40="","",INDEX('피벗값_매장명(동일)'!K:K,U40)),"")</f>
        <v>62364408</v>
      </c>
      <c r="L40" s="38">
        <f>IFERROR(IF(U40="","",INDEX('피벗값_매장명(동일)'!L:L,U40)),"")</f>
        <v>3.0875221473936048</v>
      </c>
      <c r="M40" s="36">
        <f>IFERROR(IF(U40="","",INDEX('피벗값_매장명(동일)'!M:M,U40)),"")</f>
        <v>31885310</v>
      </c>
      <c r="N40" s="36">
        <f>IFERROR(IF(U40="","",INDEX('피벗값_매장명(동일)'!N:N,U40)),"")</f>
        <v>35010190</v>
      </c>
      <c r="O40" s="37">
        <f>IFERROR(IF(U40="","",INDEX('피벗값_매장명(동일)'!O:O,U40)),"")</f>
        <v>0.16529316550227133</v>
      </c>
      <c r="P40" s="36">
        <f>IFERROR(IF(U40="","",INDEX('피벗값_매장명(동일)'!P:P,U40)),"")</f>
        <v>56864954</v>
      </c>
      <c r="Q40" s="36">
        <f>IFERROR(IF(U40="","",INDEX('피벗값_매장명(동일)'!Q:Q,U40)),"")</f>
        <v>59860675</v>
      </c>
      <c r="R40" s="37">
        <f>IFERROR(IF(U40="","",INDEX('피벗값_매장명(동일)'!R:R,U40)),"")</f>
        <v>0.31088138927089348</v>
      </c>
      <c r="S40" s="37">
        <f>IFERROR(IF(U40="","",INDEX('피벗값_매장명(동일)'!S:S,U40)),"")</f>
        <v>1.2357148395133665E-2</v>
      </c>
      <c r="T40" s="39">
        <f>IFERROR(IF(U40="","",INDEX('피벗값_매장명(동일)'!T:T,U40)),"")</f>
        <v>2995721</v>
      </c>
      <c r="U40" s="119">
        <f>IFERROR(MATCH(LARGE('피벗값_매장명(동일)'!$Q$6:$Q$70,36),'피벗값_매장명(동일)'!$Q$6:$Q$70,0)+6-1,"")</f>
        <v>50</v>
      </c>
    </row>
    <row r="41" spans="2:21" ht="15" customHeight="1">
      <c r="B41" s="35" t="str">
        <f>IFERROR(IF(U41="","",INDEX('피벗값_매장명(동일)'!B:B,U41)),"")</f>
        <v>00210</v>
      </c>
      <c r="C41" s="40" t="str">
        <f>IFERROR(IF(U41="","",INDEX('피벗값_매장명(동일)'!C:C,U41)),"")</f>
        <v>현대중동점</v>
      </c>
      <c r="D41" s="36">
        <f>IFERROR(IF(U41="","",INDEX('피벗값_매장명(동일)'!D:D,U41)),"")</f>
        <v>165363670</v>
      </c>
      <c r="E41" s="36">
        <f>IFERROR(IF(U41="","",INDEX('피벗값_매장명(동일)'!E:E,U41)),"")</f>
        <v>206604710</v>
      </c>
      <c r="F41" s="37">
        <f>IFERROR(IF(U41="","",INDEX('피벗값_매장명(동일)'!F:F,U41)),"")</f>
        <v>0.24939601304204242</v>
      </c>
      <c r="G41" s="36">
        <f>IFERROR(IF(U41="","",INDEX('피벗값_매장명(동일)'!G:G,U41)),"")</f>
        <v>102530085</v>
      </c>
      <c r="H41" s="36">
        <f>IFERROR(IF(U41="","",INDEX('피벗값_매장명(동일)'!H:H,U41)),"")</f>
        <v>128520946</v>
      </c>
      <c r="I41" s="37">
        <f>IFERROR(IF(U41="","",INDEX('피벗값_매장명(동일)'!I:I,U41)),"")</f>
        <v>0.62206203333893018</v>
      </c>
      <c r="J41" s="36">
        <f>IFERROR(IF(U41="","",INDEX('피벗값_매장명(동일)'!J:J,U41)),"")</f>
        <v>45751173</v>
      </c>
      <c r="K41" s="36">
        <f>IFERROR(IF(U41="","",INDEX('피벗값_매장명(동일)'!K:K,U41)),"")</f>
        <v>57407639</v>
      </c>
      <c r="L41" s="38">
        <f>IFERROR(IF(U41="","",INDEX('피벗값_매장명(동일)'!L:L,U41)),"")</f>
        <v>3.2717329419585366</v>
      </c>
      <c r="M41" s="36">
        <f>IFERROR(IF(U41="","",INDEX('피벗값_매장명(동일)'!M:M,U41)),"")</f>
        <v>30931630</v>
      </c>
      <c r="N41" s="36">
        <f>IFERROR(IF(U41="","",INDEX('피벗값_매장명(동일)'!N:N,U41)),"")</f>
        <v>33938610</v>
      </c>
      <c r="O41" s="37">
        <f>IFERROR(IF(U41="","",INDEX('피벗값_매장명(동일)'!O:O,U41)),"")</f>
        <v>0.16426832669981242</v>
      </c>
      <c r="P41" s="36">
        <f>IFERROR(IF(U41="","",INDEX('피벗값_매장명(동일)'!P:P,U41)),"")</f>
        <v>47457995</v>
      </c>
      <c r="Q41" s="36">
        <f>IFERROR(IF(U41="","",INDEX('피벗값_매장명(동일)'!Q:Q,U41)),"")</f>
        <v>59429584</v>
      </c>
      <c r="R41" s="37">
        <f>IFERROR(IF(U41="","",INDEX('피벗값_매장명(동일)'!R:R,U41)),"")</f>
        <v>0.31641361128698375</v>
      </c>
      <c r="S41" s="37">
        <f>IFERROR(IF(U41="","",INDEX('피벗값_매장명(동일)'!S:S,U41)),"")</f>
        <v>1.2268157493196683E-2</v>
      </c>
      <c r="T41" s="39">
        <f>IFERROR(IF(U41="","",INDEX('피벗값_매장명(동일)'!T:T,U41)),"")</f>
        <v>11971589</v>
      </c>
      <c r="U41" s="119">
        <f>IFERROR(MATCH(LARGE('피벗값_매장명(동일)'!$Q$6:$Q$70,37),'피벗값_매장명(동일)'!$Q$6:$Q$70,0)+6-1,"")</f>
        <v>31</v>
      </c>
    </row>
    <row r="42" spans="2:21" ht="15" customHeight="1">
      <c r="B42" s="35" t="str">
        <f>IFERROR(IF(U42="","",INDEX('피벗값_매장명(동일)'!B:B,U42)),"")</f>
        <v>00131</v>
      </c>
      <c r="C42" s="40" t="str">
        <f>IFERROR(IF(U42="","",INDEX('피벗값_매장명(동일)'!C:C,U42)),"")</f>
        <v>롯데노원점</v>
      </c>
      <c r="D42" s="36">
        <f>IFERROR(IF(U42="","",INDEX('피벗값_매장명(동일)'!D:D,U42)),"")</f>
        <v>197303730</v>
      </c>
      <c r="E42" s="36">
        <f>IFERROR(IF(U42="","",INDEX('피벗값_매장명(동일)'!E:E,U42)),"")</f>
        <v>191897800</v>
      </c>
      <c r="F42" s="37">
        <f>IFERROR(IF(U42="","",INDEX('피벗값_매장명(동일)'!F:F,U42)),"")</f>
        <v>-2.7399025857240508E-2</v>
      </c>
      <c r="G42" s="36">
        <f>IFERROR(IF(U42="","",INDEX('피벗값_매장명(동일)'!G:G,U42)),"")</f>
        <v>126353289</v>
      </c>
      <c r="H42" s="36">
        <f>IFERROR(IF(U42="","",INDEX('피벗값_매장명(동일)'!H:H,U42)),"")</f>
        <v>122853458</v>
      </c>
      <c r="I42" s="37">
        <f>IFERROR(IF(U42="","",INDEX('피벗값_매장명(동일)'!I:I,U42)),"")</f>
        <v>0.64020253489096801</v>
      </c>
      <c r="J42" s="36">
        <f>IFERROR(IF(U42="","",INDEX('피벗값_매장명(동일)'!J:J,U42)),"")</f>
        <v>60864187</v>
      </c>
      <c r="K42" s="36">
        <f>IFERROR(IF(U42="","",INDEX('피벗값_매장명(동일)'!K:K,U42)),"")</f>
        <v>54260858</v>
      </c>
      <c r="L42" s="38">
        <f>IFERROR(IF(U42="","",INDEX('피벗값_매장명(동일)'!L:L,U42)),"")</f>
        <v>3.2150716351471154</v>
      </c>
      <c r="M42" s="36">
        <f>IFERROR(IF(U42="","",INDEX('피벗값_매장명(동일)'!M:M,U42)),"")</f>
        <v>28694950</v>
      </c>
      <c r="N42" s="36">
        <f>IFERROR(IF(U42="","",INDEX('피벗값_매장명(동일)'!N:N,U42)),"")</f>
        <v>28157190</v>
      </c>
      <c r="O42" s="37">
        <f>IFERROR(IF(U42="","",INDEX('피벗값_매장명(동일)'!O:O,U42)),"")</f>
        <v>0.14673013447783143</v>
      </c>
      <c r="P42" s="36">
        <f>IFERROR(IF(U42="","",INDEX('피벗값_매장명(동일)'!P:P,U42)),"")</f>
        <v>54002440</v>
      </c>
      <c r="Q42" s="36">
        <f>IFERROR(IF(U42="","",INDEX('피벗값_매장명(동일)'!Q:Q,U42)),"")</f>
        <v>57424103</v>
      </c>
      <c r="R42" s="37">
        <f>IFERROR(IF(U42="","",INDEX('피벗값_매장명(동일)'!R:R,U42)),"")</f>
        <v>0.32916746987198398</v>
      </c>
      <c r="S42" s="37">
        <f>IFERROR(IF(U42="","",INDEX('피벗값_매장명(동일)'!S:S,U42)),"")</f>
        <v>1.1854162390057252E-2</v>
      </c>
      <c r="T42" s="39">
        <f>IFERROR(IF(U42="","",INDEX('피벗값_매장명(동일)'!T:T,U42)),"")</f>
        <v>3421663</v>
      </c>
      <c r="U42" s="119">
        <f>IFERROR(MATCH(LARGE('피벗값_매장명(동일)'!$Q$6:$Q$70,38),'피벗값_매장명(동일)'!$Q$6:$Q$70,0)+6-1,"")</f>
        <v>21</v>
      </c>
    </row>
    <row r="43" spans="2:21" ht="14.25" customHeight="1">
      <c r="B43" s="35" t="str">
        <f>IFERROR(IF(U43="","",INDEX('피벗값_매장명(동일)'!B:B,U43)),"")</f>
        <v>00603</v>
      </c>
      <c r="C43" s="40" t="str">
        <f>IFERROR(IF(U43="","",INDEX('피벗값_매장명(동일)'!C:C,U43)),"")</f>
        <v>AK프라자수원점</v>
      </c>
      <c r="D43" s="36">
        <f>IFERROR(IF(U43="","",INDEX('피벗값_매장명(동일)'!D:D,U43)),"")</f>
        <v>0</v>
      </c>
      <c r="E43" s="36">
        <f>IFERROR(IF(U43="","",INDEX('피벗값_매장명(동일)'!E:E,U43)),"")</f>
        <v>202205010</v>
      </c>
      <c r="F43" s="37" t="str">
        <f>IFERROR(IF(U43="","",INDEX('피벗값_매장명(동일)'!F:F,U43)),"")</f>
        <v/>
      </c>
      <c r="G43" s="36">
        <f>IFERROR(IF(U43="","",INDEX('피벗값_매장명(동일)'!G:G,U43)),"")</f>
        <v>0</v>
      </c>
      <c r="H43" s="36">
        <f>IFERROR(IF(U43="","",INDEX('피벗값_매장명(동일)'!H:H,U43)),"")</f>
        <v>129314788</v>
      </c>
      <c r="I43" s="37">
        <f>IFERROR(IF(U43="","",INDEX('피벗값_매장명(동일)'!I:I,U43)),"")</f>
        <v>0.63952316512830221</v>
      </c>
      <c r="J43" s="36">
        <f>IFERROR(IF(U43="","",INDEX('피벗값_매장명(동일)'!J:J,U43)),"")</f>
        <v>0</v>
      </c>
      <c r="K43" s="36">
        <f>IFERROR(IF(U43="","",INDEX('피벗값_매장명(동일)'!K:K,U43)),"")</f>
        <v>60325682</v>
      </c>
      <c r="L43" s="38">
        <f>IFERROR(IF(U43="","",INDEX('피벗값_매장명(동일)'!L:L,U43)),"")</f>
        <v>3.0471721208827169</v>
      </c>
      <c r="M43" s="36">
        <f>IFERROR(IF(U43="","",INDEX('피벗값_매장명(동일)'!M:M,U43)),"")</f>
        <v>0</v>
      </c>
      <c r="N43" s="36">
        <f>IFERROR(IF(U43="","",INDEX('피벗값_매장명(동일)'!N:N,U43)),"")</f>
        <v>38406800</v>
      </c>
      <c r="O43" s="37">
        <f>IFERROR(IF(U43="","",INDEX('피벗값_매장명(동일)'!O:O,U43)),"")</f>
        <v>0.18993990307164002</v>
      </c>
      <c r="P43" s="36">
        <f>IFERROR(IF(U43="","",INDEX('피벗값_매장명(동일)'!P:P,U43)),"")</f>
        <v>0</v>
      </c>
      <c r="Q43" s="36">
        <f>IFERROR(IF(U43="","",INDEX('피벗값_매장명(동일)'!Q:Q,U43)),"")</f>
        <v>57233216</v>
      </c>
      <c r="R43" s="37">
        <f>IFERROR(IF(U43="","",INDEX('피벗값_매장명(동일)'!R:R,U43)),"")</f>
        <v>0.3113500382606742</v>
      </c>
      <c r="S43" s="37">
        <f>IFERROR(IF(U43="","",INDEX('피벗값_매장명(동일)'!S:S,U43)),"")</f>
        <v>1.1814757238249292E-2</v>
      </c>
      <c r="T43" s="39">
        <f>IFERROR(IF(U43="","",INDEX('피벗값_매장명(동일)'!T:T,U43)),"")</f>
        <v>57233216</v>
      </c>
      <c r="U43" s="119">
        <f>IFERROR(MATCH(LARGE('피벗값_매장명(동일)'!$Q$6:$Q$70,39),'피벗값_매장명(동일)'!$Q$6:$Q$70,0)+6-1,"")</f>
        <v>55</v>
      </c>
    </row>
    <row r="44" spans="2:21" ht="14.25" customHeight="1">
      <c r="B44" s="35" t="str">
        <f>IFERROR(IF(U44="","",INDEX('피벗값_매장명(동일)'!B:B,U44)),"")</f>
        <v>00125</v>
      </c>
      <c r="C44" s="40" t="str">
        <f>IFERROR(IF(U44="","",INDEX('피벗값_매장명(동일)'!C:C,U44)),"")</f>
        <v>롯데구리점</v>
      </c>
      <c r="D44" s="36">
        <f>IFERROR(IF(U44="","",INDEX('피벗값_매장명(동일)'!D:D,U44)),"")</f>
        <v>143276750</v>
      </c>
      <c r="E44" s="36">
        <f>IFERROR(IF(U44="","",INDEX('피벗값_매장명(동일)'!E:E,U44)),"")</f>
        <v>181778830</v>
      </c>
      <c r="F44" s="37">
        <f>IFERROR(IF(U44="","",INDEX('피벗값_매장명(동일)'!F:F,U44)),"")</f>
        <v>0.26872524676892795</v>
      </c>
      <c r="G44" s="36">
        <f>IFERROR(IF(U44="","",INDEX('피벗값_매장명(동일)'!G:G,U44)),"")</f>
        <v>91821991</v>
      </c>
      <c r="H44" s="36">
        <f>IFERROR(IF(U44="","",INDEX('피벗값_매장명(동일)'!H:H,U44)),"")</f>
        <v>116523928</v>
      </c>
      <c r="I44" s="37">
        <f>IFERROR(IF(U44="","",INDEX('피벗값_매장명(동일)'!I:I,U44)),"")</f>
        <v>0.64102034323798873</v>
      </c>
      <c r="J44" s="36">
        <f>IFERROR(IF(U44="","",INDEX('피벗값_매장명(동일)'!J:J,U44)),"")</f>
        <v>44530712</v>
      </c>
      <c r="K44" s="36">
        <f>IFERROR(IF(U44="","",INDEX('피벗값_매장명(동일)'!K:K,U44)),"")</f>
        <v>52199820</v>
      </c>
      <c r="L44" s="38">
        <f>IFERROR(IF(U44="","",INDEX('피벗값_매장명(동일)'!L:L,U44)),"")</f>
        <v>3.1657864302632044</v>
      </c>
      <c r="M44" s="36">
        <f>IFERROR(IF(U44="","",INDEX('피벗값_매장명(동일)'!M:M,U44)),"")</f>
        <v>29016700</v>
      </c>
      <c r="N44" s="36">
        <f>IFERROR(IF(U44="","",INDEX('피벗값_매장명(동일)'!N:N,U44)),"")</f>
        <v>29188010</v>
      </c>
      <c r="O44" s="37">
        <f>IFERROR(IF(U44="","",INDEX('피벗값_매장명(동일)'!O:O,U44)),"")</f>
        <v>0.1605688077098967</v>
      </c>
      <c r="P44" s="36">
        <f>IFERROR(IF(U44="","",INDEX('피벗값_매장명(동일)'!P:P,U44)),"")</f>
        <v>38943825</v>
      </c>
      <c r="Q44" s="36">
        <f>IFERROR(IF(U44="","",INDEX('피벗값_매장명(동일)'!Q:Q,U44)),"")</f>
        <v>53731024</v>
      </c>
      <c r="R44" s="37">
        <f>IFERROR(IF(U44="","",INDEX('피벗값_매장명(동일)'!R:R,U44)),"")</f>
        <v>0.32514306753982297</v>
      </c>
      <c r="S44" s="37">
        <f>IFERROR(IF(U44="","",INDEX('피벗값_매장명(동일)'!S:S,U44)),"")</f>
        <v>1.1091793351653461E-2</v>
      </c>
      <c r="T44" s="39">
        <f>IFERROR(IF(U44="","",INDEX('피벗값_매장명(동일)'!T:T,U44)),"")</f>
        <v>14787199</v>
      </c>
      <c r="U44" s="119">
        <f>IFERROR(MATCH(LARGE('피벗값_매장명(동일)'!$Q$6:$Q$70,40),'피벗값_매장명(동일)'!$Q$6:$Q$70,0)+6-1,"")</f>
        <v>16</v>
      </c>
    </row>
    <row r="45" spans="2:21" ht="14.25" customHeight="1">
      <c r="B45" s="35" t="str">
        <f>IFERROR(IF(U45="","",INDEX('피벗값_매장명(동일)'!B:B,U45)),"")</f>
        <v>00126</v>
      </c>
      <c r="C45" s="40" t="str">
        <f>IFERROR(IF(U45="","",INDEX('피벗값_매장명(동일)'!C:C,U45)),"")</f>
        <v>롯데영등포점</v>
      </c>
      <c r="D45" s="36">
        <f>IFERROR(IF(U45="","",INDEX('피벗값_매장명(동일)'!D:D,U45)),"")</f>
        <v>177711470</v>
      </c>
      <c r="E45" s="36">
        <f>IFERROR(IF(U45="","",INDEX('피벗값_매장명(동일)'!E:E,U45)),"")</f>
        <v>189650540</v>
      </c>
      <c r="F45" s="37">
        <f>IFERROR(IF(U45="","",INDEX('피벗값_매장명(동일)'!F:F,U45)),"")</f>
        <v>6.7182326498115175E-2</v>
      </c>
      <c r="G45" s="36">
        <f>IFERROR(IF(U45="","",INDEX('피벗값_매장명(동일)'!G:G,U45)),"")</f>
        <v>113866604</v>
      </c>
      <c r="H45" s="36">
        <f>IFERROR(IF(U45="","",INDEX('피벗값_매장명(동일)'!H:H,U45)),"")</f>
        <v>121334561</v>
      </c>
      <c r="I45" s="37">
        <f>IFERROR(IF(U45="","",INDEX('피벗값_매장명(동일)'!I:I,U45)),"")</f>
        <v>0.63977967581848172</v>
      </c>
      <c r="J45" s="36">
        <f>IFERROR(IF(U45="","",INDEX('피벗값_매장명(동일)'!J:J,U45)),"")</f>
        <v>56681074</v>
      </c>
      <c r="K45" s="36">
        <f>IFERROR(IF(U45="","",INDEX('피벗값_매장명(동일)'!K:K,U45)),"")</f>
        <v>56747511</v>
      </c>
      <c r="L45" s="38">
        <f>IFERROR(IF(U45="","",INDEX('피벗값_매장명(동일)'!L:L,U45)),"")</f>
        <v>3.038187557127956</v>
      </c>
      <c r="M45" s="36">
        <f>IFERROR(IF(U45="","",INDEX('피벗값_매장명(동일)'!M:M,U45)),"")</f>
        <v>25461490</v>
      </c>
      <c r="N45" s="36">
        <f>IFERROR(IF(U45="","",INDEX('피벗값_매장명(동일)'!N:N,U45)),"")</f>
        <v>27190460</v>
      </c>
      <c r="O45" s="37">
        <f>IFERROR(IF(U45="","",INDEX('피벗값_매장명(동일)'!O:O,U45)),"")</f>
        <v>0.14337138191117199</v>
      </c>
      <c r="P45" s="36">
        <f>IFERROR(IF(U45="","",INDEX('피벗값_매장명(동일)'!P:P,U45)),"")</f>
        <v>46834021</v>
      </c>
      <c r="Q45" s="36">
        <f>IFERROR(IF(U45="","",INDEX('피벗값_매장명(동일)'!Q:Q,U45)),"")</f>
        <v>53556635</v>
      </c>
      <c r="R45" s="37">
        <f>IFERROR(IF(U45="","",INDEX('피벗값_매장명(동일)'!R:R,U45)),"")</f>
        <v>0.31063607042721841</v>
      </c>
      <c r="S45" s="37">
        <f>IFERROR(IF(U45="","",INDEX('피벗값_매장명(동일)'!S:S,U45)),"")</f>
        <v>1.1055793912096873E-2</v>
      </c>
      <c r="T45" s="39">
        <f>IFERROR(IF(U45="","",INDEX('피벗값_매장명(동일)'!T:T,U45)),"")</f>
        <v>6722614</v>
      </c>
      <c r="U45" s="119">
        <f>IFERROR(MATCH(LARGE('피벗값_매장명(동일)'!$Q$6:$Q$70,41),'피벗값_매장명(동일)'!$Q$6:$Q$70,0)+6-1,"")</f>
        <v>17</v>
      </c>
    </row>
    <row r="46" spans="2:21" ht="14.25" customHeight="1">
      <c r="B46" s="35" t="str">
        <f>IFERROR(IF(U46="","",INDEX('피벗값_매장명(동일)'!B:B,U46)),"")</f>
        <v>00313</v>
      </c>
      <c r="C46" s="40" t="str">
        <f>IFERROR(IF(U46="","",INDEX('피벗값_매장명(동일)'!C:C,U46)),"")</f>
        <v>신세계스타필드하남점</v>
      </c>
      <c r="D46" s="36">
        <f>IFERROR(IF(U46="","",INDEX('피벗값_매장명(동일)'!D:D,U46)),"")</f>
        <v>168613940</v>
      </c>
      <c r="E46" s="36">
        <f>IFERROR(IF(U46="","",INDEX('피벗값_매장명(동일)'!E:E,U46)),"")</f>
        <v>178713880</v>
      </c>
      <c r="F46" s="37">
        <f>IFERROR(IF(U46="","",INDEX('피벗값_매장명(동일)'!F:F,U46)),"")</f>
        <v>5.989979238964465E-2</v>
      </c>
      <c r="G46" s="36">
        <f>IFERROR(IF(U46="","",INDEX('피벗값_매장명(동일)'!G:G,U46)),"")</f>
        <v>106421837</v>
      </c>
      <c r="H46" s="36">
        <f>IFERROR(IF(U46="","",INDEX('피벗값_매장명(동일)'!H:H,U46)),"")</f>
        <v>112993657</v>
      </c>
      <c r="I46" s="37">
        <f>IFERROR(IF(U46="","",INDEX('피벗값_매장명(동일)'!I:I,U46)),"")</f>
        <v>0.63226010760887741</v>
      </c>
      <c r="J46" s="36">
        <f>IFERROR(IF(U46="","",INDEX('피벗값_매장명(동일)'!J:J,U46)),"")</f>
        <v>47337745</v>
      </c>
      <c r="K46" s="36">
        <f>IFERROR(IF(U46="","",INDEX('피벗값_매장명(동일)'!K:K,U46)),"")</f>
        <v>49178306</v>
      </c>
      <c r="L46" s="38">
        <f>IFERROR(IF(U46="","",INDEX('피벗값_매장명(동일)'!L:L,U46)),"")</f>
        <v>3.3036348107713112</v>
      </c>
      <c r="M46" s="36">
        <f>IFERROR(IF(U46="","",INDEX('피벗값_매장명(동일)'!M:M,U46)),"")</f>
        <v>24358580</v>
      </c>
      <c r="N46" s="36">
        <f>IFERROR(IF(U46="","",INDEX('피벗값_매장명(동일)'!N:N,U46)),"")</f>
        <v>24877170</v>
      </c>
      <c r="O46" s="37">
        <f>IFERROR(IF(U46="","",INDEX('피벗값_매장명(동일)'!O:O,U46)),"")</f>
        <v>0.13920110737901276</v>
      </c>
      <c r="P46" s="36">
        <f>IFERROR(IF(U46="","",INDEX('피벗값_매장명(동일)'!P:P,U46)),"")</f>
        <v>49409378</v>
      </c>
      <c r="Q46" s="36">
        <f>IFERROR(IF(U46="","",INDEX('피벗값_매장명(동일)'!Q:Q,U46)),"")</f>
        <v>53543200</v>
      </c>
      <c r="R46" s="37">
        <f>IFERROR(IF(U46="","",INDEX('피벗값_매장명(동일)'!R:R,U46)),"")</f>
        <v>0.329563210199454</v>
      </c>
      <c r="S46" s="37">
        <f>IFERROR(IF(U46="","",INDEX('피벗값_매장명(동일)'!S:S,U46)),"")</f>
        <v>1.1053020500525944E-2</v>
      </c>
      <c r="T46" s="39">
        <f>IFERROR(IF(U46="","",INDEX('피벗값_매장명(동일)'!T:T,U46)),"")</f>
        <v>4133822</v>
      </c>
      <c r="U46" s="119">
        <f>IFERROR(MATCH(LARGE('피벗값_매장명(동일)'!$Q$6:$Q$70,42),'피벗값_매장명(동일)'!$Q$6:$Q$70,0)+6-1,"")</f>
        <v>47</v>
      </c>
    </row>
    <row r="47" spans="2:21" ht="15" customHeight="1">
      <c r="B47" s="35" t="str">
        <f>IFERROR(IF(U47="","",INDEX('피벗값_매장명(동일)'!B:B,U47)),"")</f>
        <v>00132</v>
      </c>
      <c r="C47" s="40" t="str">
        <f>IFERROR(IF(U47="","",INDEX('피벗값_매장명(동일)'!C:C,U47)),"")</f>
        <v>롯데광복점</v>
      </c>
      <c r="D47" s="36">
        <f>IFERROR(IF(U47="","",INDEX('피벗값_매장명(동일)'!D:D,U47)),"")</f>
        <v>148429910</v>
      </c>
      <c r="E47" s="36">
        <f>IFERROR(IF(U47="","",INDEX('피벗값_매장명(동일)'!E:E,U47)),"")</f>
        <v>169389600</v>
      </c>
      <c r="F47" s="37">
        <f>IFERROR(IF(U47="","",INDEX('피벗값_매장명(동일)'!F:F,U47)),"")</f>
        <v>0.14120934251054926</v>
      </c>
      <c r="G47" s="36">
        <f>IFERROR(IF(U47="","",INDEX('피벗값_매장명(동일)'!G:G,U47)),"")</f>
        <v>95098681</v>
      </c>
      <c r="H47" s="36">
        <f>IFERROR(IF(U47="","",INDEX('피벗값_매장명(동일)'!H:H,U47)),"")</f>
        <v>108599095</v>
      </c>
      <c r="I47" s="37">
        <f>IFERROR(IF(U47="","",INDEX('피벗값_매장명(동일)'!I:I,U47)),"")</f>
        <v>0.64112020454620589</v>
      </c>
      <c r="J47" s="36">
        <f>IFERROR(IF(U47="","",INDEX('피벗값_매장명(동일)'!J:J,U47)),"")</f>
        <v>44909984</v>
      </c>
      <c r="K47" s="36">
        <f>IFERROR(IF(U47="","",INDEX('피벗값_매장명(동일)'!K:K,U47)),"")</f>
        <v>47622024</v>
      </c>
      <c r="L47" s="38">
        <f>IFERROR(IF(U47="","",INDEX('피벗값_매장명(동일)'!L:L,U47)),"")</f>
        <v>3.2335993416522038</v>
      </c>
      <c r="M47" s="36">
        <f>IFERROR(IF(U47="","",INDEX('피벗값_매장명(동일)'!M:M,U47)),"")</f>
        <v>28879830</v>
      </c>
      <c r="N47" s="36">
        <f>IFERROR(IF(U47="","",INDEX('피벗값_매장명(동일)'!N:N,U47)),"")</f>
        <v>29722360</v>
      </c>
      <c r="O47" s="37">
        <f>IFERROR(IF(U47="","",INDEX('피벗값_매장명(동일)'!O:O,U47)),"")</f>
        <v>0.17546744310158358</v>
      </c>
      <c r="P47" s="36">
        <f>IFERROR(IF(U47="","",INDEX('피벗값_매장명(동일)'!P:P,U47)),"")</f>
        <v>41543363</v>
      </c>
      <c r="Q47" s="36">
        <f>IFERROR(IF(U47="","",INDEX('피벗값_매장명(동일)'!Q:Q,U47)),"")</f>
        <v>51104427</v>
      </c>
      <c r="R47" s="37">
        <f>IFERROR(IF(U47="","",INDEX('피벗값_매장명(동일)'!R:R,U47)),"")</f>
        <v>0.33186730295130284</v>
      </c>
      <c r="S47" s="37">
        <f>IFERROR(IF(U47="","",INDEX('피벗값_매장명(동일)'!S:S,U47)),"")</f>
        <v>1.0549580139002368E-2</v>
      </c>
      <c r="T47" s="39">
        <f>IFERROR(IF(U47="","",INDEX('피벗값_매장명(동일)'!T:T,U47)),"")</f>
        <v>9561064</v>
      </c>
      <c r="U47" s="119">
        <f>IFERROR(MATCH(LARGE('피벗값_매장명(동일)'!$Q$6:$Q$70,43),'피벗값_매장명(동일)'!$Q$6:$Q$70,0)+6-1,"")</f>
        <v>22</v>
      </c>
    </row>
    <row r="48" spans="2:21" ht="14.25" customHeight="1">
      <c r="B48" s="35" t="str">
        <f>IFERROR(IF(U48="","",INDEX('피벗값_매장명(동일)'!B:B,U48)),"")</f>
        <v>00601</v>
      </c>
      <c r="C48" s="40" t="str">
        <f>IFERROR(IF(U48="","",INDEX('피벗값_매장명(동일)'!C:C,U48)),"")</f>
        <v>AK프라자분당점</v>
      </c>
      <c r="D48" s="36">
        <f>IFERROR(IF(U48="","",INDEX('피벗값_매장명(동일)'!D:D,U48)),"")</f>
        <v>145477440</v>
      </c>
      <c r="E48" s="36">
        <f>IFERROR(IF(U48="","",INDEX('피벗값_매장명(동일)'!E:E,U48)),"")</f>
        <v>170414560</v>
      </c>
      <c r="F48" s="37">
        <f>IFERROR(IF(U48="","",INDEX('피벗값_매장명(동일)'!F:F,U48)),"")</f>
        <v>0.17141571916580331</v>
      </c>
      <c r="G48" s="36">
        <f>IFERROR(IF(U48="","",INDEX('피벗값_매장명(동일)'!G:G,U48)),"")</f>
        <v>90585226</v>
      </c>
      <c r="H48" s="36">
        <f>IFERROR(IF(U48="","",INDEX('피벗값_매장명(동일)'!H:H,U48)),"")</f>
        <v>106440469</v>
      </c>
      <c r="I48" s="37">
        <f>IFERROR(IF(U48="","",INDEX('피벗값_매장명(동일)'!I:I,U48)),"")</f>
        <v>0.62459727032713641</v>
      </c>
      <c r="J48" s="36">
        <f>IFERROR(IF(U48="","",INDEX('피벗값_매장명(동일)'!J:J,U48)),"")</f>
        <v>42936053</v>
      </c>
      <c r="K48" s="36">
        <f>IFERROR(IF(U48="","",INDEX('피벗값_매장명(동일)'!K:K,U48)),"")</f>
        <v>46144507</v>
      </c>
      <c r="L48" s="38">
        <f>IFERROR(IF(U48="","",INDEX('피벗값_매장명(동일)'!L:L,U48)),"")</f>
        <v>3.357329774326709</v>
      </c>
      <c r="M48" s="36">
        <f>IFERROR(IF(U48="","",INDEX('피벗값_매장명(동일)'!M:M,U48)),"")</f>
        <v>33783960</v>
      </c>
      <c r="N48" s="36">
        <f>IFERROR(IF(U48="","",INDEX('피벗값_매장명(동일)'!N:N,U48)),"")</f>
        <v>29238560</v>
      </c>
      <c r="O48" s="37">
        <f>IFERROR(IF(U48="","",INDEX('피벗값_매장명(동일)'!O:O,U48)),"")</f>
        <v>0.17157313318768067</v>
      </c>
      <c r="P48" s="36">
        <f>IFERROR(IF(U48="","",INDEX('피벗값_매장명(동일)'!P:P,U48)),"")</f>
        <v>39414151</v>
      </c>
      <c r="Q48" s="36">
        <f>IFERROR(IF(U48="","",INDEX('피벗값_매장명(동일)'!Q:Q,U48)),"")</f>
        <v>50619556</v>
      </c>
      <c r="R48" s="37">
        <f>IFERROR(IF(U48="","",INDEX('피벗값_매장명(동일)'!R:R,U48)),"")</f>
        <v>0.32674151551369796</v>
      </c>
      <c r="S48" s="37">
        <f>IFERROR(IF(U48="","",INDEX('피벗값_매장명(동일)'!S:S,U48)),"")</f>
        <v>1.0449487333508664E-2</v>
      </c>
      <c r="T48" s="39">
        <f>IFERROR(IF(U48="","",INDEX('피벗값_매장명(동일)'!T:T,U48)),"")</f>
        <v>11205405</v>
      </c>
      <c r="U48" s="119">
        <f>IFERROR(MATCH(LARGE('피벗값_매장명(동일)'!$Q$6:$Q$70,44),'피벗값_매장명(동일)'!$Q$6:$Q$70,0)+6-1,"")</f>
        <v>54</v>
      </c>
    </row>
    <row r="49" spans="2:21" ht="14.25" customHeight="1">
      <c r="B49" s="35" t="str">
        <f>IFERROR(IF(U49="","",INDEX('피벗값_매장명(동일)'!B:B,U49)),"")</f>
        <v>05552</v>
      </c>
      <c r="C49" s="40" t="str">
        <f>IFERROR(IF(U49="","",INDEX('피벗값_매장명(동일)'!C:C,U49)),"")</f>
        <v>신세계아울렛파주점</v>
      </c>
      <c r="D49" s="36">
        <f>IFERROR(IF(U49="","",INDEX('피벗값_매장명(동일)'!D:D,U49)),"")</f>
        <v>102290450</v>
      </c>
      <c r="E49" s="36">
        <f>IFERROR(IF(U49="","",INDEX('피벗값_매장명(동일)'!E:E,U49)),"")</f>
        <v>124238880</v>
      </c>
      <c r="F49" s="37">
        <f>IFERROR(IF(U49="","",INDEX('피벗값_매장명(동일)'!F:F,U49)),"")</f>
        <v>0.21456968856818989</v>
      </c>
      <c r="G49" s="36">
        <f>IFERROR(IF(U49="","",INDEX('피벗값_매장명(동일)'!G:G,U49)),"")</f>
        <v>85923985</v>
      </c>
      <c r="H49" s="36">
        <f>IFERROR(IF(U49="","",INDEX('피벗값_매장명(동일)'!H:H,U49)),"")</f>
        <v>104360664</v>
      </c>
      <c r="I49" s="37">
        <f>IFERROR(IF(U49="","",INDEX('피벗값_매장명(동일)'!I:I,U49)),"")</f>
        <v>0.84000003863524852</v>
      </c>
      <c r="J49" s="36">
        <f>IFERROR(IF(U49="","",INDEX('피벗값_매장명(동일)'!J:J,U49)),"")</f>
        <v>38970265</v>
      </c>
      <c r="K49" s="36">
        <f>IFERROR(IF(U49="","",INDEX('피벗값_매장명(동일)'!K:K,U49)),"")</f>
        <v>44713049</v>
      </c>
      <c r="L49" s="38">
        <f>IFERROR(IF(U49="","",INDEX('피벗값_매장명(동일)'!L:L,U49)),"")</f>
        <v>2.5259837763163135</v>
      </c>
      <c r="M49" s="36">
        <f>IFERROR(IF(U49="","",INDEX('피벗값_매장명(동일)'!M:M,U49)),"")</f>
        <v>25566080</v>
      </c>
      <c r="N49" s="36">
        <f>IFERROR(IF(U49="","",INDEX('피벗값_매장명(동일)'!N:N,U49)),"")</f>
        <v>26963300</v>
      </c>
      <c r="O49" s="37">
        <f>IFERROR(IF(U49="","",INDEX('피벗값_매장명(동일)'!O:O,U49)),"")</f>
        <v>0.21702787404393858</v>
      </c>
      <c r="P49" s="36">
        <f>IFERROR(IF(U49="","",INDEX('피벗값_매장명(동일)'!P:P,U49)),"")</f>
        <v>39142449</v>
      </c>
      <c r="Q49" s="36">
        <f>IFERROR(IF(U49="","",INDEX('피벗값_매장명(동일)'!Q:Q,U49)),"")</f>
        <v>50160282</v>
      </c>
      <c r="R49" s="37">
        <f>IFERROR(IF(U49="","",INDEX('피벗값_매장명(동일)'!R:R,U49)),"")</f>
        <v>0.44411467811042726</v>
      </c>
      <c r="S49" s="37">
        <f>IFERROR(IF(U49="","",INDEX('피벗값_매장명(동일)'!S:S,U49)),"")</f>
        <v>1.0354678563443397E-2</v>
      </c>
      <c r="T49" s="39">
        <f>IFERROR(IF(U49="","",INDEX('피벗값_매장명(동일)'!T:T,U49)),"")</f>
        <v>11017833</v>
      </c>
      <c r="U49" s="119">
        <f>IFERROR(MATCH(LARGE('피벗값_매장명(동일)'!$Q$6:$Q$70,45),'피벗값_매장명(동일)'!$Q$6:$Q$70,0)+6-1,"")</f>
        <v>65</v>
      </c>
    </row>
    <row r="50" spans="2:21" ht="14.25" customHeight="1">
      <c r="B50" s="35" t="str">
        <f>IFERROR(IF(U50="","",INDEX('피벗값_매장명(동일)'!B:B,U50)),"")</f>
        <v>00506</v>
      </c>
      <c r="C50" s="40" t="str">
        <f>IFERROR(IF(U50="","",INDEX('피벗값_매장명(동일)'!C:C,U50)),"")</f>
        <v>갤러리아타임월드점</v>
      </c>
      <c r="D50" s="36">
        <f>IFERROR(IF(U50="","",INDEX('피벗값_매장명(동일)'!D:D,U50)),"")</f>
        <v>149139810</v>
      </c>
      <c r="E50" s="36">
        <f>IFERROR(IF(U50="","",INDEX('피벗값_매장명(동일)'!E:E,U50)),"")</f>
        <v>168582860</v>
      </c>
      <c r="F50" s="37">
        <f>IFERROR(IF(U50="","",INDEX('피벗값_매장명(동일)'!F:F,U50)),"")</f>
        <v>0.13036794132968252</v>
      </c>
      <c r="G50" s="36">
        <f>IFERROR(IF(U50="","",INDEX('피벗값_매장명(동일)'!G:G,U50)),"")</f>
        <v>94521979</v>
      </c>
      <c r="H50" s="36">
        <f>IFERROR(IF(U50="","",INDEX('피벗값_매장명(동일)'!H:H,U50)),"")</f>
        <v>108078598</v>
      </c>
      <c r="I50" s="37">
        <f>IFERROR(IF(U50="","",INDEX('피벗값_매장명(동일)'!I:I,U50)),"")</f>
        <v>0.64110075009998047</v>
      </c>
      <c r="J50" s="36">
        <f>IFERROR(IF(U50="","",INDEX('피벗값_매장명(동일)'!J:J,U50)),"")</f>
        <v>44520796</v>
      </c>
      <c r="K50" s="36">
        <f>IFERROR(IF(U50="","",INDEX('피벗값_매장명(동일)'!K:K,U50)),"")</f>
        <v>49152976</v>
      </c>
      <c r="L50" s="38">
        <f>IFERROR(IF(U50="","",INDEX('피벗값_매장명(동일)'!L:L,U50)),"")</f>
        <v>3.1179626937450426</v>
      </c>
      <c r="M50" s="36">
        <f>IFERROR(IF(U50="","",INDEX('피벗값_매장명(동일)'!M:M,U50)),"")</f>
        <v>27859405</v>
      </c>
      <c r="N50" s="36">
        <f>IFERROR(IF(U50="","",INDEX('피벗값_매장명(동일)'!N:N,U50)),"")</f>
        <v>29587505</v>
      </c>
      <c r="O50" s="37">
        <f>IFERROR(IF(U50="","",INDEX('피벗값_매장명(동일)'!O:O,U50)),"")</f>
        <v>0.17550719569000076</v>
      </c>
      <c r="P50" s="36">
        <f>IFERROR(IF(U50="","",INDEX('피벗값_매장명(동일)'!P:P,U50)),"")</f>
        <v>41408275</v>
      </c>
      <c r="Q50" s="36">
        <f>IFERROR(IF(U50="","",INDEX('피벗값_매장명(동일)'!Q:Q,U50)),"")</f>
        <v>49100295</v>
      </c>
      <c r="R50" s="37">
        <f>IFERROR(IF(U50="","",INDEX('피벗값_매장명(동일)'!R:R,U50)),"")</f>
        <v>0.32037850407805402</v>
      </c>
      <c r="S50" s="37">
        <f>IFERROR(IF(U50="","",INDEX('피벗값_매장명(동일)'!S:S,U50)),"")</f>
        <v>1.0135863512395068E-2</v>
      </c>
      <c r="T50" s="39">
        <f>IFERROR(IF(U50="","",INDEX('피벗값_매장명(동일)'!T:T,U50)),"")</f>
        <v>7692020</v>
      </c>
      <c r="U50" s="119">
        <f>IFERROR(MATCH(LARGE('피벗값_매장명(동일)'!$Q$6:$Q$70,46),'피벗값_매장명(동일)'!$Q$6:$Q$70,0)+6-1,"")</f>
        <v>53</v>
      </c>
    </row>
    <row r="51" spans="2:21" ht="14.25" customHeight="1">
      <c r="B51" s="35" t="str">
        <f>IFERROR(IF(U51="","",INDEX('피벗값_매장명(동일)'!B:B,U51)),"")</f>
        <v>00110</v>
      </c>
      <c r="C51" s="40" t="str">
        <f>IFERROR(IF(U51="","",INDEX('피벗값_매장명(동일)'!C:C,U51)),"")</f>
        <v>롯데강남점</v>
      </c>
      <c r="D51" s="36">
        <f>IFERROR(IF(U51="","",INDEX('피벗값_매장명(동일)'!D:D,U51)),"")</f>
        <v>160310570</v>
      </c>
      <c r="E51" s="36">
        <f>IFERROR(IF(U51="","",INDEX('피벗값_매장명(동일)'!E:E,U51)),"")</f>
        <v>166624390</v>
      </c>
      <c r="F51" s="37">
        <f>IFERROR(IF(U51="","",INDEX('피벗값_매장명(동일)'!F:F,U51)),"")</f>
        <v>3.938492639630687E-2</v>
      </c>
      <c r="G51" s="36">
        <f>IFERROR(IF(U51="","",INDEX('피벗값_매장명(동일)'!G:G,U51)),"")</f>
        <v>102582703</v>
      </c>
      <c r="H51" s="36">
        <f>IFERROR(IF(U51="","",INDEX('피벗값_매장명(동일)'!H:H,U51)),"")</f>
        <v>106778299</v>
      </c>
      <c r="I51" s="37">
        <f>IFERROR(IF(U51="","",INDEX('피벗값_매장명(동일)'!I:I,U51)),"")</f>
        <v>0.64083234753327534</v>
      </c>
      <c r="J51" s="36">
        <f>IFERROR(IF(U51="","",INDEX('피벗값_매장명(동일)'!J:J,U51)),"")</f>
        <v>48357983</v>
      </c>
      <c r="K51" s="36">
        <f>IFERROR(IF(U51="","",INDEX('피벗값_매장명(동일)'!K:K,U51)),"")</f>
        <v>49190055</v>
      </c>
      <c r="L51" s="38">
        <f>IFERROR(IF(U51="","",INDEX('피벗값_매장명(동일)'!L:L,U51)),"")</f>
        <v>3.0794175404320683</v>
      </c>
      <c r="M51" s="36">
        <f>IFERROR(IF(U51="","",INDEX('피벗값_매장명(동일)'!M:M,U51)),"")</f>
        <v>26271390</v>
      </c>
      <c r="N51" s="36">
        <f>IFERROR(IF(U51="","",INDEX('피벗값_매장명(동일)'!N:N,U51)),"")</f>
        <v>26831460</v>
      </c>
      <c r="O51" s="37">
        <f>IFERROR(IF(U51="","",INDEX('피벗값_매장명(동일)'!O:O,U51)),"")</f>
        <v>0.16102960677005329</v>
      </c>
      <c r="P51" s="36">
        <f>IFERROR(IF(U51="","",INDEX('피벗값_매장명(동일)'!P:P,U51)),"")</f>
        <v>44899019</v>
      </c>
      <c r="Q51" s="36">
        <f>IFERROR(IF(U51="","",INDEX('피벗값_매장명(동일)'!Q:Q,U51)),"")</f>
        <v>47881126</v>
      </c>
      <c r="R51" s="37">
        <f>IFERROR(IF(U51="","",INDEX('피벗값_매장명(동일)'!R:R,U51)),"")</f>
        <v>0.31609561241304474</v>
      </c>
      <c r="S51" s="37">
        <f>IFERROR(IF(U51="","",INDEX('피벗값_매장명(동일)'!S:S,U51)),"")</f>
        <v>9.8841882305552489E-3</v>
      </c>
      <c r="T51" s="39">
        <f>IFERROR(IF(U51="","",INDEX('피벗값_매장명(동일)'!T:T,U51)),"")</f>
        <v>2982107</v>
      </c>
      <c r="U51" s="119">
        <f>IFERROR(MATCH(LARGE('피벗값_매장명(동일)'!$Q$6:$Q$70,47),'피벗값_매장명(동일)'!$Q$6:$Q$70,0)+6-1,"")</f>
        <v>9</v>
      </c>
    </row>
    <row r="52" spans="2:21" ht="14.25" customHeight="1">
      <c r="B52" s="35" t="str">
        <f>IFERROR(IF(U52="","",INDEX('피벗값_매장명(동일)'!B:B,U52)),"")</f>
        <v>00139</v>
      </c>
      <c r="C52" s="40" t="str">
        <f>IFERROR(IF(U52="","",INDEX('피벗값_매장명(동일)'!C:C,U52)),"")</f>
        <v>롯데전주점</v>
      </c>
      <c r="D52" s="36">
        <f>IFERROR(IF(U52="","",INDEX('피벗값_매장명(동일)'!D:D,U52)),"")</f>
        <v>149635130</v>
      </c>
      <c r="E52" s="36">
        <f>IFERROR(IF(U52="","",INDEX('피벗값_매장명(동일)'!E:E,U52)),"")</f>
        <v>156029110</v>
      </c>
      <c r="F52" s="37">
        <f>IFERROR(IF(U52="","",INDEX('피벗값_매장명(동일)'!F:F,U52)),"")</f>
        <v>4.2730473786469797E-2</v>
      </c>
      <c r="G52" s="36">
        <f>IFERROR(IF(U52="","",INDEX('피벗값_매장명(동일)'!G:G,U52)),"")</f>
        <v>95900097</v>
      </c>
      <c r="H52" s="36">
        <f>IFERROR(IF(U52="","",INDEX('피벗값_매장명(동일)'!H:H,U52)),"")</f>
        <v>99906597</v>
      </c>
      <c r="I52" s="37">
        <f>IFERROR(IF(U52="","",INDEX('피벗값_매장명(동일)'!I:I,U52)),"")</f>
        <v>0.64030742083961123</v>
      </c>
      <c r="J52" s="36">
        <f>IFERROR(IF(U52="","",INDEX('피벗값_매장명(동일)'!J:J,U52)),"")</f>
        <v>42637380</v>
      </c>
      <c r="K52" s="36">
        <f>IFERROR(IF(U52="","",INDEX('피벗값_매장명(동일)'!K:K,U52)),"")</f>
        <v>43542863</v>
      </c>
      <c r="L52" s="38">
        <f>IFERROR(IF(U52="","",INDEX('피벗값_매장명(동일)'!L:L,U52)),"")</f>
        <v>3.2575865637164334</v>
      </c>
      <c r="M52" s="36">
        <f>IFERROR(IF(U52="","",INDEX('피벗값_매장명(동일)'!M:M,U52)),"")</f>
        <v>28335220</v>
      </c>
      <c r="N52" s="36">
        <f>IFERROR(IF(U52="","",INDEX('피벗값_매장명(동일)'!N:N,U52)),"")</f>
        <v>28365060</v>
      </c>
      <c r="O52" s="37">
        <f>IFERROR(IF(U52="","",INDEX('피벗값_매장명(동일)'!O:O,U52)),"")</f>
        <v>0.18179338458060806</v>
      </c>
      <c r="P52" s="36">
        <f>IFERROR(IF(U52="","",INDEX('피벗값_매장명(동일)'!P:P,U52)),"")</f>
        <v>44544527</v>
      </c>
      <c r="Q52" s="36">
        <f>IFERROR(IF(U52="","",INDEX('피벗값_매장명(동일)'!Q:Q,U52)),"")</f>
        <v>47281316</v>
      </c>
      <c r="R52" s="37">
        <f>IFERROR(IF(U52="","",INDEX('피벗값_매장명(동일)'!R:R,U52)),"")</f>
        <v>0.33333169432293758</v>
      </c>
      <c r="S52" s="37">
        <f>IFERROR(IF(U52="","",INDEX('피벗값_매장명(동일)'!S:S,U52)),"")</f>
        <v>9.7603683575102976E-3</v>
      </c>
      <c r="T52" s="39">
        <f>IFERROR(IF(U52="","",INDEX('피벗값_매장명(동일)'!T:T,U52)),"")</f>
        <v>2736789</v>
      </c>
      <c r="U52" s="119">
        <f>IFERROR(MATCH(LARGE('피벗값_매장명(동일)'!$Q$6:$Q$70,48),'피벗값_매장명(동일)'!$Q$6:$Q$70,0)+6-1,"")</f>
        <v>25</v>
      </c>
    </row>
    <row r="53" spans="2:21" ht="14.25" customHeight="1">
      <c r="B53" s="35" t="str">
        <f>IFERROR(IF(U53="","",INDEX('피벗값_매장명(동일)'!B:B,U53)),"")</f>
        <v>05007</v>
      </c>
      <c r="C53" s="40" t="str">
        <f>IFERROR(IF(U53="","",INDEX('피벗값_매장명(동일)'!C:C,U53)),"")</f>
        <v>롯데아울렛군산점</v>
      </c>
      <c r="D53" s="36">
        <f>IFERROR(IF(U53="","",INDEX('피벗값_매장명(동일)'!D:D,U53)),"")</f>
        <v>125011310</v>
      </c>
      <c r="E53" s="36">
        <f>IFERROR(IF(U53="","",INDEX('피벗값_매장명(동일)'!E:E,U53)),"")</f>
        <v>122384750</v>
      </c>
      <c r="F53" s="37">
        <f>IFERROR(IF(U53="","",INDEX('피벗값_매장명(동일)'!F:F,U53)),"")</f>
        <v>-2.1010578962815444E-2</v>
      </c>
      <c r="G53" s="36">
        <f>IFERROR(IF(U53="","",INDEX('피벗값_매장명(동일)'!G:G,U53)),"")</f>
        <v>96258810</v>
      </c>
      <c r="H53" s="36">
        <f>IFERROR(IF(U53="","",INDEX('피벗값_매장명(동일)'!H:H,U53)),"")</f>
        <v>94236319</v>
      </c>
      <c r="I53" s="37">
        <f>IFERROR(IF(U53="","",INDEX('피벗값_매장명(동일)'!I:I,U53)),"")</f>
        <v>0.77000050251358931</v>
      </c>
      <c r="J53" s="36">
        <f>IFERROR(IF(U53="","",INDEX('피벗값_매장명(동일)'!J:J,U53)),"")</f>
        <v>44777711</v>
      </c>
      <c r="K53" s="36">
        <f>IFERROR(IF(U53="","",INDEX('피벗값_매장명(동일)'!K:K,U53)),"")</f>
        <v>38597518</v>
      </c>
      <c r="L53" s="38">
        <f>IFERROR(IF(U53="","",INDEX('피벗값_매장명(동일)'!L:L,U53)),"")</f>
        <v>2.8825393289890719</v>
      </c>
      <c r="M53" s="36">
        <f>IFERROR(IF(U53="","",INDEX('피벗값_매장명(동일)'!M:M,U53)),"")</f>
        <v>26295110</v>
      </c>
      <c r="N53" s="36">
        <f>IFERROR(IF(U53="","",INDEX('피벗값_매장명(동일)'!N:N,U53)),"")</f>
        <v>25943510</v>
      </c>
      <c r="O53" s="37">
        <f>IFERROR(IF(U53="","",INDEX('피벗값_매장명(동일)'!O:O,U53)),"")</f>
        <v>0.21198319235035412</v>
      </c>
      <c r="P53" s="36">
        <f>IFERROR(IF(U53="","",INDEX('피벗값_매장명(동일)'!P:P,U53)),"")</f>
        <v>42730298</v>
      </c>
      <c r="Q53" s="36">
        <f>IFERROR(IF(U53="","",INDEX('피벗값_매장명(동일)'!Q:Q,U53)),"")</f>
        <v>47071863</v>
      </c>
      <c r="R53" s="37">
        <f>IFERROR(IF(U53="","",INDEX('피벗값_매장명(동일)'!R:R,U53)),"")</f>
        <v>0.42308416122106723</v>
      </c>
      <c r="S53" s="37">
        <f>IFERROR(IF(U53="","",INDEX('피벗값_매장명(동일)'!S:S,U53)),"")</f>
        <v>9.7171305924365504E-3</v>
      </c>
      <c r="T53" s="39">
        <f>IFERROR(IF(U53="","",INDEX('피벗값_매장명(동일)'!T:T,U53)),"")</f>
        <v>4341565</v>
      </c>
      <c r="U53" s="119">
        <f>IFERROR(MATCH(LARGE('피벗값_매장명(동일)'!$Q$6:$Q$70,49),'피벗값_매장명(동일)'!$Q$6:$Q$70,0)+6-1,"")</f>
        <v>62</v>
      </c>
    </row>
    <row r="54" spans="2:21" ht="14.25" customHeight="1">
      <c r="B54" s="35" t="str">
        <f>IFERROR(IF(U54="","",INDEX('피벗값_매장명(동일)'!B:B,U54)),"")</f>
        <v>00309</v>
      </c>
      <c r="C54" s="40" t="str">
        <f>IFERROR(IF(U54="","",INDEX('피벗값_매장명(동일)'!C:C,U54)),"")</f>
        <v>신세계천안아산점</v>
      </c>
      <c r="D54" s="36">
        <f>IFERROR(IF(U54="","",INDEX('피벗값_매장명(동일)'!D:D,U54)),"")</f>
        <v>133355330</v>
      </c>
      <c r="E54" s="36">
        <f>IFERROR(IF(U54="","",INDEX('피벗값_매장명(동일)'!E:E,U54)),"")</f>
        <v>147670410</v>
      </c>
      <c r="F54" s="37">
        <f>IFERROR(IF(U54="","",INDEX('피벗값_매장명(동일)'!F:F,U54)),"")</f>
        <v>0.10734539069417023</v>
      </c>
      <c r="G54" s="36">
        <f>IFERROR(IF(U54="","",INDEX('피벗값_매장명(동일)'!G:G,U54)),"")</f>
        <v>85040768</v>
      </c>
      <c r="H54" s="36">
        <f>IFERROR(IF(U54="","",INDEX('피벗값_매장명(동일)'!H:H,U54)),"")</f>
        <v>94418915</v>
      </c>
      <c r="I54" s="37">
        <f>IFERROR(IF(U54="","",INDEX('피벗값_매장명(동일)'!I:I,U54)),"")</f>
        <v>0.63938953646840957</v>
      </c>
      <c r="J54" s="36">
        <f>IFERROR(IF(U54="","",INDEX('피벗값_매장명(동일)'!J:J,U54)),"")</f>
        <v>38264321</v>
      </c>
      <c r="K54" s="36">
        <f>IFERROR(IF(U54="","",INDEX('피벗값_매장명(동일)'!K:K,U54)),"")</f>
        <v>38861708</v>
      </c>
      <c r="L54" s="38">
        <f>IFERROR(IF(U54="","",INDEX('피벗값_매장명(동일)'!L:L,U54)),"")</f>
        <v>3.454450001855998</v>
      </c>
      <c r="M54" s="36">
        <f>IFERROR(IF(U54="","",INDEX('피벗값_매장명(동일)'!M:M,U54)),"")</f>
        <v>26512700</v>
      </c>
      <c r="N54" s="36">
        <f>IFERROR(IF(U54="","",INDEX('피벗값_매장명(동일)'!N:N,U54)),"")</f>
        <v>26352590</v>
      </c>
      <c r="O54" s="37">
        <f>IFERROR(IF(U54="","",INDEX('피벗값_매장명(동일)'!O:O,U54)),"")</f>
        <v>0.17845545360102949</v>
      </c>
      <c r="P54" s="36">
        <f>IFERROR(IF(U54="","",INDEX('피벗값_매장명(동일)'!P:P,U54)),"")</f>
        <v>39045468</v>
      </c>
      <c r="Q54" s="36">
        <f>IFERROR(IF(U54="","",INDEX('피벗값_매장명(동일)'!Q:Q,U54)),"")</f>
        <v>46973670</v>
      </c>
      <c r="R54" s="37">
        <f>IFERROR(IF(U54="","",INDEX('피벗값_매장명(동일)'!R:R,U54)),"")</f>
        <v>0.34990785899490634</v>
      </c>
      <c r="S54" s="37">
        <f>IFERROR(IF(U54="","",INDEX('피벗값_매장명(동일)'!S:S,U54)),"")</f>
        <v>9.696860432229313E-3</v>
      </c>
      <c r="T54" s="39">
        <f>IFERROR(IF(U54="","",INDEX('피벗값_매장명(동일)'!T:T,U54)),"")</f>
        <v>7928202</v>
      </c>
      <c r="U54" s="119">
        <f>IFERROR(MATCH(LARGE('피벗값_매장명(동일)'!$Q$6:$Q$70,50),'피벗값_매장명(동일)'!$Q$6:$Q$70,0)+6-1,"")</f>
        <v>44</v>
      </c>
    </row>
    <row r="55" spans="2:21" ht="14.25" customHeight="1">
      <c r="B55" s="35" t="str">
        <f>IFERROR(IF(U55="","",INDEX('피벗값_매장명(동일)'!B:B,U55)),"")</f>
        <v>00208</v>
      </c>
      <c r="C55" s="40" t="str">
        <f>IFERROR(IF(U55="","",INDEX('피벗값_매장명(동일)'!C:C,U55)),"")</f>
        <v>현대미아점</v>
      </c>
      <c r="D55" s="36">
        <f>IFERROR(IF(U55="","",INDEX('피벗값_매장명(동일)'!D:D,U55)),"")</f>
        <v>146516950</v>
      </c>
      <c r="E55" s="36">
        <f>IFERROR(IF(U55="","",INDEX('피벗값_매장명(동일)'!E:E,U55)),"")</f>
        <v>171678450</v>
      </c>
      <c r="F55" s="37">
        <f>IFERROR(IF(U55="","",INDEX('피벗값_매장명(동일)'!F:F,U55)),"")</f>
        <v>0.17173098402608025</v>
      </c>
      <c r="G55" s="36">
        <f>IFERROR(IF(U55="","",INDEX('피벗값_매장명(동일)'!G:G,U55)),"")</f>
        <v>98273474</v>
      </c>
      <c r="H55" s="36">
        <f>IFERROR(IF(U55="","",INDEX('피벗값_매장명(동일)'!H:H,U55)),"")</f>
        <v>107134645</v>
      </c>
      <c r="I55" s="37">
        <f>IFERROR(IF(U55="","",INDEX('피벗값_매장명(동일)'!I:I,U55)),"")</f>
        <v>0.62404247591937134</v>
      </c>
      <c r="J55" s="36">
        <f>IFERROR(IF(U55="","",INDEX('피벗값_매장명(동일)'!J:J,U55)),"")</f>
        <v>44750121</v>
      </c>
      <c r="K55" s="36">
        <f>IFERROR(IF(U55="","",INDEX('피벗값_매장명(동일)'!K:K,U55)),"")</f>
        <v>50589176</v>
      </c>
      <c r="L55" s="38">
        <f>IFERROR(IF(U55="","",INDEX('피벗값_매장명(동일)'!L:L,U55)),"")</f>
        <v>3.0850733402302928</v>
      </c>
      <c r="M55" s="36">
        <f>IFERROR(IF(U55="","",INDEX('피벗값_매장명(동일)'!M:M,U55)),"")</f>
        <v>23827600</v>
      </c>
      <c r="N55" s="36">
        <f>IFERROR(IF(U55="","",INDEX('피벗값_매장명(동일)'!N:N,U55)),"")</f>
        <v>26158890</v>
      </c>
      <c r="O55" s="37">
        <f>IFERROR(IF(U55="","",INDEX('피벗값_매장명(동일)'!O:O,U55)),"")</f>
        <v>0.1523714246022142</v>
      </c>
      <c r="P55" s="36">
        <f>IFERROR(IF(U55="","",INDEX('피벗값_매장명(동일)'!P:P,U55)),"")</f>
        <v>44589401</v>
      </c>
      <c r="Q55" s="36">
        <f>IFERROR(IF(U55="","",INDEX('피벗값_매장명(동일)'!Q:Q,U55)),"")</f>
        <v>46805957</v>
      </c>
      <c r="R55" s="37">
        <f>IFERROR(IF(U55="","",INDEX('피벗값_매장명(동일)'!R:R,U55)),"")</f>
        <v>0.29990108077047534</v>
      </c>
      <c r="S55" s="37">
        <f>IFERROR(IF(U55="","",INDEX('피벗값_매장명(동일)'!S:S,U55)),"")</f>
        <v>9.6622391315374472E-3</v>
      </c>
      <c r="T55" s="39">
        <f>IFERROR(IF(U55="","",INDEX('피벗값_매장명(동일)'!T:T,U55)),"")</f>
        <v>2216556</v>
      </c>
      <c r="U55" s="119">
        <f>IFERROR(MATCH(LARGE('피벗값_매장명(동일)'!$Q$6:$Q$70,51),'피벗값_매장명(동일)'!$Q$6:$Q$70,0)+6-1,"")</f>
        <v>30</v>
      </c>
    </row>
    <row r="56" spans="2:21" ht="14.25" customHeight="1">
      <c r="B56" s="35" t="str">
        <f>IFERROR(IF(U56="","",INDEX('피벗값_매장명(동일)'!B:B,U56)),"")</f>
        <v>00212</v>
      </c>
      <c r="C56" s="40" t="str">
        <f>IFERROR(IF(U56="","",INDEX('피벗값_매장명(동일)'!C:C,U56)),"")</f>
        <v>현대킨텍스점</v>
      </c>
      <c r="D56" s="36">
        <f>IFERROR(IF(U56="","",INDEX('피벗값_매장명(동일)'!D:D,U56)),"")</f>
        <v>0</v>
      </c>
      <c r="E56" s="36">
        <f>IFERROR(IF(U56="","",INDEX('피벗값_매장명(동일)'!E:E,U56)),"")</f>
        <v>159288080</v>
      </c>
      <c r="F56" s="37" t="str">
        <f>IFERROR(IF(U56="","",INDEX('피벗값_매장명(동일)'!F:F,U56)),"")</f>
        <v/>
      </c>
      <c r="G56" s="36">
        <f>IFERROR(IF(U56="","",INDEX('피벗값_매장명(동일)'!G:G,U56)),"")</f>
        <v>0</v>
      </c>
      <c r="H56" s="36">
        <f>IFERROR(IF(U56="","",INDEX('피벗값_매장명(동일)'!H:H,U56)),"")</f>
        <v>99529838</v>
      </c>
      <c r="I56" s="37">
        <f>IFERROR(IF(U56="","",INDEX('피벗값_매장명(동일)'!I:I,U56)),"")</f>
        <v>0.62484172073641664</v>
      </c>
      <c r="J56" s="36">
        <f>IFERROR(IF(U56="","",INDEX('피벗값_매장명(동일)'!J:J,U56)),"")</f>
        <v>0</v>
      </c>
      <c r="K56" s="36">
        <f>IFERROR(IF(U56="","",INDEX('피벗값_매장명(동일)'!K:K,U56)),"")</f>
        <v>44156222</v>
      </c>
      <c r="L56" s="38">
        <f>IFERROR(IF(U56="","",INDEX('피벗값_매장명(동일)'!L:L,U56)),"")</f>
        <v>3.2794324082922093</v>
      </c>
      <c r="M56" s="36">
        <f>IFERROR(IF(U56="","",INDEX('피벗값_매장명(동일)'!M:M,U56)),"")</f>
        <v>0</v>
      </c>
      <c r="N56" s="36">
        <f>IFERROR(IF(U56="","",INDEX('피벗값_매장명(동일)'!N:N,U56)),"")</f>
        <v>30196500</v>
      </c>
      <c r="O56" s="37">
        <f>IFERROR(IF(U56="","",INDEX('피벗값_매장명(동일)'!O:O,U56)),"")</f>
        <v>0.18957162394072424</v>
      </c>
      <c r="P56" s="36">
        <f>IFERROR(IF(U56="","",INDEX('피벗값_매장명(동일)'!P:P,U56)),"")</f>
        <v>0</v>
      </c>
      <c r="Q56" s="36">
        <f>IFERROR(IF(U56="","",INDEX('피벗값_매장명(동일)'!Q:Q,U56)),"")</f>
        <v>46325449</v>
      </c>
      <c r="R56" s="37">
        <f>IFERROR(IF(U56="","",INDEX('피벗값_매장명(동일)'!R:R,U56)),"")</f>
        <v>0.31991090544879447</v>
      </c>
      <c r="S56" s="37">
        <f>IFERROR(IF(U56="","",INDEX('피벗값_매장명(동일)'!S:S,U56)),"")</f>
        <v>9.5630469880968842E-3</v>
      </c>
      <c r="T56" s="39">
        <f>IFERROR(IF(U56="","",INDEX('피벗값_매장명(동일)'!T:T,U56)),"")</f>
        <v>46325449</v>
      </c>
      <c r="U56" s="119">
        <f>IFERROR(MATCH(LARGE('피벗값_매장명(동일)'!$Q$6:$Q$70,52),'피벗값_매장명(동일)'!$Q$6:$Q$70,0)+6-1,"")</f>
        <v>32</v>
      </c>
    </row>
    <row r="57" spans="2:21" ht="14.25" customHeight="1">
      <c r="B57" s="35" t="str">
        <f>IFERROR(IF(U57="","",INDEX('피벗값_매장명(동일)'!B:B,U57)),"")</f>
        <v>05005</v>
      </c>
      <c r="C57" s="40" t="str">
        <f>IFERROR(IF(U57="","",INDEX('피벗값_매장명(동일)'!C:C,U57)),"")</f>
        <v>롯데아울렛고양점</v>
      </c>
      <c r="D57" s="36">
        <f>IFERROR(IF(U57="","",INDEX('피벗값_매장명(동일)'!D:D,U57)),"")</f>
        <v>110976160</v>
      </c>
      <c r="E57" s="36">
        <f>IFERROR(IF(U57="","",INDEX('피벗값_매장명(동일)'!E:E,U57)),"")</f>
        <v>121717340</v>
      </c>
      <c r="F57" s="37">
        <f>IFERROR(IF(U57="","",INDEX('피벗값_매장명(동일)'!F:F,U57)),"")</f>
        <v>9.6788175045883731E-2</v>
      </c>
      <c r="G57" s="36">
        <f>IFERROR(IF(U57="","",INDEX('피벗값_매장명(동일)'!G:G,U57)),"")</f>
        <v>85451704</v>
      </c>
      <c r="H57" s="36">
        <f>IFERROR(IF(U57="","",INDEX('피벗값_매장명(동일)'!H:H,U57)),"")</f>
        <v>93722430</v>
      </c>
      <c r="I57" s="37">
        <f>IFERROR(IF(U57="","",INDEX('피벗값_매장명(동일)'!I:I,U57)),"")</f>
        <v>0.77000064247214073</v>
      </c>
      <c r="J57" s="36">
        <f>IFERROR(IF(U57="","",INDEX('피벗값_매장명(동일)'!J:J,U57)),"")</f>
        <v>39420357</v>
      </c>
      <c r="K57" s="36">
        <f>IFERROR(IF(U57="","",INDEX('피벗값_매장명(동일)'!K:K,U57)),"")</f>
        <v>38881776</v>
      </c>
      <c r="L57" s="38">
        <f>IFERROR(IF(U57="","",INDEX('피벗값_매장명(동일)'!L:L,U57)),"")</f>
        <v>2.8458609316798511</v>
      </c>
      <c r="M57" s="36">
        <f>IFERROR(IF(U57="","",INDEX('피벗값_매장명(동일)'!M:M,U57)),"")</f>
        <v>23697510</v>
      </c>
      <c r="N57" s="36">
        <f>IFERROR(IF(U57="","",INDEX('피벗값_매장명(동일)'!N:N,U57)),"")</f>
        <v>25038360</v>
      </c>
      <c r="O57" s="37">
        <f>IFERROR(IF(U57="","",INDEX('피벗값_매장명(동일)'!O:O,U57)),"")</f>
        <v>0.20570906331012492</v>
      </c>
      <c r="P57" s="36">
        <f>IFERROR(IF(U57="","",INDEX('피벗값_매장명(동일)'!P:P,U57)),"")</f>
        <v>38263010</v>
      </c>
      <c r="Q57" s="36">
        <f>IFERROR(IF(U57="","",INDEX('피벗값_매장명(동일)'!Q:Q,U57)),"")</f>
        <v>46320433</v>
      </c>
      <c r="R57" s="37">
        <f>IFERROR(IF(U57="","",INDEX('피벗값_매장명(동일)'!R:R,U57)),"")</f>
        <v>0.41861312693819963</v>
      </c>
      <c r="S57" s="37">
        <f>IFERROR(IF(U57="","",INDEX('피벗값_매장명(동일)'!S:S,U57)),"")</f>
        <v>9.5620115260619185E-3</v>
      </c>
      <c r="T57" s="39">
        <f>IFERROR(IF(U57="","",INDEX('피벗값_매장명(동일)'!T:T,U57)),"")</f>
        <v>8057423</v>
      </c>
      <c r="U57" s="119">
        <f>IFERROR(MATCH(LARGE('피벗값_매장명(동일)'!$Q$6:$Q$70,53),'피벗값_매장명(동일)'!$Q$6:$Q$70,0)+6-1,"")</f>
        <v>60</v>
      </c>
    </row>
    <row r="58" spans="2:21" ht="14.25" customHeight="1">
      <c r="B58" s="35" t="str">
        <f>IFERROR(IF(U58="","",INDEX('피벗값_매장명(동일)'!B:B,U58)),"")</f>
        <v>00130</v>
      </c>
      <c r="C58" s="40" t="str">
        <f>IFERROR(IF(U58="","",INDEX('피벗값_매장명(동일)'!C:C,U58)),"")</f>
        <v>롯데안산점</v>
      </c>
      <c r="D58" s="36">
        <f>IFERROR(IF(U58="","",INDEX('피벗값_매장명(동일)'!D:D,U58)),"")</f>
        <v>159382210</v>
      </c>
      <c r="E58" s="36">
        <f>IFERROR(IF(U58="","",INDEX('피벗값_매장명(동일)'!E:E,U58)),"")</f>
        <v>157492840</v>
      </c>
      <c r="F58" s="37">
        <f>IFERROR(IF(U58="","",INDEX('피벗값_매장명(동일)'!F:F,U58)),"")</f>
        <v>-1.1854334307448743E-2</v>
      </c>
      <c r="G58" s="36">
        <f>IFERROR(IF(U58="","",INDEX('피벗값_매장명(동일)'!G:G,U58)),"")</f>
        <v>104289246</v>
      </c>
      <c r="H58" s="36">
        <f>IFERROR(IF(U58="","",INDEX('피벗값_매장명(동일)'!H:H,U58)),"")</f>
        <v>103944753</v>
      </c>
      <c r="I58" s="37">
        <f>IFERROR(IF(U58="","",INDEX('피벗값_매장명(동일)'!I:I,U58)),"")</f>
        <v>0.65999668937330735</v>
      </c>
      <c r="J58" s="36">
        <f>IFERROR(IF(U58="","",INDEX('피벗값_매장명(동일)'!J:J,U58)),"")</f>
        <v>48184072</v>
      </c>
      <c r="K58" s="36">
        <f>IFERROR(IF(U58="","",INDEX('피벗값_매장명(동일)'!K:K,U58)),"")</f>
        <v>49094753</v>
      </c>
      <c r="L58" s="38">
        <f>IFERROR(IF(U58="","",INDEX('피벗값_매장명(동일)'!L:L,U58)),"")</f>
        <v>2.9163057219354802</v>
      </c>
      <c r="M58" s="36">
        <f>IFERROR(IF(U58="","",INDEX('피벗값_매장명(동일)'!M:M,U58)),"")</f>
        <v>28404420</v>
      </c>
      <c r="N58" s="36">
        <f>IFERROR(IF(U58="","",INDEX('피벗값_매장명(동일)'!N:N,U58)),"")</f>
        <v>30288810</v>
      </c>
      <c r="O58" s="37">
        <f>IFERROR(IF(U58="","",INDEX('피벗값_매장명(동일)'!O:O,U58)),"")</f>
        <v>0.19231864762867951</v>
      </c>
      <c r="P58" s="36">
        <f>IFERROR(IF(U58="","",INDEX('피벗값_매장명(동일)'!P:P,U58)),"")</f>
        <v>46624334</v>
      </c>
      <c r="Q58" s="36">
        <f>IFERROR(IF(U58="","",INDEX('피벗값_매장명(동일)'!Q:Q,U58)),"")</f>
        <v>45400476</v>
      </c>
      <c r="R58" s="37">
        <f>IFERROR(IF(U58="","",INDEX('피벗값_매장명(동일)'!R:R,U58)),"")</f>
        <v>0.31709710485886217</v>
      </c>
      <c r="S58" s="37">
        <f>IFERROR(IF(U58="","",INDEX('피벗값_매장명(동일)'!S:S,U58)),"")</f>
        <v>9.3721031234897459E-3</v>
      </c>
      <c r="T58" s="39">
        <f>IFERROR(IF(U58="","",INDEX('피벗값_매장명(동일)'!T:T,U58)),"")</f>
        <v>-1223858</v>
      </c>
      <c r="U58" s="119">
        <f>IFERROR(MATCH(LARGE('피벗값_매장명(동일)'!$Q$6:$Q$70,54),'피벗값_매장명(동일)'!$Q$6:$Q$70,0)+6-1,"")</f>
        <v>20</v>
      </c>
    </row>
    <row r="59" spans="2:21" ht="14.25" customHeight="1">
      <c r="B59" s="35" t="str">
        <f>IFERROR(IF(U59="","",INDEX('피벗값_매장명(동일)'!B:B,U59)),"")</f>
        <v>00119</v>
      </c>
      <c r="C59" s="40" t="str">
        <f>IFERROR(IF(U59="","",INDEX('피벗값_매장명(동일)'!C:C,U59)),"")</f>
        <v>롯데상인점</v>
      </c>
      <c r="D59" s="36">
        <f>IFERROR(IF(U59="","",INDEX('피벗값_매장명(동일)'!D:D,U59)),"")</f>
        <v>106443340</v>
      </c>
      <c r="E59" s="36">
        <f>IFERROR(IF(U59="","",INDEX('피벗값_매장명(동일)'!E:E,U59)),"")</f>
        <v>155318390</v>
      </c>
      <c r="F59" s="37">
        <f>IFERROR(IF(U59="","",INDEX('피벗값_매장명(동일)'!F:F,U59)),"")</f>
        <v>0.45916494164876825</v>
      </c>
      <c r="G59" s="36">
        <f>IFERROR(IF(U59="","",INDEX('피벗값_매장명(동일)'!G:G,U59)),"")</f>
        <v>68322156</v>
      </c>
      <c r="H59" s="36">
        <f>IFERROR(IF(U59="","",INDEX('피벗값_매장명(동일)'!H:H,U59)),"")</f>
        <v>100225186</v>
      </c>
      <c r="I59" s="37">
        <f>IFERROR(IF(U59="","",INDEX('피벗값_매장명(동일)'!I:I,U59)),"")</f>
        <v>0.64528859718414544</v>
      </c>
      <c r="J59" s="36">
        <f>IFERROR(IF(U59="","",INDEX('피벗값_매장명(동일)'!J:J,U59)),"")</f>
        <v>30905544</v>
      </c>
      <c r="K59" s="36">
        <f>IFERROR(IF(U59="","",INDEX('피벗값_매장명(동일)'!K:K,U59)),"")</f>
        <v>47335940</v>
      </c>
      <c r="L59" s="38">
        <f>IFERROR(IF(U59="","",INDEX('피벗값_매장명(동일)'!L:L,U59)),"")</f>
        <v>2.9829033999036745</v>
      </c>
      <c r="M59" s="36">
        <f>IFERROR(IF(U59="","",INDEX('피벗값_매장명(동일)'!M:M,U59)),"")</f>
        <v>26070060</v>
      </c>
      <c r="N59" s="36">
        <f>IFERROR(IF(U59="","",INDEX('피벗값_매장명(동일)'!N:N,U59)),"")</f>
        <v>28845460</v>
      </c>
      <c r="O59" s="37">
        <f>IFERROR(IF(U59="","",INDEX('피벗값_매장명(동일)'!O:O,U59)),"")</f>
        <v>0.18571825268083195</v>
      </c>
      <c r="P59" s="36">
        <f>IFERROR(IF(U59="","",INDEX('피벗값_매장명(동일)'!P:P,U59)),"")</f>
        <v>31205507</v>
      </c>
      <c r="Q59" s="36">
        <f>IFERROR(IF(U59="","",INDEX('피벗값_매장명(동일)'!Q:Q,U59)),"")</f>
        <v>43777865</v>
      </c>
      <c r="R59" s="37">
        <f>IFERROR(IF(U59="","",INDEX('피벗값_매장명(동일)'!R:R,U59)),"")</f>
        <v>0.31004475065702142</v>
      </c>
      <c r="S59" s="37">
        <f>IFERROR(IF(U59="","",INDEX('피벗값_매장명(동일)'!S:S,U59)),"")</f>
        <v>9.0371445732465982E-3</v>
      </c>
      <c r="T59" s="39">
        <f>IFERROR(IF(U59="","",INDEX('피벗값_매장명(동일)'!T:T,U59)),"")</f>
        <v>12572358</v>
      </c>
      <c r="U59" s="119">
        <f>IFERROR(MATCH(LARGE('피벗값_매장명(동일)'!$Q$6:$Q$70,55),'피벗값_매장명(동일)'!$Q$6:$Q$70,0)+6-1,"")</f>
        <v>14</v>
      </c>
    </row>
    <row r="60" spans="2:21" ht="14.25" customHeight="1">
      <c r="B60" s="35" t="str">
        <f>IFERROR(IF(U60="","",INDEX('피벗값_매장명(동일)'!B:B,U60)),"")</f>
        <v>00137</v>
      </c>
      <c r="C60" s="40" t="str">
        <f>IFERROR(IF(U60="","",INDEX('피벗값_매장명(동일)'!C:C,U60)),"")</f>
        <v>롯데대구점</v>
      </c>
      <c r="D60" s="36">
        <f>IFERROR(IF(U60="","",INDEX('피벗값_매장명(동일)'!D:D,U60)),"")</f>
        <v>128179450</v>
      </c>
      <c r="E60" s="36">
        <f>IFERROR(IF(U60="","",INDEX('피벗값_매장명(동일)'!E:E,U60)),"")</f>
        <v>157533820</v>
      </c>
      <c r="F60" s="37">
        <f>IFERROR(IF(U60="","",INDEX('피벗값_매장명(동일)'!F:F,U60)),"")</f>
        <v>0.22900995440376753</v>
      </c>
      <c r="G60" s="36">
        <f>IFERROR(IF(U60="","",INDEX('피벗값_매장명(동일)'!G:G,U60)),"")</f>
        <v>83001721</v>
      </c>
      <c r="H60" s="36">
        <f>IFERROR(IF(U60="","",INDEX('피벗값_매장명(동일)'!H:H,U60)),"")</f>
        <v>100874574</v>
      </c>
      <c r="I60" s="37">
        <f>IFERROR(IF(U60="","",INDEX('피벗값_매장명(동일)'!I:I,U60)),"")</f>
        <v>0.64033598626631416</v>
      </c>
      <c r="J60" s="36">
        <f>IFERROR(IF(U60="","",INDEX('피벗값_매장명(동일)'!J:J,U60)),"")</f>
        <v>44147376</v>
      </c>
      <c r="K60" s="36">
        <f>IFERROR(IF(U60="","",INDEX('피벗값_매장명(동일)'!K:K,U60)),"")</f>
        <v>49922324</v>
      </c>
      <c r="L60" s="38">
        <f>IFERROR(IF(U60="","",INDEX('피벗값_매장명(동일)'!L:L,U60)),"")</f>
        <v>2.8687078677740168</v>
      </c>
      <c r="M60" s="36">
        <f>IFERROR(IF(U60="","",INDEX('피벗값_매장명(동일)'!M:M,U60)),"")</f>
        <v>29167200</v>
      </c>
      <c r="N60" s="36">
        <f>IFERROR(IF(U60="","",INDEX('피벗값_매장명(동일)'!N:N,U60)),"")</f>
        <v>33749970</v>
      </c>
      <c r="O60" s="37">
        <f>IFERROR(IF(U60="","",INDEX('피벗값_매장명(동일)'!O:O,U60)),"")</f>
        <v>0.21423952012336145</v>
      </c>
      <c r="P60" s="36">
        <f>IFERROR(IF(U60="","",INDEX('피벗값_매장명(동일)'!P:P,U60)),"")</f>
        <v>31308733</v>
      </c>
      <c r="Q60" s="36">
        <f>IFERROR(IF(U60="","",INDEX('피벗값_매장명(동일)'!Q:Q,U60)),"")</f>
        <v>41781835</v>
      </c>
      <c r="R60" s="37">
        <f>IFERROR(IF(U60="","",INDEX('피벗값_매장명(동일)'!R:R,U60)),"")</f>
        <v>0.2917469943914266</v>
      </c>
      <c r="S60" s="37">
        <f>IFERROR(IF(U60="","",INDEX('피벗값_매장명(동일)'!S:S,U60)),"")</f>
        <v>8.6251004572866843E-3</v>
      </c>
      <c r="T60" s="39">
        <f>IFERROR(IF(U60="","",INDEX('피벗값_매장명(동일)'!T:T,U60)),"")</f>
        <v>10473102</v>
      </c>
      <c r="U60" s="119">
        <f>IFERROR(MATCH(LARGE('피벗값_매장명(동일)'!$Q$6:$Q$70,56),'피벗값_매장명(동일)'!$Q$6:$Q$70,0)+6-1,"")</f>
        <v>24</v>
      </c>
    </row>
    <row r="61" spans="2:21" ht="14.25" customHeight="1">
      <c r="B61" s="35" t="str">
        <f>IFERROR(IF(U61="","",INDEX('피벗값_매장명(동일)'!B:B,U61)),"")</f>
        <v>00112</v>
      </c>
      <c r="C61" s="40" t="str">
        <f>IFERROR(IF(U61="","",INDEX('피벗값_매장명(동일)'!C:C,U61)),"")</f>
        <v>롯데울산점</v>
      </c>
      <c r="D61" s="36">
        <f>IFERROR(IF(U61="","",INDEX('피벗값_매장명(동일)'!D:D,U61)),"")</f>
        <v>103482570</v>
      </c>
      <c r="E61" s="36">
        <f>IFERROR(IF(U61="","",INDEX('피벗값_매장명(동일)'!E:E,U61)),"")</f>
        <v>134001550</v>
      </c>
      <c r="F61" s="37">
        <f>IFERROR(IF(U61="","",INDEX('피벗값_매장명(동일)'!F:F,U61)),"")</f>
        <v>0.29491903805636061</v>
      </c>
      <c r="G61" s="36">
        <f>IFERROR(IF(U61="","",INDEX('피벗값_매장명(동일)'!G:G,U61)),"")</f>
        <v>66235283</v>
      </c>
      <c r="H61" s="36">
        <f>IFERROR(IF(U61="","",INDEX('피벗값_매장명(동일)'!H:H,U61)),"")</f>
        <v>85873002</v>
      </c>
      <c r="I61" s="37">
        <f>IFERROR(IF(U61="","",INDEX('피벗값_매장명(동일)'!I:I,U61)),"")</f>
        <v>0.64083588585355911</v>
      </c>
      <c r="J61" s="36">
        <f>IFERROR(IF(U61="","",INDEX('피벗값_매장명(동일)'!J:J,U61)),"")</f>
        <v>31079900</v>
      </c>
      <c r="K61" s="36">
        <f>IFERROR(IF(U61="","",INDEX('피벗값_매장명(동일)'!K:K,U61)),"")</f>
        <v>39617508</v>
      </c>
      <c r="L61" s="38">
        <f>IFERROR(IF(U61="","",INDEX('피벗값_매장명(동일)'!L:L,U61)),"")</f>
        <v>3.0748928203432406</v>
      </c>
      <c r="M61" s="36">
        <f>IFERROR(IF(U61="","",INDEX('피벗값_매장명(동일)'!M:M,U61)),"")</f>
        <v>25080060</v>
      </c>
      <c r="N61" s="36">
        <f>IFERROR(IF(U61="","",INDEX('피벗값_매장명(동일)'!N:N,U61)),"")</f>
        <v>23789890</v>
      </c>
      <c r="O61" s="37">
        <f>IFERROR(IF(U61="","",INDEX('피벗값_매장명(동일)'!O:O,U61)),"")</f>
        <v>0.17753443896731044</v>
      </c>
      <c r="P61" s="36">
        <f>IFERROR(IF(U61="","",INDEX('피벗값_매장명(동일)'!P:P,U61)),"")</f>
        <v>29133993</v>
      </c>
      <c r="Q61" s="36">
        <f>IFERROR(IF(U61="","",INDEX('피벗값_매장명(동일)'!Q:Q,U61)),"")</f>
        <v>38448857</v>
      </c>
      <c r="R61" s="37">
        <f>IFERROR(IF(U61="","",INDEX('피벗값_매장명(동일)'!R:R,U61)),"")</f>
        <v>0.31562129467905409</v>
      </c>
      <c r="S61" s="37">
        <f>IFERROR(IF(U61="","",INDEX('피벗값_매장명(동일)'!S:S,U61)),"")</f>
        <v>7.9370677255522736E-3</v>
      </c>
      <c r="T61" s="39">
        <f>IFERROR(IF(U61="","",INDEX('피벗값_매장명(동일)'!T:T,U61)),"")</f>
        <v>9314864</v>
      </c>
      <c r="U61" s="119">
        <f>IFERROR(MATCH(LARGE('피벗값_매장명(동일)'!$Q$6:$Q$70,57),'피벗값_매장명(동일)'!$Q$6:$Q$70,0)+6-1,"")</f>
        <v>11</v>
      </c>
    </row>
    <row r="62" spans="2:21" ht="14.25" customHeight="1">
      <c r="B62" s="35" t="str">
        <f>IFERROR(IF(U62="","",INDEX('피벗값_매장명(동일)'!B:B,U62)),"")</f>
        <v>00113</v>
      </c>
      <c r="C62" s="40" t="str">
        <f>IFERROR(IF(U62="","",INDEX('피벗값_매장명(동일)'!C:C,U62)),"")</f>
        <v>롯데동래점</v>
      </c>
      <c r="D62" s="36">
        <f>IFERROR(IF(U62="","",INDEX('피벗값_매장명(동일)'!D:D,U62)),"")</f>
        <v>137501710</v>
      </c>
      <c r="E62" s="36">
        <f>IFERROR(IF(U62="","",INDEX('피벗값_매장명(동일)'!E:E,U62)),"")</f>
        <v>138875100</v>
      </c>
      <c r="F62" s="37">
        <f>IFERROR(IF(U62="","",INDEX('피벗값_매장명(동일)'!F:F,U62)),"")</f>
        <v>9.9881666926178586E-3</v>
      </c>
      <c r="G62" s="36">
        <f>IFERROR(IF(U62="","",INDEX('피벗값_매장명(동일)'!G:G,U62)),"")</f>
        <v>88584162</v>
      </c>
      <c r="H62" s="36">
        <f>IFERROR(IF(U62="","",INDEX('피벗값_매장명(동일)'!H:H,U62)),"")</f>
        <v>89765125</v>
      </c>
      <c r="I62" s="37">
        <f>IFERROR(IF(U62="","",INDEX('피벗값_매장명(동일)'!I:I,U62)),"")</f>
        <v>0.64637307191858007</v>
      </c>
      <c r="J62" s="36">
        <f>IFERROR(IF(U62="","",INDEX('피벗값_매장명(동일)'!J:J,U62)),"")</f>
        <v>47370915</v>
      </c>
      <c r="K62" s="36">
        <f>IFERROR(IF(U62="","",INDEX('피벗값_매장명(동일)'!K:K,U62)),"")</f>
        <v>44995233</v>
      </c>
      <c r="L62" s="38">
        <f>IFERROR(IF(U62="","",INDEX('피벗값_매장명(동일)'!L:L,U62)),"")</f>
        <v>2.8058548093103748</v>
      </c>
      <c r="M62" s="36">
        <f>IFERROR(IF(U62="","",INDEX('피벗값_매장명(동일)'!M:M,U62)),"")</f>
        <v>31226320</v>
      </c>
      <c r="N62" s="36">
        <f>IFERROR(IF(U62="","",INDEX('피벗값_매장명(동일)'!N:N,U62)),"")</f>
        <v>26328970</v>
      </c>
      <c r="O62" s="37">
        <f>IFERROR(IF(U62="","",INDEX('피벗값_매장명(동일)'!O:O,U62)),"")</f>
        <v>0.18958740623769127</v>
      </c>
      <c r="P62" s="36">
        <f>IFERROR(IF(U62="","",INDEX('피벗값_매장명(동일)'!P:P,U62)),"")</f>
        <v>33160142</v>
      </c>
      <c r="Q62" s="36">
        <f>IFERROR(IF(U62="","",INDEX('피벗값_매장명(동일)'!Q:Q,U62)),"")</f>
        <v>36609426</v>
      </c>
      <c r="R62" s="37">
        <f>IFERROR(IF(U62="","",INDEX('피벗값_매장명(동일)'!R:R,U62)),"")</f>
        <v>0.28997544268194952</v>
      </c>
      <c r="S62" s="37">
        <f>IFERROR(IF(U62="","",INDEX('피벗값_매장명(동일)'!S:S,U62)),"")</f>
        <v>7.557350626979477E-3</v>
      </c>
      <c r="T62" s="39">
        <f>IFERROR(IF(U62="","",INDEX('피벗값_매장명(동일)'!T:T,U62)),"")</f>
        <v>3449284</v>
      </c>
      <c r="U62" s="119">
        <f>IFERROR(MATCH(LARGE('피벗값_매장명(동일)'!$Q$6:$Q$70,58),'피벗값_매장명(동일)'!$Q$6:$Q$70,0)+6-1,"")</f>
        <v>12</v>
      </c>
    </row>
    <row r="63" spans="2:21" ht="14.25" customHeight="1">
      <c r="B63" s="35" t="str">
        <f>IFERROR(IF(U63="","",INDEX('피벗값_매장명(동일)'!B:B,U63)),"")</f>
        <v>00505</v>
      </c>
      <c r="C63" s="40" t="str">
        <f>IFERROR(IF(U63="","",INDEX('피벗값_매장명(동일)'!C:C,U63)),"")</f>
        <v>갤러리아진주점</v>
      </c>
      <c r="D63" s="36">
        <f>IFERROR(IF(U63="","",INDEX('피벗값_매장명(동일)'!D:D,U63)),"")</f>
        <v>183800161</v>
      </c>
      <c r="E63" s="36">
        <f>IFERROR(IF(U63="","",INDEX('피벗값_매장명(동일)'!E:E,U63)),"")</f>
        <v>121701840</v>
      </c>
      <c r="F63" s="37">
        <f>IFERROR(IF(U63="","",INDEX('피벗값_매장명(동일)'!F:F,U63)),"")</f>
        <v>-0.33785781613107507</v>
      </c>
      <c r="G63" s="36">
        <f>IFERROR(IF(U63="","",INDEX('피벗값_매장명(동일)'!G:G,U63)),"")</f>
        <v>117332296</v>
      </c>
      <c r="H63" s="36">
        <f>IFERROR(IF(U63="","",INDEX('피벗값_매장명(동일)'!H:H,U63)),"")</f>
        <v>77701161</v>
      </c>
      <c r="I63" s="37">
        <f>IFERROR(IF(U63="","",INDEX('피벗값_매장명(동일)'!I:I,U63)),"")</f>
        <v>0.63845510470507261</v>
      </c>
      <c r="J63" s="36">
        <f>IFERROR(IF(U63="","",INDEX('피벗값_매장명(동일)'!J:J,U63)),"")</f>
        <v>53314787</v>
      </c>
      <c r="K63" s="36">
        <f>IFERROR(IF(U63="","",INDEX('피벗값_매장명(동일)'!K:K,U63)),"")</f>
        <v>34440546</v>
      </c>
      <c r="L63" s="38">
        <f>IFERROR(IF(U63="","",INDEX('피벗값_매장명(동일)'!L:L,U63)),"")</f>
        <v>3.2124356089951758</v>
      </c>
      <c r="M63" s="36">
        <f>IFERROR(IF(U63="","",INDEX('피벗값_매장명(동일)'!M:M,U63)),"")</f>
        <v>26769741</v>
      </c>
      <c r="N63" s="36">
        <f>IFERROR(IF(U63="","",INDEX('피벗값_매장명(동일)'!N:N,U63)),"")</f>
        <v>24746020</v>
      </c>
      <c r="O63" s="37">
        <f>IFERROR(IF(U63="","",INDEX('피벗값_매장명(동일)'!O:O,U63)),"")</f>
        <v>0.20333316242383845</v>
      </c>
      <c r="P63" s="36">
        <f>IFERROR(IF(U63="","",INDEX('피벗값_매장명(동일)'!P:P,U63)),"")</f>
        <v>53350937</v>
      </c>
      <c r="Q63" s="36">
        <f>IFERROR(IF(U63="","",INDEX('피벗값_매장명(동일)'!Q:Q,U63)),"")</f>
        <v>36196874</v>
      </c>
      <c r="R63" s="37">
        <f>IFERROR(IF(U63="","",INDEX('피벗값_매장명(동일)'!R:R,U63)),"")</f>
        <v>0.32716482676021991</v>
      </c>
      <c r="S63" s="37">
        <f>IFERROR(IF(U63="","",INDEX('피벗값_매장명(동일)'!S:S,U63)),"")</f>
        <v>7.4721867646490043E-3</v>
      </c>
      <c r="T63" s="39">
        <f>IFERROR(IF(U63="","",INDEX('피벗값_매장명(동일)'!T:T,U63)),"")</f>
        <v>-17154063</v>
      </c>
      <c r="U63" s="119">
        <f>IFERROR(MATCH(LARGE('피벗값_매장명(동일)'!$Q$6:$Q$70,59),'피벗값_매장명(동일)'!$Q$6:$Q$70,0)+6-1,"")</f>
        <v>52</v>
      </c>
    </row>
    <row r="64" spans="2:21" ht="14.25" customHeight="1">
      <c r="B64" s="35" t="str">
        <f>IFERROR(IF(U64="","",INDEX('피벗값_매장명(동일)'!B:B,U64)),"")</f>
        <v>00135</v>
      </c>
      <c r="C64" s="40" t="str">
        <f>IFERROR(IF(U64="","",INDEX('피벗값_매장명(동일)'!C:C,U64)),"")</f>
        <v>롯데수원점</v>
      </c>
      <c r="D64" s="36">
        <f>IFERROR(IF(U64="","",INDEX('피벗값_매장명(동일)'!D:D,U64)),"")</f>
        <v>148514440</v>
      </c>
      <c r="E64" s="36">
        <f>IFERROR(IF(U64="","",INDEX('피벗값_매장명(동일)'!E:E,U64)),"")</f>
        <v>126271840</v>
      </c>
      <c r="F64" s="37">
        <f>IFERROR(IF(U64="","",INDEX('피벗값_매장명(동일)'!F:F,U64)),"")</f>
        <v>-0.14976725495514107</v>
      </c>
      <c r="G64" s="36">
        <f>IFERROR(IF(U64="","",INDEX('피벗값_매장명(동일)'!G:G,U64)),"")</f>
        <v>95193670</v>
      </c>
      <c r="H64" s="36">
        <f>IFERROR(IF(U64="","",INDEX('피벗값_매장명(동일)'!H:H,U64)),"")</f>
        <v>80956443</v>
      </c>
      <c r="I64" s="37">
        <f>IFERROR(IF(U64="","",INDEX('피벗값_매장명(동일)'!I:I,U64)),"")</f>
        <v>0.64112824363690268</v>
      </c>
      <c r="J64" s="36">
        <f>IFERROR(IF(U64="","",INDEX('피벗값_매장명(동일)'!J:J,U64)),"")</f>
        <v>46119521</v>
      </c>
      <c r="K64" s="36">
        <f>IFERROR(IF(U64="","",INDEX('피벗값_매장명(동일)'!K:K,U64)),"")</f>
        <v>37486707</v>
      </c>
      <c r="L64" s="38">
        <f>IFERROR(IF(U64="","",INDEX('피벗값_매장명(동일)'!L:L,U64)),"")</f>
        <v>3.062221011255585</v>
      </c>
      <c r="M64" s="36">
        <f>IFERROR(IF(U64="","",INDEX('피벗값_매장명(동일)'!M:M,U64)),"")</f>
        <v>28682330</v>
      </c>
      <c r="N64" s="36">
        <f>IFERROR(IF(U64="","",INDEX('피벗값_매장명(동일)'!N:N,U64)),"")</f>
        <v>27873090</v>
      </c>
      <c r="O64" s="37">
        <f>IFERROR(IF(U64="","",INDEX('피벗값_매장명(동일)'!O:O,U64)),"")</f>
        <v>0.22073876487425859</v>
      </c>
      <c r="P64" s="36">
        <f>IFERROR(IF(U64="","",INDEX('피벗값_매장명(동일)'!P:P,U64)),"")</f>
        <v>40420179</v>
      </c>
      <c r="Q64" s="36">
        <f>IFERROR(IF(U64="","",INDEX('피벗값_매장명(동일)'!Q:Q,U64)),"")</f>
        <v>36110059</v>
      </c>
      <c r="R64" s="37">
        <f>IFERROR(IF(U64="","",INDEX('피벗값_매장명(동일)'!R:R,U64)),"")</f>
        <v>0.31456787910907136</v>
      </c>
      <c r="S64" s="37">
        <f>IFERROR(IF(U64="","",INDEX('피벗값_매장명(동일)'!S:S,U64)),"")</f>
        <v>7.4542653857483567E-3</v>
      </c>
      <c r="T64" s="39">
        <f>IFERROR(IF(U64="","",INDEX('피벗값_매장명(동일)'!T:T,U64)),"")</f>
        <v>-4310120</v>
      </c>
      <c r="U64" s="119">
        <f>IFERROR(MATCH(LARGE('피벗값_매장명(동일)'!$Q$6:$Q$70,60),'피벗값_매장명(동일)'!$Q$6:$Q$70,0)+6-1,"")</f>
        <v>23</v>
      </c>
    </row>
    <row r="65" spans="2:21" ht="14.25" customHeight="1">
      <c r="B65" s="35" t="str">
        <f>IFERROR(IF(U65="","",INDEX('피벗값_매장명(동일)'!B:B,U65)),"")</f>
        <v>00218</v>
      </c>
      <c r="C65" s="40" t="str">
        <f>IFERROR(IF(U65="","",INDEX('피벗값_매장명(동일)'!C:C,U65)),"")</f>
        <v>현대동구점</v>
      </c>
      <c r="D65" s="36">
        <f>IFERROR(IF(U65="","",INDEX('피벗값_매장명(동일)'!D:D,U65)),"")</f>
        <v>122305700</v>
      </c>
      <c r="E65" s="36">
        <f>IFERROR(IF(U65="","",INDEX('피벗값_매장명(동일)'!E:E,U65)),"")</f>
        <v>114650720</v>
      </c>
      <c r="F65" s="37">
        <f>IFERROR(IF(U65="","",INDEX('피벗값_매장명(동일)'!F:F,U65)),"")</f>
        <v>-6.2588906322436327E-2</v>
      </c>
      <c r="G65" s="36">
        <f>IFERROR(IF(U65="","",INDEX('피벗값_매장명(동일)'!G:G,U65)),"")</f>
        <v>84315649</v>
      </c>
      <c r="H65" s="36">
        <f>IFERROR(IF(U65="","",INDEX('피벗값_매장명(동일)'!H:H,U65)),"")</f>
        <v>71825540</v>
      </c>
      <c r="I65" s="37">
        <f>IFERROR(IF(U65="","",INDEX('피벗값_매장명(동일)'!I:I,U65)),"")</f>
        <v>0.62647264666109381</v>
      </c>
      <c r="J65" s="36">
        <f>IFERROR(IF(U65="","",INDEX('피벗값_매장명(동일)'!J:J,U65)),"")</f>
        <v>37793775</v>
      </c>
      <c r="K65" s="36">
        <f>IFERROR(IF(U65="","",INDEX('피벗값_매장명(동일)'!K:K,U65)),"")</f>
        <v>33934244</v>
      </c>
      <c r="L65" s="38">
        <f>IFERROR(IF(U65="","",INDEX('피벗값_매장명(동일)'!L:L,U65)),"")</f>
        <v>3.0714674908545851</v>
      </c>
      <c r="M65" s="36">
        <f>IFERROR(IF(U65="","",INDEX('피벗값_매장명(동일)'!M:M,U65)),"")</f>
        <v>29468310</v>
      </c>
      <c r="N65" s="36">
        <f>IFERROR(IF(U65="","",INDEX('피벗값_매장명(동일)'!N:N,U65)),"")</f>
        <v>29910360</v>
      </c>
      <c r="O65" s="37">
        <f>IFERROR(IF(U65="","",INDEX('피벗값_매장명(동일)'!O:O,U65)),"")</f>
        <v>0.26088244365146596</v>
      </c>
      <c r="P65" s="36">
        <f>IFERROR(IF(U65="","",INDEX('피벗값_매장명(동일)'!P:P,U65)),"")</f>
        <v>38856815</v>
      </c>
      <c r="Q65" s="36">
        <f>IFERROR(IF(U65="","",INDEX('피벗값_매장명(동일)'!Q:Q,U65)),"")</f>
        <v>31361701</v>
      </c>
      <c r="R65" s="37">
        <f>IFERROR(IF(U65="","",INDEX('피벗값_매장명(동일)'!R:R,U65)),"")</f>
        <v>0.30089537248435949</v>
      </c>
      <c r="S65" s="37">
        <f>IFERROR(IF(U65="","",INDEX('피벗값_매장명(동일)'!S:S,U65)),"")</f>
        <v>6.4740531773290547E-3</v>
      </c>
      <c r="T65" s="39">
        <f>IFERROR(IF(U65="","",INDEX('피벗값_매장명(동일)'!T:T,U65)),"")</f>
        <v>-7495114</v>
      </c>
      <c r="U65" s="119">
        <f>IFERROR(MATCH(LARGE('피벗값_매장명(동일)'!$Q$6:$Q$70,61),'피벗값_매장명(동일)'!$Q$6:$Q$70,0)+6-1,"")</f>
        <v>35</v>
      </c>
    </row>
    <row r="66" spans="2:21" ht="14.25" customHeight="1">
      <c r="B66" s="35" t="str">
        <f>IFERROR(IF(U66="","",INDEX('피벗값_매장명(동일)'!B:B,U66)),"")</f>
        <v>00102</v>
      </c>
      <c r="C66" s="40" t="str">
        <f>IFERROR(IF(U66="","",INDEX('피벗값_매장명(동일)'!C:C,U66)),"")</f>
        <v>롯데관악점</v>
      </c>
      <c r="D66" s="36">
        <f>IFERROR(IF(U66="","",INDEX('피벗값_매장명(동일)'!D:D,U66)),"")</f>
        <v>98863760</v>
      </c>
      <c r="E66" s="36">
        <f>IFERROR(IF(U66="","",INDEX('피벗값_매장명(동일)'!E:E,U66)),"")</f>
        <v>99962340</v>
      </c>
      <c r="F66" s="37">
        <f>IFERROR(IF(U66="","",INDEX('피벗값_매장명(동일)'!F:F,U66)),"")</f>
        <v>1.1112059666757566E-2</v>
      </c>
      <c r="G66" s="36">
        <f>IFERROR(IF(U66="","",INDEX('피벗값_매장명(동일)'!G:G,U66)),"")</f>
        <v>64332399</v>
      </c>
      <c r="H66" s="36">
        <f>IFERROR(IF(U66="","",INDEX('피벗값_매장명(동일)'!H:H,U66)),"")</f>
        <v>65028151</v>
      </c>
      <c r="I66" s="37">
        <f>IFERROR(IF(U66="","",INDEX('피벗값_매장명(동일)'!I:I,U66)),"")</f>
        <v>0.65052649827925202</v>
      </c>
      <c r="J66" s="36">
        <f>IFERROR(IF(U66="","",INDEX('피벗값_매장명(동일)'!J:J,U66)),"")</f>
        <v>31586409</v>
      </c>
      <c r="K66" s="36">
        <f>IFERROR(IF(U66="","",INDEX('피벗값_매장명(동일)'!K:K,U66)),"")</f>
        <v>30402138</v>
      </c>
      <c r="L66" s="38">
        <f>IFERROR(IF(U66="","",INDEX('피벗값_매장명(동일)'!L:L,U66)),"")</f>
        <v>2.9890942059882279</v>
      </c>
      <c r="M66" s="36">
        <f>IFERROR(IF(U66="","",INDEX('피벗값_매장명(동일)'!M:M,U66)),"")</f>
        <v>24760380</v>
      </c>
      <c r="N66" s="36">
        <f>IFERROR(IF(U66="","",INDEX('피벗값_매장명(동일)'!N:N,U66)),"")</f>
        <v>25129410</v>
      </c>
      <c r="O66" s="37">
        <f>IFERROR(IF(U66="","",INDEX('피벗값_매장명(동일)'!O:O,U66)),"")</f>
        <v>0.25138877301191631</v>
      </c>
      <c r="P66" s="36">
        <f>IFERROR(IF(U66="","",INDEX('피벗값_매장명(동일)'!P:P,U66)),"")</f>
        <v>26897590</v>
      </c>
      <c r="Q66" s="36">
        <f>IFERROR(IF(U66="","",INDEX('피벗값_매장명(동일)'!Q:Q,U66)),"")</f>
        <v>28714363</v>
      </c>
      <c r="R66" s="37">
        <f>IFERROR(IF(U66="","",INDEX('피벗값_매장명(동일)'!R:R,U66)),"")</f>
        <v>0.31597698993440937</v>
      </c>
      <c r="S66" s="37">
        <f>IFERROR(IF(U66="","",INDEX('피벗값_매장명(동일)'!S:S,U66)),"")</f>
        <v>5.9275583621924664E-3</v>
      </c>
      <c r="T66" s="39">
        <f>IFERROR(IF(U66="","",INDEX('피벗값_매장명(동일)'!T:T,U66)),"")</f>
        <v>1816773</v>
      </c>
      <c r="U66" s="119">
        <f>IFERROR(MATCH(LARGE('피벗값_매장명(동일)'!$Q$6:$Q$70,62),'피벗값_매장명(동일)'!$Q$6:$Q$70,0)+6-1,"")</f>
        <v>7</v>
      </c>
    </row>
    <row r="67" spans="2:21" ht="14.25" customHeight="1">
      <c r="B67" s="35" t="str">
        <f>IFERROR(IF(U67="","",INDEX('피벗값_매장명(동일)'!B:B,U67)),"")</f>
        <v>00120</v>
      </c>
      <c r="C67" s="40" t="str">
        <f>IFERROR(IF(U67="","",INDEX('피벗값_매장명(동일)'!C:C,U67)),"")</f>
        <v>롯데미아점</v>
      </c>
      <c r="D67" s="36">
        <f>IFERROR(IF(U67="","",INDEX('피벗값_매장명(동일)'!D:D,U67)),"")</f>
        <v>98651320</v>
      </c>
      <c r="E67" s="36">
        <f>IFERROR(IF(U67="","",INDEX('피벗값_매장명(동일)'!E:E,U67)),"")</f>
        <v>77884180</v>
      </c>
      <c r="F67" s="37">
        <f>IFERROR(IF(U67="","",INDEX('피벗값_매장명(동일)'!F:F,U67)),"")</f>
        <v>-0.21051051318928118</v>
      </c>
      <c r="G67" s="36">
        <f>IFERROR(IF(U67="","",INDEX('피벗값_매장명(동일)'!G:G,U67)),"")</f>
        <v>64881409</v>
      </c>
      <c r="H67" s="36">
        <f>IFERROR(IF(U67="","",INDEX('피벗값_매장명(동일)'!H:H,U67)),"")</f>
        <v>50674357</v>
      </c>
      <c r="I67" s="37">
        <f>IFERROR(IF(U67="","",INDEX('피벗값_매장명(동일)'!I:I,U67)),"")</f>
        <v>0.6506373566493221</v>
      </c>
      <c r="J67" s="36">
        <f>IFERROR(IF(U67="","",INDEX('피벗값_매장명(동일)'!J:J,U67)),"")</f>
        <v>34622269</v>
      </c>
      <c r="K67" s="36">
        <f>IFERROR(IF(U67="","",INDEX('피벗값_매장명(동일)'!K:K,U67)),"")</f>
        <v>24510267</v>
      </c>
      <c r="L67" s="38">
        <f>IFERROR(IF(U67="","",INDEX('피벗값_매장명(동일)'!L:L,U67)),"")</f>
        <v>2.8887404612932204</v>
      </c>
      <c r="M67" s="36">
        <f>IFERROR(IF(U67="","",INDEX('피벗값_매장명(동일)'!M:M,U67)),"")</f>
        <v>23699270</v>
      </c>
      <c r="N67" s="36">
        <f>IFERROR(IF(U67="","",INDEX('피벗값_매장명(동일)'!N:N,U67)),"")</f>
        <v>19769880</v>
      </c>
      <c r="O67" s="37">
        <f>IFERROR(IF(U67="","",INDEX('피벗값_매장명(동일)'!O:O,U67)),"")</f>
        <v>0.25383691527599056</v>
      </c>
      <c r="P67" s="36">
        <f>IFERROR(IF(U67="","",INDEX('피벗값_매장명(동일)'!P:P,U67)),"")</f>
        <v>24360830</v>
      </c>
      <c r="Q67" s="36">
        <f>IFERROR(IF(U67="","",INDEX('피벗값_매장명(동일)'!Q:Q,U67)),"")</f>
        <v>21557331</v>
      </c>
      <c r="R67" s="37">
        <f>IFERROR(IF(U67="","",INDEX('피벗값_매장명(동일)'!R:R,U67)),"")</f>
        <v>0.30446573488993528</v>
      </c>
      <c r="S67" s="37">
        <f>IFERROR(IF(U67="","",INDEX('피벗값_매장명(동일)'!S:S,U67)),"")</f>
        <v>4.4501191837548644E-3</v>
      </c>
      <c r="T67" s="39">
        <f>IFERROR(IF(U67="","",INDEX('피벗값_매장명(동일)'!T:T,U67)),"")</f>
        <v>-2803499</v>
      </c>
      <c r="U67" s="119">
        <f>IFERROR(MATCH(LARGE('피벗값_매장명(동일)'!$Q$6:$Q$70,63),'피벗값_매장명(동일)'!$Q$6:$Q$70,0)+6-1,"")</f>
        <v>15</v>
      </c>
    </row>
    <row r="68" spans="2:21" ht="14.25" hidden="1" customHeight="1">
      <c r="B68" s="41" t="str">
        <f>IFERROR(IF(U68="","",INDEX('피벗값_매장명(동일)'!B:B,U68)),"")</f>
        <v/>
      </c>
      <c r="C68" s="120" t="str">
        <f>IFERROR(IF(U68="","",INDEX('피벗값_매장명(동일)'!C:C,U68)),"")</f>
        <v/>
      </c>
      <c r="D68" s="42">
        <f>IFERROR(IF(U68="","",INDEX('피벗값_매장명(동일)'!D:D,U68)),"")</f>
        <v>0</v>
      </c>
      <c r="E68" s="42">
        <f>IFERROR(IF(U68="","",INDEX('피벗값_매장명(동일)'!E:E,U68)),"")</f>
        <v>0</v>
      </c>
      <c r="F68" s="43" t="str">
        <f>IFERROR(IF(U68="","",INDEX('피벗값_매장명(동일)'!F:F,U68)),"")</f>
        <v/>
      </c>
      <c r="G68" s="42">
        <f>IFERROR(IF(U68="","",INDEX('피벗값_매장명(동일)'!G:G,U68)),"")</f>
        <v>0</v>
      </c>
      <c r="H68" s="42">
        <f>IFERROR(IF(U68="","",INDEX('피벗값_매장명(동일)'!H:H,U68)),"")</f>
        <v>0</v>
      </c>
      <c r="I68" s="43" t="str">
        <f>IFERROR(IF(U68="","",INDEX('피벗값_매장명(동일)'!I:I,U68)),"")</f>
        <v/>
      </c>
      <c r="J68" s="42">
        <f>IFERROR(IF(U68="","",INDEX('피벗값_매장명(동일)'!J:J,U68)),"")</f>
        <v>0</v>
      </c>
      <c r="K68" s="42">
        <f>IFERROR(IF(U68="","",INDEX('피벗값_매장명(동일)'!K:K,U68)),"")</f>
        <v>0</v>
      </c>
      <c r="L68" s="44" t="str">
        <f>IFERROR(IF(U68="","",INDEX('피벗값_매장명(동일)'!L:L,U68)),"")</f>
        <v/>
      </c>
      <c r="M68" s="42">
        <f>IFERROR(IF(U68="","",INDEX('피벗값_매장명(동일)'!M:M,U68)),"")</f>
        <v>0</v>
      </c>
      <c r="N68" s="42">
        <f>IFERROR(IF(U68="","",INDEX('피벗값_매장명(동일)'!N:N,U68)),"")</f>
        <v>0</v>
      </c>
      <c r="O68" s="43" t="str">
        <f>IFERROR(IF(U68="","",INDEX('피벗값_매장명(동일)'!O:O,U68)),"")</f>
        <v/>
      </c>
      <c r="P68" s="42">
        <f>IFERROR(IF(U68="","",INDEX('피벗값_매장명(동일)'!P:P,U68)),"")</f>
        <v>0</v>
      </c>
      <c r="Q68" s="42">
        <f>IFERROR(IF(U68="","",INDEX('피벗값_매장명(동일)'!Q:Q,U68)),"")</f>
        <v>0</v>
      </c>
      <c r="R68" s="43" t="str">
        <f>IFERROR(IF(U68="","",INDEX('피벗값_매장명(동일)'!R:R,U68)),"")</f>
        <v/>
      </c>
      <c r="S68" s="43" t="str">
        <f>IFERROR(IF(U68="","",INDEX('피벗값_매장명(동일)'!S:S,U68)),"")</f>
        <v/>
      </c>
      <c r="T68" s="45" t="str">
        <f>IFERROR(IF(U68="","",INDEX('피벗값_매장명(동일)'!T:T,U68)),"")</f>
        <v/>
      </c>
      <c r="U68" s="119">
        <f>IFERROR(MATCH(LARGE('피벗값_매장명(동일)'!$Q$6:$Q$70,64),'피벗값_매장명(동일)'!$Q$6:$Q$70,0)+6-1,"")</f>
        <v>68</v>
      </c>
    </row>
    <row r="69" spans="2:21" ht="14.25" customHeight="1">
      <c r="B69" s="121" t="s">
        <v>22</v>
      </c>
      <c r="C69" s="46" t="str">
        <f>IFERROR(IF(U69="","",INDEX('피벗값_매장명(동일)'!C:C,U69)),"")</f>
        <v/>
      </c>
      <c r="D69" s="47">
        <f>'피벗값_매장명(동일)'!D70</f>
        <v>14422510974</v>
      </c>
      <c r="E69" s="47">
        <f>'피벗값_매장명(동일)'!E70</f>
        <v>15777050580</v>
      </c>
      <c r="F69" s="48">
        <f>'피벗값_매장명(동일)'!F70</f>
        <v>9.3918431294098451E-2</v>
      </c>
      <c r="G69" s="47">
        <f>'피벗값_매장명(동일)'!G70</f>
        <v>9595031940</v>
      </c>
      <c r="H69" s="47">
        <f>'피벗값_매장명(동일)'!H70</f>
        <v>10388921006</v>
      </c>
      <c r="I69" s="48">
        <f>'피벗값_매장명(동일)'!I70</f>
        <v>0.65848308930248733</v>
      </c>
      <c r="J69" s="47">
        <f>'피벗값_매장명(동일)'!J70</f>
        <v>4474694123</v>
      </c>
      <c r="K69" s="47">
        <f>'피벗값_매장명(동일)'!K70</f>
        <v>4600259340</v>
      </c>
      <c r="L69" s="49">
        <f>'피벗값_매장명(동일)'!L70</f>
        <v>3.1178184085911673</v>
      </c>
      <c r="M69" s="47">
        <f>'피벗값_매장명(동일)'!M70</f>
        <v>2219504148</v>
      </c>
      <c r="N69" s="47">
        <f>'피벗값_매장명(동일)'!N70</f>
        <v>2385842435</v>
      </c>
      <c r="O69" s="48">
        <f>'피벗값_매장명(동일)'!O70</f>
        <v>0.15122233543603181</v>
      </c>
      <c r="P69" s="47">
        <f>'피벗값_매장명(동일)'!P70</f>
        <v>4248062190</v>
      </c>
      <c r="Q69" s="47">
        <f>'피벗값_매장명(동일)'!Q70</f>
        <v>4844214303</v>
      </c>
      <c r="R69" s="48">
        <f>'피벗값_매장명(동일)'!R70</f>
        <v>0.33774600051386794</v>
      </c>
      <c r="S69" s="48">
        <f>'피벗값_매장명(동일)'!S70</f>
        <v>1.0000000000000004</v>
      </c>
      <c r="T69" s="50">
        <f>'피벗값_매장명(동일)'!T70</f>
        <v>596152113</v>
      </c>
      <c r="U69" s="119">
        <f>IFERROR(MATCH(LARGE('피벗값_매장명(동일)'!$Q$6:$Q$70,65),'피벗값_매장명(동일)'!$Q$6:$Q$70,0)+6-1,"")</f>
        <v>68</v>
      </c>
    </row>
    <row r="70" spans="2:21" s="11" customFormat="1" ht="14.25" customHeight="1"/>
    <row r="71" spans="2:21" s="11" customFormat="1" ht="14.25" customHeight="1"/>
    <row r="72" spans="2:21" s="11" customFormat="1" ht="14.25" customHeight="1"/>
    <row r="73" spans="2:21" s="11" customFormat="1" ht="14.25" customHeight="1"/>
    <row r="74" spans="2:21" s="11" customFormat="1" ht="14.25" customHeight="1"/>
    <row r="75" spans="2:21" s="11" customFormat="1" ht="14.25" customHeight="1"/>
    <row r="76" spans="2:21" s="11" customFormat="1" ht="14.25" customHeight="1"/>
    <row r="77" spans="2:21" s="11" customFormat="1" ht="14.25" customHeight="1"/>
    <row r="78" spans="2:21" s="11" customFormat="1" ht="14.25" customHeight="1"/>
    <row r="79" spans="2:21" s="11" customFormat="1" ht="14.25" customHeight="1"/>
    <row r="80" spans="2:21" s="11" customFormat="1" ht="14.25" customHeight="1"/>
    <row r="81" s="11" customFormat="1" ht="14.25" customHeight="1"/>
    <row r="82" s="11" customFormat="1" ht="14.25" customHeight="1"/>
    <row r="83" s="11" customFormat="1" ht="14.25" customHeight="1"/>
    <row r="84" s="11" customFormat="1" ht="14.25" customHeight="1"/>
    <row r="85" s="11" customFormat="1" ht="14.25" customHeight="1"/>
    <row r="86" s="11" customFormat="1" ht="14.25" customHeight="1"/>
    <row r="87" s="11" customFormat="1" ht="14.25" customHeight="1"/>
    <row r="88" s="11" customFormat="1" ht="14.25" customHeight="1"/>
    <row r="89" s="11" customFormat="1" ht="14.25" customHeight="1"/>
    <row r="90" s="11" customFormat="1" ht="14.25" customHeight="1"/>
    <row r="91" s="11" customFormat="1" ht="14.25" customHeight="1"/>
    <row r="92" s="11" customFormat="1" ht="14.25" customHeight="1"/>
    <row r="93" s="11" customFormat="1" ht="14.25" customHeight="1"/>
    <row r="94" s="11" customFormat="1" ht="14.25" customHeight="1"/>
    <row r="95" s="11" customFormat="1" ht="14.25" customHeight="1"/>
    <row r="96" s="11" customFormat="1" ht="14.25" customHeight="1"/>
    <row r="97" s="11" customFormat="1" ht="14.25" customHeight="1"/>
    <row r="98" s="11" customFormat="1" ht="14.25" customHeight="1"/>
    <row r="99" s="11" customFormat="1" ht="14.25" customHeight="1"/>
    <row r="100" s="11" customFormat="1" ht="14.25" customHeight="1"/>
    <row r="101" s="11" customFormat="1" ht="14.25" customHeight="1"/>
    <row r="102" s="11" customFormat="1" ht="14.25" customHeight="1"/>
    <row r="103" s="11" customFormat="1" ht="14.25" customHeight="1"/>
    <row r="104" s="11" customFormat="1" ht="14.25" customHeight="1"/>
    <row r="105" s="11" customFormat="1" ht="14.25" customHeight="1"/>
    <row r="106" s="11" customFormat="1" ht="14.25" customHeight="1"/>
    <row r="107" s="11" customFormat="1" ht="14.25" customHeight="1"/>
    <row r="108" s="11" customFormat="1" ht="14.25" customHeight="1"/>
    <row r="109" s="11" customFormat="1" ht="14.25" customHeight="1"/>
    <row r="110" s="11" customFormat="1" ht="14.25" customHeight="1"/>
    <row r="111" s="11" customFormat="1" ht="14.25" customHeight="1"/>
  </sheetData>
  <autoFilter ref="B5:T68" xr:uid="{00000000-0009-0000-0000-000002000000}">
    <sortState xmlns:xlrd2="http://schemas.microsoft.com/office/spreadsheetml/2017/richdata2" ref="B6:T68">
      <sortCondition descending="1" ref="E6:E68"/>
    </sortState>
  </autoFilter>
  <mergeCells count="6">
    <mergeCell ref="B2:T2"/>
    <mergeCell ref="D4:F4"/>
    <mergeCell ref="G4:I4"/>
    <mergeCell ref="J4:L4"/>
    <mergeCell ref="M4:O4"/>
    <mergeCell ref="P4:T4"/>
  </mergeCells>
  <phoneticPr fontId="25" type="noConversion"/>
  <printOptions horizontalCentered="1"/>
  <pageMargins left="0.15763888888888899" right="7.8472222222222193E-2" top="1.53541666666667" bottom="0.118055555555556" header="0.511811023622047" footer="0.511811023622047"/>
  <pageSetup paperSize="8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2AA84"/>
  </sheetPr>
  <dimension ref="A1:X185"/>
  <sheetViews>
    <sheetView tabSelected="1" zoomScaleNormal="100" workbookViewId="0">
      <selection activeCell="H35" sqref="H35"/>
    </sheetView>
  </sheetViews>
  <sheetFormatPr defaultColWidth="8.8984375" defaultRowHeight="14.4"/>
  <cols>
    <col min="1" max="1" width="8.8984375" style="11"/>
    <col min="2" max="2" width="6.59765625" style="12" customWidth="1"/>
    <col min="3" max="3" width="12.59765625" style="12" customWidth="1"/>
    <col min="4" max="8" width="8.796875" style="12" customWidth="1"/>
    <col min="9" max="9" width="8.796875" style="12" hidden="1" customWidth="1"/>
    <col min="10" max="10" width="5.3984375" style="11" customWidth="1"/>
    <col min="11" max="24" width="8.8984375" style="11"/>
    <col min="25" max="16384" width="8.8984375" style="12"/>
  </cols>
  <sheetData>
    <row r="1" spans="1:20" s="11" customFormat="1" ht="15" customHeight="1"/>
    <row r="2" spans="1:20" s="11" customFormat="1" ht="15" customHeight="1"/>
    <row r="3" spans="1:20" s="11" customFormat="1" ht="22.5" customHeight="1">
      <c r="B3" s="124" t="s">
        <v>40</v>
      </c>
      <c r="C3" s="124"/>
      <c r="D3" s="124"/>
      <c r="E3" s="124"/>
      <c r="F3" s="124"/>
      <c r="G3" s="124"/>
      <c r="H3" s="124"/>
      <c r="I3" s="51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</row>
    <row r="4" spans="1:20" s="11" customFormat="1" ht="15" customHeight="1">
      <c r="H4" s="97" t="s">
        <v>30</v>
      </c>
      <c r="I4" s="97"/>
      <c r="K4" s="98" t="s">
        <v>41</v>
      </c>
    </row>
    <row r="5" spans="1:20" ht="15" customHeight="1">
      <c r="B5" s="53" t="str">
        <f>피벗값_구분!B4</f>
        <v>(1~5월)</v>
      </c>
      <c r="C5" s="131" t="str">
        <f>CONCATENATE("2025년",B5,"총 합계")</f>
        <v>2025년(1~5월)총 합계</v>
      </c>
      <c r="D5" s="131"/>
      <c r="E5" s="131"/>
      <c r="F5" s="131"/>
      <c r="G5" s="131"/>
      <c r="H5" s="131"/>
      <c r="I5" s="131"/>
    </row>
    <row r="6" spans="1:20" ht="15" customHeight="1">
      <c r="A6" s="15" t="s">
        <v>42</v>
      </c>
      <c r="B6" s="4" t="s">
        <v>20</v>
      </c>
      <c r="C6" s="4" t="s">
        <v>32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16"/>
    </row>
    <row r="7" spans="1:20" ht="15" customHeight="1">
      <c r="A7" s="11" t="s">
        <v>209</v>
      </c>
      <c r="B7" s="18" t="str">
        <f>IFERROR(INDEX(구분!$B:$B,MATCH(1,구분!$F:$F,0)),"")</f>
        <v>00140</v>
      </c>
      <c r="C7" s="99" t="str">
        <f>IFERROR(VLOOKUP(B7,구분!$B:$C,2,0),"")</f>
        <v>롯데분당점</v>
      </c>
      <c r="D7" s="5">
        <f>IFERROR(IF(B7="",0,SUMIFS(표1[매출금액],표1[매장코드],B7,표1[년],피벗값_구분!$X$2,표1[월],"&gt;="&amp;피벗값_구분!$X$4,표1[월],"&lt;="&amp;피벗값_구분!$X$5)),0)</f>
        <v>186436250</v>
      </c>
      <c r="E7" s="5">
        <f>IFERROR(IF(B7="",0,SUMIFS(표1[수금액(V+)],표1[매장코드],B7,표1[년],피벗값_구분!$X$2,표1[월],"&gt;="&amp;피벗값_구분!$X$4,표1[월],"&lt;="&amp;피벗값_구분!$X$5)),0)</f>
        <v>119440316</v>
      </c>
      <c r="F7" s="5">
        <f>IFERROR(IF(B7="",0,SUMIFS(표1[생산원가(V-)],표1[매장코드],B7,표1[년],피벗값_구분!$X$2,표1[월],"&gt;="&amp;피벗값_구분!$X$4,표1[월],"&lt;="&amp;피벗값_구분!$X$5)),0)</f>
        <v>59588840</v>
      </c>
      <c r="G7" s="5">
        <f>IFERROR(IF(B7="",0,SUMIFS(표1[총경비],표1[매장코드],B7,표1[년],피벗값_구분!$X$2,표1[월],"&gt;="&amp;피벗값_구분!$X$4,표1[월],"&lt;="&amp;피벗값_구분!$X$5)),0)</f>
        <v>31955960</v>
      </c>
      <c r="H7" s="5">
        <f>IFERROR(IF(B7="",0,SUMIFS(표1[영업이익(V-)],표1[매장코드],B7,표1[년],피벗값_구분!$X$2,표1[월],"&gt;="&amp;피벗값_구분!$X$4,표1[월],"&lt;="&amp;피벗값_구분!$X$5)),0)</f>
        <v>48993266</v>
      </c>
      <c r="I7" s="5">
        <f t="shared" ref="I7:I26" si="0">IF(B7="","",H7-G7)</f>
        <v>17037306</v>
      </c>
    </row>
    <row r="8" spans="1:20" ht="15" customHeight="1">
      <c r="A8" s="11" t="s">
        <v>210</v>
      </c>
      <c r="B8" s="18" t="str">
        <f>IFERROR(INDEX(구분!$B:$B,MATCH(2,구분!$F:$F,0)),"")</f>
        <v>00209</v>
      </c>
      <c r="C8" s="99" t="str">
        <f>IFERROR(VLOOKUP(B8,구분!$B:$C,2,0),"")</f>
        <v>현대목동점</v>
      </c>
      <c r="D8" s="5">
        <f>IFERROR(IF(B8="",0,SUMIFS(표1[매출금액],표1[매장코드],B8,표1[년],피벗값_구분!$X$2,표1[월],"&gt;="&amp;피벗값_구분!$X$4,표1[월],"&lt;="&amp;피벗값_구분!$X$5)),0)</f>
        <v>184772340</v>
      </c>
      <c r="E8" s="5">
        <f>IFERROR(IF(B8="",0,SUMIFS(표1[수금액(V+)],표1[매장코드],B8,표1[년],피벗값_구분!$X$2,표1[월],"&gt;="&amp;피벗값_구분!$X$4,표1[월],"&lt;="&amp;피벗값_구분!$X$5)),0)</f>
        <v>115194796</v>
      </c>
      <c r="F8" s="5">
        <f>IFERROR(IF(B8="",0,SUMIFS(표1[생산원가(V-)],표1[매장코드],B8,표1[년],피벗값_구분!$X$2,표1[월],"&gt;="&amp;피벗값_구분!$X$4,표1[월],"&lt;="&amp;피벗값_구분!$X$5)),0)</f>
        <v>55731594</v>
      </c>
      <c r="G8" s="5">
        <f>IFERROR(IF(B8="",0,SUMIFS(표1[총경비],표1[매장코드],B8,표1[년],피벗값_구분!$X$2,표1[월],"&gt;="&amp;피벗값_구분!$X$4,표1[월],"&lt;="&amp;피벗값_구분!$X$5)),0)</f>
        <v>30937280</v>
      </c>
      <c r="H8" s="5">
        <f>IFERROR(IF(B8="",0,SUMIFS(표1[영업이익(V-)],표1[매장코드],B8,표1[년],피벗값_구분!$X$2,표1[월],"&gt;="&amp;피벗값_구분!$X$4,표1[월],"&lt;="&amp;피벗값_구분!$X$5)),0)</f>
        <v>48990949</v>
      </c>
      <c r="I8" s="54">
        <f t="shared" si="0"/>
        <v>18053669</v>
      </c>
      <c r="J8" s="36"/>
    </row>
    <row r="9" spans="1:20" s="11" customFormat="1" ht="15" customHeight="1">
      <c r="A9" s="11" t="s">
        <v>211</v>
      </c>
      <c r="B9" s="18" t="str">
        <f>IFERROR(INDEX(구분!$B:$B,MATCH(3,구분!$F:$F,0)),"")</f>
        <v>00216</v>
      </c>
      <c r="C9" s="99" t="str">
        <f>IFERROR(VLOOKUP(B9,구분!$B:$C,2,0),"")</f>
        <v>현대디큐브시티점</v>
      </c>
      <c r="D9" s="5">
        <f>IFERROR(IF(B9="",0,SUMIFS(표1[매출금액],표1[매장코드],B9,표1[년],피벗값_구분!$X$2,표1[월],"&gt;="&amp;피벗값_구분!$X$4,표1[월],"&lt;="&amp;피벗값_구분!$X$5)),0)</f>
        <v>46472830</v>
      </c>
      <c r="E9" s="5">
        <f>IFERROR(IF(B9="",0,SUMIFS(표1[수금액(V+)],표1[매장코드],B9,표1[년],피벗값_구분!$X$2,표1[월],"&gt;="&amp;피벗값_구분!$X$4,표1[월],"&lt;="&amp;피벗값_구분!$X$5)),0)</f>
        <v>29687370</v>
      </c>
      <c r="F9" s="5">
        <f>IFERROR(IF(B9="",0,SUMIFS(표1[생산원가(V-)],표1[매장코드],B9,표1[년],피벗값_구분!$X$2,표1[월],"&gt;="&amp;피벗값_구분!$X$4,표1[월],"&lt;="&amp;피벗값_구분!$X$5)),0)</f>
        <v>14692667</v>
      </c>
      <c r="G9" s="5">
        <f>IFERROR(IF(B9="",0,SUMIFS(표1[총경비],표1[매장코드],B9,표1[년],피벗값_구분!$X$2,표1[월],"&gt;="&amp;피벗값_구분!$X$4,표1[월],"&lt;="&amp;피벗값_구분!$X$5)),0)</f>
        <v>15750550</v>
      </c>
      <c r="H9" s="5">
        <f>IFERROR(IF(B9="",0,SUMIFS(표1[영업이익(V-)],표1[매장코드],B9,표1[년],피벗값_구분!$X$2,표1[월],"&gt;="&amp;피벗값_구분!$X$4,표1[월],"&lt;="&amp;피벗값_구분!$X$5)),0)</f>
        <v>12295850</v>
      </c>
      <c r="I9" s="11">
        <f t="shared" si="0"/>
        <v>-3454700</v>
      </c>
    </row>
    <row r="10" spans="1:20" s="11" customFormat="1" ht="15" hidden="1" customHeight="1">
      <c r="B10" s="18" t="str">
        <f>IFERROR(INDEX(구분!$B:$B,MATCH(4,구분!$F:$F,0)),"")</f>
        <v/>
      </c>
      <c r="C10" s="99" t="str">
        <f>IFERROR(VLOOKUP(B10,구분!$B:$C,2,0),"")</f>
        <v/>
      </c>
      <c r="D10" s="5">
        <f>IFERROR(IF(B10="",0,SUMIFS(표1[매출금액],표1[매장코드],B10,표1[년],피벗값_구분!$X$2,표1[월],"&gt;="&amp;피벗값_구분!$X$4,표1[월],"&lt;="&amp;피벗값_구분!$X$5)),0)</f>
        <v>0</v>
      </c>
      <c r="E10" s="5">
        <f>IFERROR(IF(B10="",0,SUMIFS(표1[수금액(V+)],표1[매장코드],B10,표1[년],피벗값_구분!$X$2,표1[월],"&gt;="&amp;피벗값_구분!$X$4,표1[월],"&lt;="&amp;피벗값_구분!$X$5)),0)</f>
        <v>0</v>
      </c>
      <c r="F10" s="5">
        <f>IFERROR(IF(B10="",0,SUMIFS(표1[생산원가(V-)],표1[매장코드],B10,표1[년],피벗값_구분!$X$2,표1[월],"&gt;="&amp;피벗값_구분!$X$4,표1[월],"&lt;="&amp;피벗값_구분!$X$5)),0)</f>
        <v>0</v>
      </c>
      <c r="G10" s="5">
        <f>IFERROR(IF(B10="",0,SUMIFS(표1[총경비],표1[매장코드],B10,표1[년],피벗값_구분!$X$2,표1[월],"&gt;="&amp;피벗값_구분!$X$4,표1[월],"&lt;="&amp;피벗값_구분!$X$5)),0)</f>
        <v>0</v>
      </c>
      <c r="H10" s="5">
        <f>IFERROR(IF(B10="",0,SUMIFS(표1[영업이익(V-)],표1[매장코드],B10,표1[년],피벗값_구분!$X$2,표1[월],"&gt;="&amp;피벗값_구분!$X$4,표1[월],"&lt;="&amp;피벗값_구분!$X$5)),0)</f>
        <v>0</v>
      </c>
      <c r="I10" s="11" t="str">
        <f t="shared" si="0"/>
        <v/>
      </c>
    </row>
    <row r="11" spans="1:20" s="11" customFormat="1" ht="15" hidden="1" customHeight="1">
      <c r="B11" s="18" t="str">
        <f>IFERROR(INDEX(구분!$B:$B,MATCH(5,구분!$F:$F,0)),"")</f>
        <v/>
      </c>
      <c r="C11" s="99" t="str">
        <f>IFERROR(VLOOKUP(B11,구분!$B:$C,2,0),"")</f>
        <v/>
      </c>
      <c r="D11" s="5">
        <f>IFERROR(IF(B11="",0,SUMIFS(표1[매출금액],표1[매장코드],B11,표1[년],피벗값_구분!$X$2,표1[월],"&gt;="&amp;피벗값_구분!$X$4,표1[월],"&lt;="&amp;피벗값_구분!$X$5)),0)</f>
        <v>0</v>
      </c>
      <c r="E11" s="5">
        <f>IFERROR(IF(B11="",0,SUMIFS(표1[수금액(V+)],표1[매장코드],B11,표1[년],피벗값_구분!$X$2,표1[월],"&gt;="&amp;피벗값_구분!$X$4,표1[월],"&lt;="&amp;피벗값_구분!$X$5)),0)</f>
        <v>0</v>
      </c>
      <c r="F11" s="5">
        <f>IFERROR(IF(B11="",0,SUMIFS(표1[생산원가(V-)],표1[매장코드],B11,표1[년],피벗값_구분!$X$2,표1[월],"&gt;="&amp;피벗값_구분!$X$4,표1[월],"&lt;="&amp;피벗값_구분!$X$5)),0)</f>
        <v>0</v>
      </c>
      <c r="G11" s="5">
        <f>IFERROR(IF(B11="",0,SUMIFS(표1[총경비],표1[매장코드],B11,표1[년],피벗값_구분!$X$2,표1[월],"&gt;="&amp;피벗값_구분!$X$4,표1[월],"&lt;="&amp;피벗값_구분!$X$5)),0)</f>
        <v>0</v>
      </c>
      <c r="H11" s="5">
        <f>IFERROR(IF(B11="",0,SUMIFS(표1[영업이익(V-)],표1[매장코드],B11,표1[년],피벗값_구분!$X$2,표1[월],"&gt;="&amp;피벗값_구분!$X$4,표1[월],"&lt;="&amp;피벗값_구분!$X$5)),0)</f>
        <v>0</v>
      </c>
      <c r="I11" s="11" t="str">
        <f t="shared" si="0"/>
        <v/>
      </c>
    </row>
    <row r="12" spans="1:20" s="11" customFormat="1" ht="15" hidden="1" customHeight="1">
      <c r="B12" s="18" t="str">
        <f>IFERROR(INDEX(구분!$B:$B,MATCH(6,구분!$F:$F,0)),"")</f>
        <v/>
      </c>
      <c r="C12" s="99" t="str">
        <f>IFERROR(VLOOKUP(B12,구분!$B:$C,2,0),"")</f>
        <v/>
      </c>
      <c r="D12" s="5">
        <f>IFERROR(IF(B12="",0,SUMIFS(표1[매출금액],표1[매장코드],B12,표1[년],피벗값_구분!$X$2,표1[월],"&gt;="&amp;피벗값_구분!$X$4,표1[월],"&lt;="&amp;피벗값_구분!$X$5)),0)</f>
        <v>0</v>
      </c>
      <c r="E12" s="5">
        <f>IFERROR(IF(B12="",0,SUMIFS(표1[수금액(V+)],표1[매장코드],B12,표1[년],피벗값_구분!$X$2,표1[월],"&gt;="&amp;피벗값_구분!$X$4,표1[월],"&lt;="&amp;피벗값_구분!$X$5)),0)</f>
        <v>0</v>
      </c>
      <c r="F12" s="5">
        <f>IFERROR(IF(B12="",0,SUMIFS(표1[생산원가(V-)],표1[매장코드],B12,표1[년],피벗값_구분!$X$2,표1[월],"&gt;="&amp;피벗값_구분!$X$4,표1[월],"&lt;="&amp;피벗값_구분!$X$5)),0)</f>
        <v>0</v>
      </c>
      <c r="G12" s="5">
        <f>IFERROR(IF(B12="",0,SUMIFS(표1[총경비],표1[매장코드],B12,표1[년],피벗값_구분!$X$2,표1[월],"&gt;="&amp;피벗값_구분!$X$4,표1[월],"&lt;="&amp;피벗값_구분!$X$5)),0)</f>
        <v>0</v>
      </c>
      <c r="H12" s="5">
        <f>IFERROR(IF(B12="",0,SUMIFS(표1[영업이익(V-)],표1[매장코드],B12,표1[년],피벗값_구분!$X$2,표1[월],"&gt;="&amp;피벗값_구분!$X$4,표1[월],"&lt;="&amp;피벗값_구분!$X$5)),0)</f>
        <v>0</v>
      </c>
      <c r="I12" s="11" t="str">
        <f t="shared" si="0"/>
        <v/>
      </c>
    </row>
    <row r="13" spans="1:20" s="11" customFormat="1" ht="15" hidden="1" customHeight="1">
      <c r="B13" s="11" t="str">
        <f>IFERROR(INDEX(구분!$B:$B,MATCH(7,구분!$F:$F,0)),"")</f>
        <v/>
      </c>
      <c r="C13" s="11" t="str">
        <f>IFERROR(VLOOKUP(B13,구분!$B:$C,2,0),"")</f>
        <v/>
      </c>
      <c r="D13" s="11">
        <f>IFERROR(IF(B13="",0,SUMIFS(표1[매출금액],표1[매장코드],B13,표1[년],피벗값_구분!$X$2,표1[월],"&gt;="&amp;피벗값_구분!$X$4,표1[월],"&lt;="&amp;피벗값_구분!$X$5)),0)</f>
        <v>0</v>
      </c>
      <c r="E13" s="11">
        <f>IFERROR(IF(B13="",0,SUMIFS(표1[수금액(V+)],표1[매장코드],B13,표1[년],피벗값_구분!$X$2,표1[월],"&gt;="&amp;피벗값_구분!$X$4,표1[월],"&lt;="&amp;피벗값_구분!$X$5)),0)</f>
        <v>0</v>
      </c>
      <c r="F13" s="11">
        <f>IFERROR(IF(B13="",0,SUMIFS(표1[생산원가(V-)],표1[매장코드],B13,표1[년],피벗값_구분!$X$2,표1[월],"&gt;="&amp;피벗값_구분!$X$4,표1[월],"&lt;="&amp;피벗값_구분!$X$5)),0)</f>
        <v>0</v>
      </c>
      <c r="G13" s="11">
        <f>IFERROR(IF(B13="",0,SUMIFS(표1[총경비],표1[매장코드],B13,표1[년],피벗값_구분!$X$2,표1[월],"&gt;="&amp;피벗값_구분!$X$4,표1[월],"&lt;="&amp;피벗값_구분!$X$5)),0)</f>
        <v>0</v>
      </c>
      <c r="H13" s="11">
        <f>IFERROR(IF(B13="",0,SUMIFS(표1[영업이익(V-)],표1[매장코드],B13,표1[년],피벗값_구분!$X$2,표1[월],"&gt;="&amp;피벗값_구분!$X$4,표1[월],"&lt;="&amp;피벗값_구분!$X$5)),0)</f>
        <v>0</v>
      </c>
      <c r="I13" s="11" t="str">
        <f t="shared" si="0"/>
        <v/>
      </c>
    </row>
    <row r="14" spans="1:20" s="11" customFormat="1" ht="15" hidden="1" customHeight="1">
      <c r="B14" s="11" t="str">
        <f>IFERROR(INDEX(구분!$B:$B,MATCH(8,구분!$F:$F,0)),"")</f>
        <v/>
      </c>
      <c r="C14" s="11" t="str">
        <f>IFERROR(VLOOKUP(B14,구분!$B:$C,2,0),"")</f>
        <v/>
      </c>
      <c r="D14" s="11">
        <f>IFERROR(IF(B14="",0,SUMIFS(표1[매출금액],표1[매장코드],B14,표1[년],피벗값_구분!$X$2,표1[월],"&gt;="&amp;피벗값_구분!$X$4,표1[월],"&lt;="&amp;피벗값_구분!$X$5)),0)</f>
        <v>0</v>
      </c>
      <c r="E14" s="11">
        <f>IFERROR(IF(B14="",0,SUMIFS(표1[수금액(V+)],표1[매장코드],B14,표1[년],피벗값_구분!$X$2,표1[월],"&gt;="&amp;피벗값_구분!$X$4,표1[월],"&lt;="&amp;피벗값_구분!$X$5)),0)</f>
        <v>0</v>
      </c>
      <c r="F14" s="11">
        <f>IFERROR(IF(B14="",0,SUMIFS(표1[생산원가(V-)],표1[매장코드],B14,표1[년],피벗값_구분!$X$2,표1[월],"&gt;="&amp;피벗값_구분!$X$4,표1[월],"&lt;="&amp;피벗값_구분!$X$5)),0)</f>
        <v>0</v>
      </c>
      <c r="G14" s="11">
        <f>IFERROR(IF(B14="",0,SUMIFS(표1[총경비],표1[매장코드],B14,표1[년],피벗값_구분!$X$2,표1[월],"&gt;="&amp;피벗값_구분!$X$4,표1[월],"&lt;="&amp;피벗값_구분!$X$5)),0)</f>
        <v>0</v>
      </c>
      <c r="H14" s="11">
        <f>IFERROR(IF(B14="",0,SUMIFS(표1[영업이익(V-)],표1[매장코드],B14,표1[년],피벗값_구분!$X$2,표1[월],"&gt;="&amp;피벗값_구분!$X$4,표1[월],"&lt;="&amp;피벗값_구분!$X$5)),0)</f>
        <v>0</v>
      </c>
      <c r="I14" s="11" t="str">
        <f t="shared" si="0"/>
        <v/>
      </c>
    </row>
    <row r="15" spans="1:20" s="11" customFormat="1" ht="15" hidden="1" customHeight="1">
      <c r="B15" s="11" t="str">
        <f>IFERROR(INDEX(구분!$B:$B,MATCH(9,구분!$F:$F,0)),"")</f>
        <v/>
      </c>
      <c r="C15" s="11" t="str">
        <f>IFERROR(VLOOKUP(B15,구분!$B:$C,2,0),"")</f>
        <v/>
      </c>
      <c r="D15" s="11">
        <f>IFERROR(IF(B15="",0,SUMIFS(표1[매출금액],표1[매장코드],B15,표1[년],피벗값_구분!$X$2,표1[월],"&gt;="&amp;피벗값_구분!$X$4,표1[월],"&lt;="&amp;피벗값_구분!$X$5)),0)</f>
        <v>0</v>
      </c>
      <c r="E15" s="11">
        <f>IFERROR(IF(B15="",0,SUMIFS(표1[수금액(V+)],표1[매장코드],B15,표1[년],피벗값_구분!$X$2,표1[월],"&gt;="&amp;피벗값_구분!$X$4,표1[월],"&lt;="&amp;피벗값_구분!$X$5)),0)</f>
        <v>0</v>
      </c>
      <c r="F15" s="11">
        <f>IFERROR(IF(B15="",0,SUMIFS(표1[생산원가(V-)],표1[매장코드],B15,표1[년],피벗값_구분!$X$2,표1[월],"&gt;="&amp;피벗값_구분!$X$4,표1[월],"&lt;="&amp;피벗값_구분!$X$5)),0)</f>
        <v>0</v>
      </c>
      <c r="G15" s="11">
        <f>IFERROR(IF(B15="",0,SUMIFS(표1[총경비],표1[매장코드],B15,표1[년],피벗값_구분!$X$2,표1[월],"&gt;="&amp;피벗값_구분!$X$4,표1[월],"&lt;="&amp;피벗값_구분!$X$5)),0)</f>
        <v>0</v>
      </c>
      <c r="H15" s="11">
        <f>IFERROR(IF(B15="",0,SUMIFS(표1[영업이익(V-)],표1[매장코드],B15,표1[년],피벗값_구분!$X$2,표1[월],"&gt;="&amp;피벗값_구분!$X$4,표1[월],"&lt;="&amp;피벗값_구분!$X$5)),0)</f>
        <v>0</v>
      </c>
      <c r="I15" s="11" t="str">
        <f t="shared" si="0"/>
        <v/>
      </c>
    </row>
    <row r="16" spans="1:20" s="11" customFormat="1" ht="15" hidden="1" customHeight="1">
      <c r="B16" s="11" t="str">
        <f>IFERROR(INDEX(구분!$B:$B,MATCH(10,구분!$F:$F,0)),"")</f>
        <v/>
      </c>
      <c r="C16" s="11" t="str">
        <f>IFERROR(VLOOKUP(B16,구분!$B:$C,2,0),"")</f>
        <v/>
      </c>
      <c r="D16" s="11">
        <f>IFERROR(IF(B16="",0,SUMIFS(표1[매출금액],표1[매장코드],B16,표1[년],피벗값_구분!$X$2,표1[월],"&gt;="&amp;피벗값_구분!$X$4,표1[월],"&lt;="&amp;피벗값_구분!$X$5)),0)</f>
        <v>0</v>
      </c>
      <c r="E16" s="11">
        <f>IFERROR(IF(B16="",0,SUMIFS(표1[수금액(V+)],표1[매장코드],B16,표1[년],피벗값_구분!$X$2,표1[월],"&gt;="&amp;피벗값_구분!$X$4,표1[월],"&lt;="&amp;피벗값_구분!$X$5)),0)</f>
        <v>0</v>
      </c>
      <c r="F16" s="11">
        <f>IFERROR(IF(B16="",0,SUMIFS(표1[생산원가(V-)],표1[매장코드],B16,표1[년],피벗값_구분!$X$2,표1[월],"&gt;="&amp;피벗값_구분!$X$4,표1[월],"&lt;="&amp;피벗값_구분!$X$5)),0)</f>
        <v>0</v>
      </c>
      <c r="G16" s="11">
        <f>IFERROR(IF(B16="",0,SUMIFS(표1[총경비],표1[매장코드],B16,표1[년],피벗값_구분!$X$2,표1[월],"&gt;="&amp;피벗값_구분!$X$4,표1[월],"&lt;="&amp;피벗값_구분!$X$5)),0)</f>
        <v>0</v>
      </c>
      <c r="H16" s="11">
        <f>IFERROR(IF(B16="",0,SUMIFS(표1[영업이익(V-)],표1[매장코드],B16,표1[년],피벗값_구분!$X$2,표1[월],"&gt;="&amp;피벗값_구분!$X$4,표1[월],"&lt;="&amp;피벗값_구분!$X$5)),0)</f>
        <v>0</v>
      </c>
      <c r="I16" s="11" t="str">
        <f t="shared" si="0"/>
        <v/>
      </c>
    </row>
    <row r="17" spans="2:9" s="11" customFormat="1" ht="15" hidden="1" customHeight="1">
      <c r="B17" s="11" t="str">
        <f>IFERROR(INDEX(구분!$B:$B,MATCH(11,구분!$F:$F,0)),"")</f>
        <v/>
      </c>
      <c r="C17" s="11" t="str">
        <f>IFERROR(VLOOKUP(B17,구분!$B:$C,2,0),"")</f>
        <v/>
      </c>
      <c r="D17" s="11">
        <f>IFERROR(IF(B17="",0,SUMIFS(표1[매출금액],표1[매장코드],B17,표1[년],피벗값_구분!$X$2,표1[월],"&gt;="&amp;피벗값_구분!$X$4,표1[월],"&lt;="&amp;피벗값_구분!$X$5)),0)</f>
        <v>0</v>
      </c>
      <c r="E17" s="11">
        <f>IFERROR(IF(B17="",0,SUMIFS(표1[수금액(V+)],표1[매장코드],B17,표1[년],피벗값_구분!$X$2,표1[월],"&gt;="&amp;피벗값_구분!$X$4,표1[월],"&lt;="&amp;피벗값_구분!$X$5)),0)</f>
        <v>0</v>
      </c>
      <c r="F17" s="11">
        <f>IFERROR(IF(B17="",0,SUMIFS(표1[생산원가(V-)],표1[매장코드],B17,표1[년],피벗값_구분!$X$2,표1[월],"&gt;="&amp;피벗값_구분!$X$4,표1[월],"&lt;="&amp;피벗값_구분!$X$5)),0)</f>
        <v>0</v>
      </c>
      <c r="G17" s="11">
        <f>IFERROR(IF(B17="",0,SUMIFS(표1[총경비],표1[매장코드],B17,표1[년],피벗값_구분!$X$2,표1[월],"&gt;="&amp;피벗값_구분!$X$4,표1[월],"&lt;="&amp;피벗값_구분!$X$5)),0)</f>
        <v>0</v>
      </c>
      <c r="H17" s="11">
        <f>IFERROR(IF(B17="",0,SUMIFS(표1[영업이익(V-)],표1[매장코드],B17,표1[년],피벗값_구분!$X$2,표1[월],"&gt;="&amp;피벗값_구분!$X$4,표1[월],"&lt;="&amp;피벗값_구분!$X$5)),0)</f>
        <v>0</v>
      </c>
      <c r="I17" s="11" t="str">
        <f t="shared" si="0"/>
        <v/>
      </c>
    </row>
    <row r="18" spans="2:9" s="11" customFormat="1" ht="15" hidden="1" customHeight="1">
      <c r="B18" s="11" t="str">
        <f>IFERROR(INDEX(구분!$B:$B,MATCH(12,구분!$F:$F,0)),"")</f>
        <v/>
      </c>
      <c r="C18" s="11" t="str">
        <f>IFERROR(VLOOKUP(B18,구분!$B:$C,2,0),"")</f>
        <v/>
      </c>
      <c r="D18" s="11">
        <f>IFERROR(IF(B18="",0,SUMIFS(표1[매출금액],표1[매장코드],B18,표1[년],피벗값_구분!$X$2,표1[월],"&gt;="&amp;피벗값_구분!$X$4,표1[월],"&lt;="&amp;피벗값_구분!$X$5)),0)</f>
        <v>0</v>
      </c>
      <c r="E18" s="11">
        <f>IFERROR(IF(B18="",0,SUMIFS(표1[수금액(V+)],표1[매장코드],B18,표1[년],피벗값_구분!$X$2,표1[월],"&gt;="&amp;피벗값_구분!$X$4,표1[월],"&lt;="&amp;피벗값_구분!$X$5)),0)</f>
        <v>0</v>
      </c>
      <c r="F18" s="11">
        <f>IFERROR(IF(B18="",0,SUMIFS(표1[생산원가(V-)],표1[매장코드],B18,표1[년],피벗값_구분!$X$2,표1[월],"&gt;="&amp;피벗값_구분!$X$4,표1[월],"&lt;="&amp;피벗값_구분!$X$5)),0)</f>
        <v>0</v>
      </c>
      <c r="G18" s="11">
        <f>IFERROR(IF(B18="",0,SUMIFS(표1[총경비],표1[매장코드],B18,표1[년],피벗값_구분!$X$2,표1[월],"&gt;="&amp;피벗값_구분!$X$4,표1[월],"&lt;="&amp;피벗값_구분!$X$5)),0)</f>
        <v>0</v>
      </c>
      <c r="H18" s="11">
        <f>IFERROR(IF(B18="",0,SUMIFS(표1[영업이익(V-)],표1[매장코드],B18,표1[년],피벗값_구분!$X$2,표1[월],"&gt;="&amp;피벗값_구분!$X$4,표1[월],"&lt;="&amp;피벗값_구분!$X$5)),0)</f>
        <v>0</v>
      </c>
      <c r="I18" s="11" t="str">
        <f t="shared" si="0"/>
        <v/>
      </c>
    </row>
    <row r="19" spans="2:9" s="11" customFormat="1" ht="15" hidden="1" customHeight="1">
      <c r="B19" s="11" t="str">
        <f>IFERROR(INDEX(구분!$B:$B,MATCH(13,구분!$F:$F,0)),"")</f>
        <v/>
      </c>
      <c r="C19" s="11" t="str">
        <f>IFERROR(VLOOKUP(B19,구분!$B:$C,2,0),"")</f>
        <v/>
      </c>
      <c r="D19" s="11">
        <f>IFERROR(IF(B19="",0,SUMIFS(표1[매출금액],표1[매장코드],B19,표1[년],피벗값_구분!$X$2,표1[월],"&gt;="&amp;피벗값_구분!$X$4,표1[월],"&lt;="&amp;피벗값_구분!$X$5)),0)</f>
        <v>0</v>
      </c>
      <c r="E19" s="11">
        <f>IFERROR(IF(B19="",0,SUMIFS(표1[수금액(V+)],표1[매장코드],B19,표1[년],피벗값_구분!$X$2,표1[월],"&gt;="&amp;피벗값_구분!$X$4,표1[월],"&lt;="&amp;피벗값_구분!$X$5)),0)</f>
        <v>0</v>
      </c>
      <c r="F19" s="11">
        <f>IFERROR(IF(B19="",0,SUMIFS(표1[생산원가(V-)],표1[매장코드],B19,표1[년],피벗값_구분!$X$2,표1[월],"&gt;="&amp;피벗값_구분!$X$4,표1[월],"&lt;="&amp;피벗값_구분!$X$5)),0)</f>
        <v>0</v>
      </c>
      <c r="G19" s="11">
        <f>IFERROR(IF(B19="",0,SUMIFS(표1[총경비],표1[매장코드],B19,표1[년],피벗값_구분!$X$2,표1[월],"&gt;="&amp;피벗값_구분!$X$4,표1[월],"&lt;="&amp;피벗값_구분!$X$5)),0)</f>
        <v>0</v>
      </c>
      <c r="H19" s="11">
        <f>IFERROR(IF(B19="",0,SUMIFS(표1[영업이익(V-)],표1[매장코드],B19,표1[년],피벗값_구분!$X$2,표1[월],"&gt;="&amp;피벗값_구분!$X$4,표1[월],"&lt;="&amp;피벗값_구분!$X$5)),0)</f>
        <v>0</v>
      </c>
      <c r="I19" s="11" t="str">
        <f t="shared" si="0"/>
        <v/>
      </c>
    </row>
    <row r="20" spans="2:9" s="11" customFormat="1" ht="15" hidden="1" customHeight="1">
      <c r="B20" s="11" t="str">
        <f>IFERROR(INDEX(구분!$B:$B,MATCH(14,구분!$F:$F,0)),"")</f>
        <v/>
      </c>
      <c r="C20" s="11" t="str">
        <f>IFERROR(VLOOKUP(B20,구분!$B:$C,2,0),"")</f>
        <v/>
      </c>
      <c r="D20" s="11">
        <f>IFERROR(IF(B20="",0,SUMIFS(표1[매출금액],표1[매장코드],B20,표1[년],피벗값_구분!$X$2,표1[월],"&gt;="&amp;피벗값_구분!$X$4,표1[월],"&lt;="&amp;피벗값_구분!$X$5)),0)</f>
        <v>0</v>
      </c>
      <c r="E20" s="11">
        <f>IFERROR(IF(B20="",0,SUMIFS(표1[수금액(V+)],표1[매장코드],B20,표1[년],피벗값_구분!$X$2,표1[월],"&gt;="&amp;피벗값_구분!$X$4,표1[월],"&lt;="&amp;피벗값_구분!$X$5)),0)</f>
        <v>0</v>
      </c>
      <c r="F20" s="11">
        <f>IFERROR(IF(B20="",0,SUMIFS(표1[생산원가(V-)],표1[매장코드],B20,표1[년],피벗값_구분!$X$2,표1[월],"&gt;="&amp;피벗값_구분!$X$4,표1[월],"&lt;="&amp;피벗값_구분!$X$5)),0)</f>
        <v>0</v>
      </c>
      <c r="G20" s="11">
        <f>IFERROR(IF(B20="",0,SUMIFS(표1[총경비],표1[매장코드],B20,표1[년],피벗값_구분!$X$2,표1[월],"&gt;="&amp;피벗값_구분!$X$4,표1[월],"&lt;="&amp;피벗값_구분!$X$5)),0)</f>
        <v>0</v>
      </c>
      <c r="H20" s="11">
        <f>IFERROR(IF(B20="",0,SUMIFS(표1[영업이익(V-)],표1[매장코드],B20,표1[년],피벗값_구분!$X$2,표1[월],"&gt;="&amp;피벗값_구분!$X$4,표1[월],"&lt;="&amp;피벗값_구분!$X$5)),0)</f>
        <v>0</v>
      </c>
      <c r="I20" s="11" t="str">
        <f t="shared" si="0"/>
        <v/>
      </c>
    </row>
    <row r="21" spans="2:9" s="11" customFormat="1" ht="15" hidden="1" customHeight="1">
      <c r="B21" s="11" t="str">
        <f>IFERROR(INDEX(구분!$B:$B,MATCH(15,구분!$F:$F,0)),"")</f>
        <v/>
      </c>
      <c r="C21" s="11" t="str">
        <f>IFERROR(VLOOKUP(B21,구분!$B:$C,2,0),"")</f>
        <v/>
      </c>
      <c r="D21" s="11">
        <f>IFERROR(IF(B21="",0,SUMIFS(표1[매출금액],표1[매장코드],B21,표1[년],피벗값_구분!$X$2,표1[월],"&gt;="&amp;피벗값_구분!$X$4,표1[월],"&lt;="&amp;피벗값_구분!$X$5)),0)</f>
        <v>0</v>
      </c>
      <c r="E21" s="11">
        <f>IFERROR(IF(B21="",0,SUMIFS(표1[수금액(V+)],표1[매장코드],B21,표1[년],피벗값_구분!$X$2,표1[월],"&gt;="&amp;피벗값_구분!$X$4,표1[월],"&lt;="&amp;피벗값_구분!$X$5)),0)</f>
        <v>0</v>
      </c>
      <c r="F21" s="11">
        <f>IFERROR(IF(B21="",0,SUMIFS(표1[생산원가(V-)],표1[매장코드],B21,표1[년],피벗값_구분!$X$2,표1[월],"&gt;="&amp;피벗값_구분!$X$4,표1[월],"&lt;="&amp;피벗값_구분!$X$5)),0)</f>
        <v>0</v>
      </c>
      <c r="G21" s="11">
        <f>IFERROR(IF(B21="",0,SUMIFS(표1[총경비],표1[매장코드],B21,표1[년],피벗값_구분!$X$2,표1[월],"&gt;="&amp;피벗값_구분!$X$4,표1[월],"&lt;="&amp;피벗값_구분!$X$5)),0)</f>
        <v>0</v>
      </c>
      <c r="H21" s="11">
        <f>IFERROR(IF(B21="",0,SUMIFS(표1[영업이익(V-)],표1[매장코드],B21,표1[년],피벗값_구분!$X$2,표1[월],"&gt;="&amp;피벗값_구분!$X$4,표1[월],"&lt;="&amp;피벗값_구분!$X$5)),0)</f>
        <v>0</v>
      </c>
      <c r="I21" s="11" t="str">
        <f t="shared" si="0"/>
        <v/>
      </c>
    </row>
    <row r="22" spans="2:9" s="11" customFormat="1" ht="15" hidden="1" customHeight="1">
      <c r="B22" s="11" t="str">
        <f>IFERROR(INDEX(구분!$B:$B,MATCH(16,구분!$F:$F,0)),"")</f>
        <v/>
      </c>
      <c r="C22" s="11" t="str">
        <f>IFERROR(VLOOKUP(B22,구분!$B:$C,2,0),"")</f>
        <v/>
      </c>
      <c r="D22" s="11">
        <f>IFERROR(IF(B22="",0,SUMIFS(표1[매출금액],표1[매장코드],B22,표1[년],피벗값_구분!$X$2,표1[월],"&gt;="&amp;피벗값_구분!$X$4,표1[월],"&lt;="&amp;피벗값_구분!$X$5)),0)</f>
        <v>0</v>
      </c>
      <c r="E22" s="11">
        <f>IFERROR(IF(B22="",0,SUMIFS(표1[수금액(V+)],표1[매장코드],B22,표1[년],피벗값_구분!$X$2,표1[월],"&gt;="&amp;피벗값_구분!$X$4,표1[월],"&lt;="&amp;피벗값_구분!$X$5)),0)</f>
        <v>0</v>
      </c>
      <c r="F22" s="11">
        <f>IFERROR(IF(B22="",0,SUMIFS(표1[생산원가(V-)],표1[매장코드],B22,표1[년],피벗값_구분!$X$2,표1[월],"&gt;="&amp;피벗값_구분!$X$4,표1[월],"&lt;="&amp;피벗값_구분!$X$5)),0)</f>
        <v>0</v>
      </c>
      <c r="G22" s="11">
        <f>IFERROR(IF(B22="",0,SUMIFS(표1[총경비],표1[매장코드],B22,표1[년],피벗값_구분!$X$2,표1[월],"&gt;="&amp;피벗값_구분!$X$4,표1[월],"&lt;="&amp;피벗값_구분!$X$5)),0)</f>
        <v>0</v>
      </c>
      <c r="H22" s="11">
        <f>IFERROR(IF(B22="",0,SUMIFS(표1[영업이익(V-)],표1[매장코드],B22,표1[년],피벗값_구분!$X$2,표1[월],"&gt;="&amp;피벗값_구분!$X$4,표1[월],"&lt;="&amp;피벗값_구분!$X$5)),0)</f>
        <v>0</v>
      </c>
      <c r="I22" s="11" t="str">
        <f t="shared" si="0"/>
        <v/>
      </c>
    </row>
    <row r="23" spans="2:9" s="11" customFormat="1" ht="15" hidden="1" customHeight="1">
      <c r="B23" s="11" t="str">
        <f>IFERROR(INDEX(구분!$B:$B,MATCH(17,구분!$F:$F,0)),"")</f>
        <v/>
      </c>
      <c r="C23" s="11" t="str">
        <f>IFERROR(VLOOKUP(B23,구분!$B:$C,2,0),"")</f>
        <v/>
      </c>
      <c r="D23" s="11">
        <f>IFERROR(IF(B23="",0,SUMIFS(표1[매출금액],표1[매장코드],B23,표1[년],피벗값_구분!$X$2,표1[월],"&gt;="&amp;피벗값_구분!$X$4,표1[월],"&lt;="&amp;피벗값_구분!$X$5)),0)</f>
        <v>0</v>
      </c>
      <c r="E23" s="11">
        <f>IFERROR(IF(B23="",0,SUMIFS(표1[수금액(V+)],표1[매장코드],B23,표1[년],피벗값_구분!$X$2,표1[월],"&gt;="&amp;피벗값_구분!$X$4,표1[월],"&lt;="&amp;피벗값_구분!$X$5)),0)</f>
        <v>0</v>
      </c>
      <c r="F23" s="11">
        <f>IFERROR(IF(B23="",0,SUMIFS(표1[생산원가(V-)],표1[매장코드],B23,표1[년],피벗값_구분!$X$2,표1[월],"&gt;="&amp;피벗값_구분!$X$4,표1[월],"&lt;="&amp;피벗값_구분!$X$5)),0)</f>
        <v>0</v>
      </c>
      <c r="G23" s="11">
        <f>IFERROR(IF(B23="",0,SUMIFS(표1[총경비],표1[매장코드],B23,표1[년],피벗값_구분!$X$2,표1[월],"&gt;="&amp;피벗값_구분!$X$4,표1[월],"&lt;="&amp;피벗값_구분!$X$5)),0)</f>
        <v>0</v>
      </c>
      <c r="H23" s="11">
        <f>IFERROR(IF(B23="",0,SUMIFS(표1[영업이익(V-)],표1[매장코드],B23,표1[년],피벗값_구분!$X$2,표1[월],"&gt;="&amp;피벗값_구분!$X$4,표1[월],"&lt;="&amp;피벗값_구분!$X$5)),0)</f>
        <v>0</v>
      </c>
      <c r="I23" s="11" t="str">
        <f t="shared" si="0"/>
        <v/>
      </c>
    </row>
    <row r="24" spans="2:9" s="11" customFormat="1" ht="15" hidden="1" customHeight="1">
      <c r="B24" s="11" t="str">
        <f>IFERROR(INDEX(구분!$B:$B,MATCH(18,구분!$F:$F,0)),"")</f>
        <v/>
      </c>
      <c r="C24" s="11" t="str">
        <f>IFERROR(VLOOKUP(B24,구분!$B:$C,2,0),"")</f>
        <v/>
      </c>
      <c r="D24" s="11">
        <f>IFERROR(IF(B24="",0,SUMIFS(표1[매출금액],표1[매장코드],B24,표1[년],피벗값_구분!$X$2,표1[월],"&gt;="&amp;피벗값_구분!$X$4,표1[월],"&lt;="&amp;피벗값_구분!$X$5)),0)</f>
        <v>0</v>
      </c>
      <c r="E24" s="11">
        <f>IFERROR(IF(B24="",0,SUMIFS(표1[수금액(V+)],표1[매장코드],B24,표1[년],피벗값_구분!$X$2,표1[월],"&gt;="&amp;피벗값_구분!$X$4,표1[월],"&lt;="&amp;피벗값_구분!$X$5)),0)</f>
        <v>0</v>
      </c>
      <c r="F24" s="11">
        <f>IFERROR(IF(B24="",0,SUMIFS(표1[생산원가(V-)],표1[매장코드],B24,표1[년],피벗값_구분!$X$2,표1[월],"&gt;="&amp;피벗값_구분!$X$4,표1[월],"&lt;="&amp;피벗값_구분!$X$5)),0)</f>
        <v>0</v>
      </c>
      <c r="G24" s="11">
        <f>IFERROR(IF(B24="",0,SUMIFS(표1[총경비],표1[매장코드],B24,표1[년],피벗값_구분!$X$2,표1[월],"&gt;="&amp;피벗값_구분!$X$4,표1[월],"&lt;="&amp;피벗값_구분!$X$5)),0)</f>
        <v>0</v>
      </c>
      <c r="H24" s="11">
        <f>IFERROR(IF(B24="",0,SUMIFS(표1[영업이익(V-)],표1[매장코드],B24,표1[년],피벗값_구분!$X$2,표1[월],"&gt;="&amp;피벗값_구분!$X$4,표1[월],"&lt;="&amp;피벗값_구분!$X$5)),0)</f>
        <v>0</v>
      </c>
      <c r="I24" s="11" t="str">
        <f t="shared" si="0"/>
        <v/>
      </c>
    </row>
    <row r="25" spans="2:9" s="11" customFormat="1" ht="15" hidden="1" customHeight="1">
      <c r="B25" s="11" t="str">
        <f>IFERROR(INDEX(구분!$B:$B,MATCH(19,구분!$F:$F,0)),"")</f>
        <v/>
      </c>
      <c r="C25" s="11" t="str">
        <f>IFERROR(VLOOKUP(B25,구분!$B:$C,2,0),"")</f>
        <v/>
      </c>
      <c r="D25" s="11">
        <f>IFERROR(IF(B25="",0,SUMIFS(표1[매출금액],표1[매장코드],B25,표1[년],피벗값_구분!$X$2,표1[월],"&gt;="&amp;피벗값_구분!$X$4,표1[월],"&lt;="&amp;피벗값_구분!$X$5)),0)</f>
        <v>0</v>
      </c>
      <c r="E25" s="11">
        <f>IFERROR(IF(B25="",0,SUMIFS(표1[수금액(V+)],표1[매장코드],B25,표1[년],피벗값_구분!$X$2,표1[월],"&gt;="&amp;피벗값_구분!$X$4,표1[월],"&lt;="&amp;피벗값_구분!$X$5)),0)</f>
        <v>0</v>
      </c>
      <c r="F25" s="11">
        <f>IFERROR(IF(B25="",0,SUMIFS(표1[생산원가(V-)],표1[매장코드],B25,표1[년],피벗값_구분!$X$2,표1[월],"&gt;="&amp;피벗값_구분!$X$4,표1[월],"&lt;="&amp;피벗값_구분!$X$5)),0)</f>
        <v>0</v>
      </c>
      <c r="G25" s="11">
        <f>IFERROR(IF(B25="",0,SUMIFS(표1[총경비],표1[매장코드],B25,표1[년],피벗값_구분!$X$2,표1[월],"&gt;="&amp;피벗값_구분!$X$4,표1[월],"&lt;="&amp;피벗값_구분!$X$5)),0)</f>
        <v>0</v>
      </c>
      <c r="H25" s="11">
        <f>IFERROR(IF(B25="",0,SUMIFS(표1[영업이익(V-)],표1[매장코드],B25,표1[년],피벗값_구분!$X$2,표1[월],"&gt;="&amp;피벗값_구분!$X$4,표1[월],"&lt;="&amp;피벗값_구분!$X$5)),0)</f>
        <v>0</v>
      </c>
      <c r="I25" s="11" t="str">
        <f t="shared" si="0"/>
        <v/>
      </c>
    </row>
    <row r="26" spans="2:9" s="11" customFormat="1" ht="15" hidden="1" customHeight="1">
      <c r="B26" s="11" t="str">
        <f>IFERROR(INDEX(구분!$B:$B,MATCH(20,구분!$F:$F,0)),"")</f>
        <v/>
      </c>
      <c r="C26" s="11" t="str">
        <f>IFERROR(VLOOKUP(B26,구분!$B:$C,2,0),"")</f>
        <v/>
      </c>
      <c r="D26" s="11">
        <f>IFERROR(IF(B26="",0,SUMIFS(표1[매출금액],표1[매장코드],B26,표1[년],피벗값_구분!$X$2,표1[월],"&gt;="&amp;피벗값_구분!$X$4,표1[월],"&lt;="&amp;피벗값_구분!$X$5)),0)</f>
        <v>0</v>
      </c>
      <c r="E26" s="11">
        <f>IFERROR(IF(B26="",0,SUMIFS(표1[수금액(V+)],표1[매장코드],B26,표1[년],피벗값_구분!$X$2,표1[월],"&gt;="&amp;피벗값_구분!$X$4,표1[월],"&lt;="&amp;피벗값_구분!$X$5)),0)</f>
        <v>0</v>
      </c>
      <c r="F26" s="11">
        <f>IFERROR(IF(B26="",0,SUMIFS(표1[생산원가(V-)],표1[매장코드],B26,표1[년],피벗값_구분!$X$2,표1[월],"&gt;="&amp;피벗값_구분!$X$4,표1[월],"&lt;="&amp;피벗값_구분!$X$5)),0)</f>
        <v>0</v>
      </c>
      <c r="G26" s="11">
        <f>IFERROR(IF(B26="",0,SUMIFS(표1[총경비],표1[매장코드],B26,표1[년],피벗값_구분!$X$2,표1[월],"&gt;="&amp;피벗값_구분!$X$4,표1[월],"&lt;="&amp;피벗값_구분!$X$5)),0)</f>
        <v>0</v>
      </c>
      <c r="H26" s="11">
        <f>IFERROR(IF(B26="",0,SUMIFS(표1[영업이익(V-)],표1[매장코드],B26,표1[년],피벗값_구분!$X$2,표1[월],"&gt;="&amp;피벗값_구분!$X$4,표1[월],"&lt;="&amp;피벗값_구분!$X$5)),0)</f>
        <v>0</v>
      </c>
      <c r="I26" s="11" t="str">
        <f t="shared" si="0"/>
        <v/>
      </c>
    </row>
    <row r="27" spans="2:9" s="11" customFormat="1" ht="15" customHeight="1">
      <c r="B27" s="4" t="s">
        <v>22</v>
      </c>
      <c r="C27" s="4"/>
      <c r="D27" s="100">
        <f t="shared" ref="D27:I27" si="1">IFERROR(SUM(D7:D26),0)</f>
        <v>417681420</v>
      </c>
      <c r="E27" s="100">
        <f t="shared" si="1"/>
        <v>264322482</v>
      </c>
      <c r="F27" s="100">
        <f t="shared" si="1"/>
        <v>130013101</v>
      </c>
      <c r="G27" s="100">
        <f t="shared" si="1"/>
        <v>78643790</v>
      </c>
      <c r="H27" s="100">
        <f t="shared" si="1"/>
        <v>110280065</v>
      </c>
      <c r="I27" s="11">
        <f t="shared" si="1"/>
        <v>31636275</v>
      </c>
    </row>
    <row r="28" spans="2:9" s="11" customFormat="1" ht="15" customHeight="1"/>
    <row r="29" spans="2:9" s="11" customFormat="1" ht="15" customHeight="1"/>
    <row r="30" spans="2:9" s="11" customFormat="1" ht="15" customHeight="1"/>
    <row r="31" spans="2:9" s="11" customFormat="1" ht="15" customHeight="1"/>
    <row r="32" spans="2:9" s="11" customFormat="1" ht="15" customHeight="1"/>
    <row r="33" s="11" customFormat="1" ht="15" customHeight="1"/>
    <row r="34" s="11" customFormat="1" ht="15" customHeight="1"/>
    <row r="35" s="11" customFormat="1" ht="15" customHeight="1"/>
    <row r="36" s="11" customFormat="1" ht="15" customHeight="1"/>
    <row r="37" s="11" customFormat="1" ht="15" customHeight="1"/>
    <row r="38" s="11" customFormat="1" ht="15" customHeight="1"/>
    <row r="39" s="11" customFormat="1" ht="15" customHeight="1"/>
    <row r="40" s="11" customFormat="1" ht="15" customHeight="1"/>
    <row r="41" s="11" customFormat="1" ht="15" customHeight="1"/>
    <row r="42" s="11" customFormat="1" ht="15" customHeight="1"/>
    <row r="43" s="11" customFormat="1" ht="15" customHeight="1"/>
    <row r="44" s="11" customFormat="1" ht="15" customHeight="1"/>
    <row r="45" s="11" customFormat="1" ht="15" customHeight="1"/>
    <row r="46" s="11" customFormat="1" ht="15" customHeight="1"/>
    <row r="47" s="11" customFormat="1" ht="15" customHeight="1"/>
    <row r="48" s="11" customFormat="1" ht="15" customHeight="1"/>
    <row r="49" s="11" customFormat="1" ht="15" customHeight="1"/>
    <row r="50" s="11" customFormat="1" ht="15" customHeight="1"/>
    <row r="51" s="11" customFormat="1" ht="15" customHeight="1"/>
    <row r="52" s="11" customFormat="1" ht="15" customHeight="1"/>
    <row r="53" s="11" customFormat="1" ht="15" customHeight="1"/>
    <row r="54" s="11" customFormat="1" ht="15" customHeight="1"/>
    <row r="55" s="11" customFormat="1" ht="15" customHeight="1"/>
    <row r="56" s="11" customFormat="1" ht="15" customHeight="1"/>
    <row r="57" s="11" customFormat="1" ht="15" customHeight="1"/>
    <row r="58" s="11" customFormat="1" ht="15" customHeight="1"/>
    <row r="59" s="11" customFormat="1" ht="15" customHeight="1"/>
    <row r="60" s="11" customFormat="1" ht="15" customHeight="1"/>
    <row r="61" s="11" customFormat="1" ht="15" customHeight="1"/>
    <row r="62" s="11" customFormat="1" ht="15" customHeight="1"/>
    <row r="63" s="11" customFormat="1" ht="15" customHeight="1"/>
    <row r="64" s="11" customFormat="1" ht="15" customHeight="1"/>
    <row r="65" s="11" customFormat="1" ht="15" customHeight="1"/>
    <row r="66" s="11" customFormat="1" ht="15" customHeight="1"/>
    <row r="67" s="11" customFormat="1" ht="15" customHeight="1"/>
    <row r="68" s="11" customFormat="1" ht="15" customHeight="1"/>
    <row r="69" s="11" customFormat="1" ht="15" customHeight="1"/>
    <row r="70" s="11" customFormat="1" ht="15" customHeight="1"/>
    <row r="71" s="11" customFormat="1" ht="15" customHeight="1"/>
    <row r="72" s="11" customFormat="1" ht="15" customHeight="1"/>
    <row r="73" s="11" customFormat="1" ht="15" customHeight="1"/>
    <row r="74" s="11" customFormat="1" ht="15" customHeight="1"/>
    <row r="75" s="11" customFormat="1" ht="15" customHeight="1"/>
    <row r="76" s="11" customFormat="1" ht="15" customHeight="1"/>
    <row r="77" s="11" customFormat="1" ht="15" customHeight="1"/>
    <row r="78" s="11" customFormat="1" ht="15" customHeight="1"/>
    <row r="79" s="11" customFormat="1" ht="15" customHeight="1"/>
    <row r="80" s="11" customFormat="1" ht="15" customHeight="1"/>
    <row r="81" s="11" customFormat="1" ht="15" customHeight="1"/>
    <row r="82" s="11" customFormat="1" ht="15" customHeight="1"/>
    <row r="83" s="11" customFormat="1" ht="15" customHeight="1"/>
    <row r="84" s="11" customFormat="1" ht="15" customHeight="1"/>
    <row r="85" s="11" customFormat="1" ht="15" customHeight="1"/>
    <row r="86" s="11" customFormat="1" ht="15" customHeight="1"/>
    <row r="87" s="11" customFormat="1" ht="15" customHeight="1"/>
    <row r="88" s="11" customFormat="1" ht="15" customHeight="1"/>
    <row r="89" s="11" customFormat="1" ht="15" customHeight="1"/>
    <row r="90" s="11" customFormat="1" ht="15" customHeight="1"/>
    <row r="91" s="11" customFormat="1" ht="15" customHeight="1"/>
    <row r="92" s="11" customFormat="1" ht="15" customHeight="1"/>
    <row r="93" s="11" customFormat="1" ht="15" customHeight="1"/>
    <row r="94" s="11" customFormat="1" ht="15" customHeight="1"/>
    <row r="95" s="11" customFormat="1" ht="15" customHeight="1"/>
    <row r="96" s="11" customFormat="1" ht="15" customHeight="1"/>
    <row r="97" s="11" customFormat="1" ht="15" customHeight="1"/>
    <row r="98" s="11" customFormat="1" ht="15" customHeight="1"/>
    <row r="99" s="11" customFormat="1" ht="15" customHeight="1"/>
    <row r="100" s="11" customFormat="1" ht="15" customHeight="1"/>
    <row r="101" s="11" customFormat="1" ht="15" customHeight="1"/>
    <row r="102" s="11" customFormat="1" ht="15" customHeight="1"/>
    <row r="103" s="11" customFormat="1" ht="15" customHeight="1"/>
    <row r="104" s="11" customFormat="1" ht="15" customHeight="1"/>
    <row r="105" s="11" customFormat="1" ht="15" customHeight="1"/>
    <row r="106" s="11" customFormat="1" ht="15" customHeight="1"/>
    <row r="107" s="11" customFormat="1" ht="15" customHeight="1"/>
    <row r="108" s="11" customFormat="1" ht="15" customHeight="1"/>
    <row r="109" s="11" customFormat="1" ht="15" customHeight="1"/>
    <row r="110" s="11" customFormat="1" ht="15" customHeight="1"/>
    <row r="111" s="11" customFormat="1" ht="15" customHeight="1"/>
    <row r="112" s="11" customFormat="1" ht="15" customHeight="1"/>
    <row r="113" s="11" customFormat="1" ht="15" customHeight="1"/>
    <row r="114" s="11" customFormat="1" ht="15" customHeight="1"/>
    <row r="115" s="11" customFormat="1" ht="15" customHeight="1"/>
    <row r="116" s="11" customFormat="1" ht="15" customHeight="1"/>
    <row r="117" s="11" customFormat="1" ht="15" customHeight="1"/>
    <row r="118" s="11" customFormat="1" ht="15" customHeight="1"/>
    <row r="119" s="11" customFormat="1" ht="15" customHeight="1"/>
    <row r="120" s="11" customFormat="1" ht="15" customHeight="1"/>
    <row r="121" s="11" customFormat="1" ht="15" customHeight="1"/>
    <row r="122" s="11" customFormat="1" ht="15" customHeight="1"/>
    <row r="123" s="11" customFormat="1" ht="15" customHeight="1"/>
    <row r="124" s="11" customFormat="1" ht="15" customHeight="1"/>
    <row r="125" s="11" customFormat="1" ht="15" customHeight="1"/>
    <row r="126" s="11" customFormat="1" ht="15" customHeight="1"/>
    <row r="127" s="11" customFormat="1" ht="15" customHeight="1"/>
    <row r="128" s="11" customFormat="1" ht="15" customHeight="1"/>
    <row r="129" s="11" customFormat="1" ht="15" customHeight="1"/>
    <row r="130" s="11" customFormat="1" ht="15" customHeight="1"/>
    <row r="131" s="11" customFormat="1" ht="15" customHeight="1"/>
    <row r="132" s="11" customFormat="1" ht="15" customHeight="1"/>
    <row r="133" s="11" customFormat="1" ht="15" customHeight="1"/>
    <row r="134" s="11" customFormat="1" ht="15" customHeight="1"/>
    <row r="135" s="11" customFormat="1" ht="15" customHeight="1"/>
    <row r="136" s="11" customFormat="1" ht="15" customHeight="1"/>
    <row r="137" s="11" customFormat="1" ht="15" customHeight="1"/>
    <row r="138" s="11" customFormat="1" ht="15" customHeight="1"/>
    <row r="139" s="11" customFormat="1" ht="15" customHeight="1"/>
    <row r="140" s="11" customFormat="1" ht="15" customHeight="1"/>
    <row r="141" s="11" customFormat="1" ht="15" customHeight="1"/>
    <row r="142" s="11" customFormat="1" ht="15" customHeight="1"/>
    <row r="143" s="11" customFormat="1" ht="15" customHeight="1"/>
    <row r="144" s="11" customFormat="1" ht="15" customHeight="1"/>
    <row r="145" s="11" customFormat="1" ht="15" customHeight="1"/>
    <row r="146" s="11" customFormat="1" ht="15" customHeight="1"/>
    <row r="147" s="11" customFormat="1" ht="15" customHeight="1"/>
    <row r="148" s="11" customFormat="1" ht="15" customHeight="1"/>
    <row r="149" s="11" customFormat="1" ht="15" customHeight="1"/>
    <row r="150" s="11" customFormat="1" ht="15" customHeight="1"/>
    <row r="151" s="11" customFormat="1" ht="15" customHeight="1"/>
    <row r="152" s="11" customFormat="1" ht="15" customHeight="1"/>
    <row r="153" s="11" customFormat="1" ht="15" customHeight="1"/>
    <row r="154" s="11" customFormat="1" ht="15" customHeight="1"/>
    <row r="155" s="11" customFormat="1" ht="15" customHeight="1"/>
    <row r="156" s="11" customFormat="1" ht="15" customHeight="1"/>
    <row r="157" s="11" customFormat="1" ht="15" customHeight="1"/>
    <row r="158" s="11" customFormat="1" ht="15" customHeight="1"/>
    <row r="159" s="11" customFormat="1" ht="15" customHeight="1"/>
    <row r="160" s="11" customFormat="1" ht="15" customHeight="1"/>
    <row r="161" s="11" customFormat="1" ht="15" customHeight="1"/>
    <row r="162" s="11" customFormat="1" ht="15" customHeight="1"/>
    <row r="163" s="11" customFormat="1" ht="15" customHeight="1"/>
    <row r="164" s="11" customFormat="1" ht="15" customHeight="1"/>
    <row r="165" s="11" customFormat="1" ht="15" customHeight="1"/>
    <row r="166" s="11" customFormat="1" ht="15" customHeight="1"/>
    <row r="167" s="11" customFormat="1" ht="15" customHeight="1"/>
    <row r="168" s="11" customFormat="1" ht="15" customHeight="1"/>
    <row r="169" s="11" customFormat="1" ht="15" customHeight="1"/>
    <row r="170" s="11" customFormat="1" ht="15" customHeight="1"/>
    <row r="171" s="11" customFormat="1" ht="15" customHeight="1"/>
    <row r="172" s="11" customFormat="1" ht="15" customHeight="1"/>
    <row r="173" s="11" customFormat="1" ht="15" customHeight="1"/>
    <row r="174" s="11" customFormat="1" ht="15" customHeight="1"/>
    <row r="175" s="11" customFormat="1" ht="15" customHeight="1"/>
    <row r="176" s="11" customFormat="1" ht="15" customHeight="1"/>
    <row r="177" s="11" customFormat="1" ht="15" customHeight="1"/>
    <row r="178" s="11" customFormat="1" ht="15" customHeight="1"/>
    <row r="179" s="11" customFormat="1" ht="15" customHeight="1"/>
    <row r="180" s="11" customFormat="1" ht="15" customHeight="1"/>
    <row r="181" s="11" customFormat="1" ht="15" customHeight="1"/>
    <row r="182" s="11" customFormat="1" ht="15" customHeight="1"/>
    <row r="183" s="11" customFormat="1" ht="15" customHeight="1"/>
    <row r="184" s="11" customFormat="1" ht="15" customHeight="1"/>
    <row r="185" s="11" customFormat="1" ht="15" customHeight="1"/>
  </sheetData>
  <mergeCells count="2">
    <mergeCell ref="B3:H3"/>
    <mergeCell ref="C5:I5"/>
  </mergeCells>
  <phoneticPr fontId="25" type="noConversion"/>
  <printOptions horizontalCentered="1"/>
  <pageMargins left="0.70833333333333304" right="0.70833333333333304" top="1.37777777777778" bottom="0.7479166666666670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AA84"/>
  </sheetPr>
  <dimension ref="A1:W86"/>
  <sheetViews>
    <sheetView zoomScaleNormal="100" workbookViewId="0">
      <selection activeCell="P37" sqref="P37"/>
    </sheetView>
  </sheetViews>
  <sheetFormatPr defaultColWidth="8.8984375" defaultRowHeight="13.2"/>
  <cols>
    <col min="1" max="1" width="9.796875" style="55" customWidth="1"/>
    <col min="2" max="2" width="6.59765625" style="56" customWidth="1"/>
    <col min="3" max="3" width="12.59765625" style="56" customWidth="1"/>
    <col min="4" max="13" width="8.796875" style="56" customWidth="1"/>
    <col min="14" max="23" width="8.8984375" style="55"/>
    <col min="24" max="16384" width="8.8984375" style="56"/>
  </cols>
  <sheetData>
    <row r="1" spans="1:23" s="55" customFormat="1" ht="15" customHeight="1"/>
    <row r="2" spans="1:23" s="55" customFormat="1" ht="15" customHeight="1"/>
    <row r="3" spans="1:23" s="11" customFormat="1" ht="22.5" customHeight="1">
      <c r="B3" s="124" t="s">
        <v>43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52"/>
      <c r="O3" s="52"/>
      <c r="P3" s="52"/>
      <c r="Q3" s="52"/>
      <c r="R3" s="52"/>
      <c r="S3" s="52"/>
    </row>
    <row r="4" spans="1:23" s="11" customFormat="1" ht="15" customHeight="1">
      <c r="M4" s="11" t="s">
        <v>30</v>
      </c>
      <c r="N4" s="98" t="s">
        <v>44</v>
      </c>
    </row>
    <row r="5" spans="1:23" ht="15" customHeight="1">
      <c r="B5" s="57" t="str">
        <f>피벗값_구분!B4</f>
        <v>(1~5월)</v>
      </c>
      <c r="C5" s="34"/>
      <c r="D5" s="125" t="s">
        <v>4</v>
      </c>
      <c r="E5" s="125"/>
      <c r="F5" s="125" t="s">
        <v>5</v>
      </c>
      <c r="G5" s="125"/>
      <c r="H5" s="125" t="s">
        <v>6</v>
      </c>
      <c r="I5" s="125"/>
      <c r="J5" s="125" t="s">
        <v>7</v>
      </c>
      <c r="K5" s="125"/>
      <c r="L5" s="130" t="s">
        <v>8</v>
      </c>
      <c r="M5" s="130"/>
    </row>
    <row r="6" spans="1:23" s="60" customFormat="1" ht="15" customHeight="1">
      <c r="A6" s="58"/>
      <c r="B6" s="101" t="s">
        <v>21</v>
      </c>
      <c r="C6" s="102" t="s">
        <v>32</v>
      </c>
      <c r="D6" s="101">
        <v>2025</v>
      </c>
      <c r="E6" s="59">
        <v>2026</v>
      </c>
      <c r="F6" s="101">
        <v>2025</v>
      </c>
      <c r="G6" s="59">
        <v>2026</v>
      </c>
      <c r="H6" s="101">
        <v>2025</v>
      </c>
      <c r="I6" s="59">
        <v>2026</v>
      </c>
      <c r="J6" s="101">
        <v>2025</v>
      </c>
      <c r="K6" s="59">
        <v>2026</v>
      </c>
      <c r="L6" s="102">
        <v>2025</v>
      </c>
      <c r="M6" s="59">
        <v>2026</v>
      </c>
      <c r="N6" s="58"/>
      <c r="O6" s="58"/>
      <c r="P6" s="58"/>
      <c r="Q6" s="58"/>
      <c r="R6" s="58"/>
      <c r="S6" s="58"/>
      <c r="T6" s="58"/>
      <c r="U6" s="58"/>
      <c r="V6" s="58"/>
      <c r="W6" s="58"/>
    </row>
    <row r="7" spans="1:23" ht="15.75" customHeight="1">
      <c r="A7" s="55" t="s">
        <v>222</v>
      </c>
      <c r="B7" s="61" t="str">
        <f>IFERROR(INDEX(구분!$B:$B,MATCH(1,구분!$G:$G,0)),"")</f>
        <v>00143</v>
      </c>
      <c r="C7" s="103" t="str">
        <f>IFERROR(VLOOKUP(B7,구분!$B:$C,2,0),"")</f>
        <v>롯데잠실캐슬프라자점</v>
      </c>
      <c r="D7" s="20">
        <f>IFERROR(IF(B7="",0,SUMIFS(표1[매출금액],표1[매장코드],B7,표1[년],피벗값_구분!$X$2,표1[월],"&gt;="&amp;피벗값_구분!$X$4,표1[월],"&lt;="&amp;피벗값_구분!$X$5)),0)</f>
        <v>0</v>
      </c>
      <c r="E7" s="25">
        <f>IFERROR(IF(B7="",0,SUMIFS(표1[매출금액],표1[매장코드],B7,표1[년],피벗값_구분!$X$3,표1[월],"&gt;="&amp;피벗값_구분!$X$4,표1[월],"&lt;="&amp;피벗값_구분!$X$5)),0)</f>
        <v>22855800</v>
      </c>
      <c r="F7" s="20">
        <f>IFERROR(IF(B7="",0,SUMIFS(표1[수금액(V+)],표1[매장코드],B7,표1[년],피벗값_구분!$X$2,표1[월],"&gt;="&amp;피벗값_구분!$X$4,표1[월],"&lt;="&amp;피벗값_구분!$X$5)),0)</f>
        <v>0</v>
      </c>
      <c r="G7" s="25">
        <f>IFERROR(IF(B7="",0,SUMIFS(표1[수금액(V+)],표1[매장코드],B7,표1[년],피벗값_구분!$X$3,표1[월],"&gt;="&amp;피벗값_구분!$X$4,표1[월],"&lt;="&amp;피벗값_구분!$X$5)),0)</f>
        <v>16456176</v>
      </c>
      <c r="H7" s="20">
        <f>IFERROR(IF(B7="",0,SUMIFS(표1[생산원가(V-)],표1[매장코드],B7,표1[년],피벗값_구분!$X$2,표1[월],"&gt;="&amp;피벗값_구분!$X$4,표1[월],"&lt;="&amp;피벗값_구분!$X$5)),0)</f>
        <v>0</v>
      </c>
      <c r="I7" s="25">
        <f>IFERROR(IF(B7="",0,SUMIFS(표1[생산원가(V-)],표1[매장코드],B7,표1[년],피벗값_구분!$X$3,표1[월],"&gt;="&amp;피벗값_구분!$X$4,표1[월],"&lt;="&amp;피벗값_구분!$X$5)),0)</f>
        <v>6568002</v>
      </c>
      <c r="J7" s="20">
        <f>IFERROR(IF(B7="",0,SUMIFS(표1[총경비],표1[매장코드],B7,표1[년],피벗값_구분!$X$2,표1[월],"&gt;="&amp;피벗값_구분!$X$4,표1[월],"&lt;="&amp;피벗값_구분!$X$5)),0)</f>
        <v>0</v>
      </c>
      <c r="K7" s="25">
        <f>IFERROR(IF(B7="",0,SUMIFS(표1[총경비],표1[매장코드],B7,표1[년],피벗값_구분!$X$3,표1[월],"&gt;="&amp;피벗값_구분!$X$4,표1[월],"&lt;="&amp;피벗값_구분!$X$5)),0)</f>
        <v>2000000</v>
      </c>
      <c r="L7" s="21">
        <f>IFERROR(IF(B7="",0,SUMIFS(표1[영업이익(V-)],표1[매장코드],B7,표1[년],피벗값_구분!$X$2,표1[월],"&gt;="&amp;피벗값_구분!$X$4,표1[월],"&lt;="&amp;피벗값_구분!$X$5)),0)</f>
        <v>0</v>
      </c>
      <c r="M7" s="25">
        <f>IFERROR(IF(B7="",0,SUMIFS(표1[영업이익(V-)],표1[매장코드],B7,표1[년],피벗값_구분!$X$3,표1[월],"&gt;="&amp;피벗값_구분!$X$4,표1[월],"&lt;="&amp;피벗값_구분!$X$5)),0)</f>
        <v>8392158</v>
      </c>
    </row>
    <row r="8" spans="1:23" ht="15.75" customHeight="1">
      <c r="A8" s="55" t="s">
        <v>231</v>
      </c>
      <c r="B8" s="61" t="str">
        <f>IFERROR(INDEX(구분!$B:$B,MATCH(2,구분!$G:$G,0)),"")</f>
        <v>00207</v>
      </c>
      <c r="C8" s="103" t="str">
        <f>IFERROR(VLOOKUP(B8,구분!$B:$C,2,0),"")</f>
        <v>현대압구정본점</v>
      </c>
      <c r="D8" s="20">
        <f>IFERROR(IF(B8="",0,SUMIFS(표1[매출금액],표1[매장코드],B8,표1[년],피벗값_구분!$X$2,표1[월],"&gt;="&amp;피벗값_구분!$X$4,표1[월],"&lt;="&amp;피벗값_구분!$X$5)),0)</f>
        <v>0</v>
      </c>
      <c r="E8" s="25">
        <f>IFERROR(IF(B8="",0,SUMIFS(표1[매출금액],표1[매장코드],B8,표1[년],피벗값_구분!$X$3,표1[월],"&gt;="&amp;피벗값_구분!$X$4,표1[월],"&lt;="&amp;피벗값_구분!$X$5)),0)</f>
        <v>88476300</v>
      </c>
      <c r="F8" s="20">
        <f>IFERROR(IF(B8="",0,SUMIFS(표1[수금액(V+)],표1[매장코드],B8,표1[년],피벗값_구분!$X$2,표1[월],"&gt;="&amp;피벗값_구분!$X$4,표1[월],"&lt;="&amp;피벗값_구분!$X$5)),0)</f>
        <v>0</v>
      </c>
      <c r="G8" s="25">
        <f>IFERROR(IF(B8="",0,SUMIFS(표1[수금액(V+)],표1[매장코드],B8,표1[년],피벗값_구분!$X$3,표1[월],"&gt;="&amp;피벗값_구분!$X$4,표1[월],"&lt;="&amp;피벗값_구분!$X$5)),0)</f>
        <v>58394358</v>
      </c>
      <c r="H8" s="20">
        <f>IFERROR(IF(B8="",0,SUMIFS(표1[생산원가(V-)],표1[매장코드],B8,표1[년],피벗값_구분!$X$2,표1[월],"&gt;="&amp;피벗값_구분!$X$4,표1[월],"&lt;="&amp;피벗값_구분!$X$5)),0)</f>
        <v>0</v>
      </c>
      <c r="I8" s="25">
        <f>IFERROR(IF(B8="",0,SUMIFS(표1[생산원가(V-)],표1[매장코드],B8,표1[년],피벗값_구분!$X$3,표1[월],"&gt;="&amp;피벗값_구분!$X$4,표1[월],"&lt;="&amp;피벗값_구분!$X$5)),0)</f>
        <v>21863772</v>
      </c>
      <c r="J8" s="20">
        <f>IFERROR(IF(B8="",0,SUMIFS(표1[총경비],표1[매장코드],B8,표1[년],피벗값_구분!$X$2,표1[월],"&gt;="&amp;피벗값_구분!$X$4,표1[월],"&lt;="&amp;피벗값_구분!$X$5)),0)</f>
        <v>0</v>
      </c>
      <c r="K8" s="25">
        <f>IFERROR(IF(B8="",0,SUMIFS(표1[총경비],표1[매장코드],B8,표1[년],피벗값_구분!$X$3,표1[월],"&gt;="&amp;피벗값_구분!$X$4,표1[월],"&lt;="&amp;피벗값_구분!$X$5)),0)</f>
        <v>120000</v>
      </c>
      <c r="L8" s="21">
        <f>IFERROR(IF(B8="",0,SUMIFS(표1[영업이익(V-)],표1[매장코드],B8,표1[년],피벗값_구분!$X$2,표1[월],"&gt;="&amp;피벗값_구분!$X$4,표1[월],"&lt;="&amp;피벗값_구분!$X$5)),0)</f>
        <v>0</v>
      </c>
      <c r="M8" s="25">
        <f>IFERROR(IF(B8="",0,SUMIFS(표1[영업이익(V-)],표1[매장코드],B8,표1[년],피벗값_구분!$X$3,표1[월],"&gt;="&amp;피벗값_구분!$X$4,표1[월],"&lt;="&amp;피벗값_구분!$X$5)),0)</f>
        <v>31222008</v>
      </c>
    </row>
    <row r="9" spans="1:23" ht="15" customHeight="1">
      <c r="A9" s="55" t="s">
        <v>233</v>
      </c>
      <c r="B9" s="61" t="str">
        <f>IFERROR(INDEX(구분!$B:$B,MATCH(3,구분!$G:$G,0)),"")</f>
        <v>05008</v>
      </c>
      <c r="C9" s="103" t="str">
        <f>IFERROR(VLOOKUP(B9,구분!$B:$C,2,0),"")</f>
        <v>롯데아울렛기흥점</v>
      </c>
      <c r="D9" s="20">
        <f>IFERROR(IF(B9="",0,SUMIFS(표1[매출금액],표1[매장코드],B9,표1[년],피벗값_구분!$X$2,표1[월],"&gt;="&amp;피벗값_구분!$X$4,표1[월],"&lt;="&amp;피벗값_구분!$X$5)),0)</f>
        <v>51781440</v>
      </c>
      <c r="E9" s="25">
        <f>IFERROR(IF(B9="",0,SUMIFS(표1[매출금액],표1[매장코드],B9,표1[년],피벗값_구분!$X$3,표1[월],"&gt;="&amp;피벗값_구분!$X$4,표1[월],"&lt;="&amp;피벗값_구분!$X$5)),0)</f>
        <v>0</v>
      </c>
      <c r="F9" s="20">
        <f>IFERROR(IF(B9="",0,SUMIFS(표1[수금액(V+)],표1[매장코드],B9,표1[년],피벗값_구분!$X$2,표1[월],"&gt;="&amp;피벗값_구분!$X$4,표1[월],"&lt;="&amp;피벗값_구분!$X$5)),0)</f>
        <v>39612855</v>
      </c>
      <c r="G9" s="25">
        <f>IFERROR(IF(B9="",0,SUMIFS(표1[수금액(V+)],표1[매장코드],B9,표1[년],피벗값_구분!$X$3,표1[월],"&gt;="&amp;피벗값_구분!$X$4,표1[월],"&lt;="&amp;피벗값_구분!$X$5)),0)</f>
        <v>0</v>
      </c>
      <c r="H9" s="20">
        <f>IFERROR(IF(B9="",0,SUMIFS(표1[생산원가(V-)],표1[매장코드],B9,표1[년],피벗값_구분!$X$2,표1[월],"&gt;="&amp;피벗값_구분!$X$4,표1[월],"&lt;="&amp;피벗값_구분!$X$5)),0)</f>
        <v>16155346</v>
      </c>
      <c r="I9" s="25">
        <f>IFERROR(IF(B9="",0,SUMIFS(표1[생산원가(V-)],표1[매장코드],B9,표1[년],피벗값_구분!$X$3,표1[월],"&gt;="&amp;피벗값_구분!$X$4,표1[월],"&lt;="&amp;피벗값_구분!$X$5)),0)</f>
        <v>0</v>
      </c>
      <c r="J9" s="20">
        <f>IFERROR(IF(B9="",0,SUMIFS(표1[총경비],표1[매장코드],B9,표1[년],피벗값_구분!$X$2,표1[월],"&gt;="&amp;피벗값_구분!$X$4,표1[월],"&lt;="&amp;피벗값_구분!$X$5)),0)</f>
        <v>7987030</v>
      </c>
      <c r="K9" s="25">
        <f>IFERROR(IF(B9="",0,SUMIFS(표1[총경비],표1[매장코드],B9,표1[년],피벗값_구분!$X$3,표1[월],"&gt;="&amp;피벗값_구분!$X$4,표1[월],"&lt;="&amp;피벗값_구분!$X$5)),0)</f>
        <v>0</v>
      </c>
      <c r="L9" s="21">
        <f>IFERROR(IF(B9="",0,SUMIFS(표1[영업이익(V-)],표1[매장코드],B9,표1[년],피벗값_구분!$X$2,표1[월],"&gt;="&amp;피벗값_구분!$X$4,표1[월],"&lt;="&amp;피벗값_구분!$X$5)),0)</f>
        <v>19856341</v>
      </c>
      <c r="M9" s="25">
        <f>IFERROR(IF(B9="",0,SUMIFS(표1[영업이익(V-)],표1[매장코드],B9,표1[년],피벗값_구분!$X$3,표1[월],"&gt;="&amp;피벗값_구분!$X$4,표1[월],"&lt;="&amp;피벗값_구분!$X$5)),0)</f>
        <v>0</v>
      </c>
    </row>
    <row r="10" spans="1:23" s="55" customFormat="1" ht="15" customHeight="1">
      <c r="A10" s="55" t="s">
        <v>232</v>
      </c>
      <c r="B10" s="61" t="str">
        <f>IFERROR(INDEX(구분!$B:$B,MATCH(4,구분!$G:$G,0)),"")</f>
        <v>05553</v>
      </c>
      <c r="C10" s="103" t="str">
        <f>IFERROR(VLOOKUP(B10,구분!$B:$C,2,0),"")</f>
        <v>신세계아울렛부산점</v>
      </c>
      <c r="D10" s="20">
        <f>IFERROR(IF(B10="",0,SUMIFS(표1[매출금액],표1[매장코드],B10,표1[년],피벗값_구분!$X$2,표1[월],"&gt;="&amp;피벗값_구분!$X$4,표1[월],"&lt;="&amp;피벗값_구분!$X$5)),0)</f>
        <v>0</v>
      </c>
      <c r="E10" s="25">
        <f>IFERROR(IF(B10="",0,SUMIFS(표1[매출금액],표1[매장코드],B10,표1[년],피벗값_구분!$X$3,표1[월],"&gt;="&amp;피벗값_구분!$X$4,표1[월],"&lt;="&amp;피벗값_구분!$X$5)),0)</f>
        <v>15070530</v>
      </c>
      <c r="F10" s="20">
        <f>IFERROR(IF(B10="",0,SUMIFS(표1[수금액(V+)],표1[매장코드],B10,표1[년],피벗값_구분!$X$2,표1[월],"&gt;="&amp;피벗값_구분!$X$4,표1[월],"&lt;="&amp;피벗값_구분!$X$5)),0)</f>
        <v>0</v>
      </c>
      <c r="G10" s="25">
        <f>IFERROR(IF(B10="",0,SUMIFS(표1[수금액(V+)],표1[매장코드],B10,표1[년],피벗값_구분!$X$3,표1[월],"&gt;="&amp;피벗값_구분!$X$4,표1[월],"&lt;="&amp;피벗값_구분!$X$5)),0)</f>
        <v>12659254</v>
      </c>
      <c r="H10" s="20">
        <f>IFERROR(IF(B10="",0,SUMIFS(표1[생산원가(V-)],표1[매장코드],B10,표1[년],피벗값_구분!$X$2,표1[월],"&gt;="&amp;피벗값_구분!$X$4,표1[월],"&lt;="&amp;피벗값_구분!$X$5)),0)</f>
        <v>0</v>
      </c>
      <c r="I10" s="25">
        <f>IFERROR(IF(B10="",0,SUMIFS(표1[생산원가(V-)],표1[매장코드],B10,표1[년],피벗값_구분!$X$3,표1[월],"&gt;="&amp;피벗값_구분!$X$4,표1[월],"&lt;="&amp;피벗값_구분!$X$5)),0)</f>
        <v>5285041</v>
      </c>
      <c r="J10" s="20">
        <f>IFERROR(IF(B10="",0,SUMIFS(표1[총경비],표1[매장코드],B10,표1[년],피벗값_구분!$X$2,표1[월],"&gt;="&amp;피벗값_구분!$X$4,표1[월],"&lt;="&amp;피벗값_구분!$X$5)),0)</f>
        <v>0</v>
      </c>
      <c r="K10" s="25">
        <f>IFERROR(IF(B10="",0,SUMIFS(표1[총경비],표1[매장코드],B10,표1[년],피벗값_구분!$X$3,표1[월],"&gt;="&amp;피벗값_구분!$X$4,표1[월],"&lt;="&amp;피벗값_구분!$X$5)),0)</f>
        <v>2520000</v>
      </c>
      <c r="L10" s="21">
        <f>IFERROR(IF(B10="",0,SUMIFS(표1[영업이익(V-)],표1[매장코드],B10,표1[년],피벗값_구분!$X$2,표1[월],"&gt;="&amp;피벗값_구분!$X$4,표1[월],"&lt;="&amp;피벗값_구분!$X$5)),0)</f>
        <v>0</v>
      </c>
      <c r="M10" s="25">
        <f>IFERROR(IF(B10="",0,SUMIFS(표1[영업이익(V-)],표1[매장코드],B10,표1[년],피벗값_구분!$X$3,표1[월],"&gt;="&amp;피벗값_구분!$X$4,표1[월],"&lt;="&amp;피벗값_구분!$X$5)),0)</f>
        <v>6223372</v>
      </c>
    </row>
    <row r="11" spans="1:23" s="55" customFormat="1" ht="15" hidden="1" customHeight="1">
      <c r="B11" s="55" t="str">
        <f>IFERROR(INDEX(구분!$B:$B,MATCH(5,구분!$G:$G,0)),"")</f>
        <v/>
      </c>
      <c r="C11" s="55" t="str">
        <f>IFERROR(VLOOKUP(B11,구분!$B:$C,2,0),"")</f>
        <v/>
      </c>
      <c r="D11" s="55">
        <f>IFERROR(IF(B11="",0,SUMIFS(표1[매출금액],표1[매장코드],B11,표1[년],피벗값_구분!$X$2,표1[월],"&gt;="&amp;피벗값_구분!$X$4,표1[월],"&lt;="&amp;피벗값_구분!$X$5)),0)</f>
        <v>0</v>
      </c>
      <c r="E11" s="55">
        <f>IFERROR(IF(B11="",0,SUMIFS(표1[매출금액],표1[매장코드],B11,표1[년],피벗값_구분!$X$3,표1[월],"&gt;="&amp;피벗값_구분!$X$4,표1[월],"&lt;="&amp;피벗값_구분!$X$5)),0)</f>
        <v>0</v>
      </c>
      <c r="F11" s="55">
        <f>IFERROR(IF(B11="",0,SUMIFS(표1[수금액(V+)],표1[매장코드],B11,표1[년],피벗값_구분!$X$2,표1[월],"&gt;="&amp;피벗값_구분!$X$4,표1[월],"&lt;="&amp;피벗값_구분!$X$5)),0)</f>
        <v>0</v>
      </c>
      <c r="G11" s="55">
        <f>IFERROR(IF(B11="",0,SUMIFS(표1[수금액(V+)],표1[매장코드],B11,표1[년],피벗값_구분!$X$3,표1[월],"&gt;="&amp;피벗값_구분!$X$4,표1[월],"&lt;="&amp;피벗값_구분!$X$5)),0)</f>
        <v>0</v>
      </c>
      <c r="H11" s="55">
        <f>IFERROR(IF(B11="",0,SUMIFS(표1[생산원가(V-)],표1[매장코드],B11,표1[년],피벗값_구분!$X$2,표1[월],"&gt;="&amp;피벗값_구분!$X$4,표1[월],"&lt;="&amp;피벗값_구분!$X$5)),0)</f>
        <v>0</v>
      </c>
      <c r="I11" s="55">
        <f>IFERROR(IF(B11="",0,SUMIFS(표1[생산원가(V-)],표1[매장코드],B11,표1[년],피벗값_구분!$X$3,표1[월],"&gt;="&amp;피벗값_구분!$X$4,표1[월],"&lt;="&amp;피벗값_구분!$X$5)),0)</f>
        <v>0</v>
      </c>
      <c r="J11" s="55">
        <f>IFERROR(IF(B11="",0,SUMIFS(표1[총경비],표1[매장코드],B11,표1[년],피벗값_구분!$X$2,표1[월],"&gt;="&amp;피벗값_구분!$X$4,표1[월],"&lt;="&amp;피벗값_구분!$X$5)),0)</f>
        <v>0</v>
      </c>
      <c r="K11" s="55">
        <f>IFERROR(IF(B11="",0,SUMIFS(표1[총경비],표1[매장코드],B11,표1[년],피벗값_구분!$X$3,표1[월],"&gt;="&amp;피벗값_구분!$X$4,표1[월],"&lt;="&amp;피벗값_구분!$X$5)),0)</f>
        <v>0</v>
      </c>
      <c r="L11" s="55">
        <f>IFERROR(IF(B11="",0,SUMIFS(표1[영업이익(V-)],표1[매장코드],B11,표1[년],피벗값_구분!$X$2,표1[월],"&gt;="&amp;피벗값_구분!$X$4,표1[월],"&lt;="&amp;피벗값_구분!$X$5)),0)</f>
        <v>0</v>
      </c>
      <c r="M11" s="55">
        <f>IFERROR(IF(B11="",0,SUMIFS(표1[영업이익(V-)],표1[매장코드],B11,표1[년],피벗값_구분!$X$3,표1[월],"&gt;="&amp;피벗값_구분!$X$4,표1[월],"&lt;="&amp;피벗값_구분!$X$5)),0)</f>
        <v>0</v>
      </c>
    </row>
    <row r="12" spans="1:23" s="55" customFormat="1" ht="15" hidden="1" customHeight="1">
      <c r="B12" s="55" t="str">
        <f>IFERROR(INDEX(구분!$B:$B,MATCH(6,구분!$G:$G,0)),"")</f>
        <v/>
      </c>
      <c r="C12" s="55" t="str">
        <f>IFERROR(VLOOKUP(B12,구분!$B:$C,2,0),"")</f>
        <v/>
      </c>
      <c r="D12" s="55">
        <f>IFERROR(IF(B12="",0,SUMIFS(표1[매출금액],표1[매장코드],B12,표1[년],피벗값_구분!$X$2,표1[월],"&gt;="&amp;피벗값_구분!$X$4,표1[월],"&lt;="&amp;피벗값_구분!$X$5)),0)</f>
        <v>0</v>
      </c>
      <c r="E12" s="55">
        <f>IFERROR(IF(B12="",0,SUMIFS(표1[매출금액],표1[매장코드],B12,표1[년],피벗값_구분!$X$3,표1[월],"&gt;="&amp;피벗값_구분!$X$4,표1[월],"&lt;="&amp;피벗값_구분!$X$5)),0)</f>
        <v>0</v>
      </c>
      <c r="F12" s="55">
        <f>IFERROR(IF(B12="",0,SUMIFS(표1[수금액(V+)],표1[매장코드],B12,표1[년],피벗값_구분!$X$2,표1[월],"&gt;="&amp;피벗값_구분!$X$4,표1[월],"&lt;="&amp;피벗값_구분!$X$5)),0)</f>
        <v>0</v>
      </c>
      <c r="G12" s="55">
        <f>IFERROR(IF(B12="",0,SUMIFS(표1[수금액(V+)],표1[매장코드],B12,표1[년],피벗값_구분!$X$3,표1[월],"&gt;="&amp;피벗값_구분!$X$4,표1[월],"&lt;="&amp;피벗값_구분!$X$5)),0)</f>
        <v>0</v>
      </c>
      <c r="H12" s="55">
        <f>IFERROR(IF(B12="",0,SUMIFS(표1[생산원가(V-)],표1[매장코드],B12,표1[년],피벗값_구분!$X$2,표1[월],"&gt;="&amp;피벗값_구분!$X$4,표1[월],"&lt;="&amp;피벗값_구분!$X$5)),0)</f>
        <v>0</v>
      </c>
      <c r="I12" s="55">
        <f>IFERROR(IF(B12="",0,SUMIFS(표1[생산원가(V-)],표1[매장코드],B12,표1[년],피벗값_구분!$X$3,표1[월],"&gt;="&amp;피벗값_구분!$X$4,표1[월],"&lt;="&amp;피벗값_구분!$X$5)),0)</f>
        <v>0</v>
      </c>
      <c r="J12" s="55">
        <f>IFERROR(IF(B12="",0,SUMIFS(표1[총경비],표1[매장코드],B12,표1[년],피벗값_구분!$X$2,표1[월],"&gt;="&amp;피벗값_구분!$X$4,표1[월],"&lt;="&amp;피벗값_구분!$X$5)),0)</f>
        <v>0</v>
      </c>
      <c r="K12" s="55">
        <f>IFERROR(IF(B12="",0,SUMIFS(표1[총경비],표1[매장코드],B12,표1[년],피벗값_구분!$X$3,표1[월],"&gt;="&amp;피벗값_구분!$X$4,표1[월],"&lt;="&amp;피벗값_구분!$X$5)),0)</f>
        <v>0</v>
      </c>
      <c r="L12" s="55">
        <f>IFERROR(IF(B12="",0,SUMIFS(표1[영업이익(V-)],표1[매장코드],B12,표1[년],피벗값_구분!$X$2,표1[월],"&gt;="&amp;피벗값_구분!$X$4,표1[월],"&lt;="&amp;피벗값_구분!$X$5)),0)</f>
        <v>0</v>
      </c>
      <c r="M12" s="55">
        <f>IFERROR(IF(B12="",0,SUMIFS(표1[영업이익(V-)],표1[매장코드],B12,표1[년],피벗값_구분!$X$3,표1[월],"&gt;="&amp;피벗값_구분!$X$4,표1[월],"&lt;="&amp;피벗값_구분!$X$5)),0)</f>
        <v>0</v>
      </c>
    </row>
    <row r="13" spans="1:23" s="55" customFormat="1" ht="15" hidden="1" customHeight="1">
      <c r="B13" s="55" t="str">
        <f>IFERROR(INDEX(구분!$B:$B,MATCH(7,구분!$G:$G,0)),"")</f>
        <v/>
      </c>
      <c r="C13" s="55" t="str">
        <f>IFERROR(VLOOKUP(B13,구분!$B:$C,2,0),"")</f>
        <v/>
      </c>
      <c r="D13" s="55">
        <f>IFERROR(IF(B13="",0,SUMIFS(표1[매출금액],표1[매장코드],B13,표1[년],피벗값_구분!$X$2,표1[월],"&gt;="&amp;피벗값_구분!$X$4,표1[월],"&lt;="&amp;피벗값_구분!$X$5)),0)</f>
        <v>0</v>
      </c>
      <c r="E13" s="55">
        <f>IFERROR(IF(B13="",0,SUMIFS(표1[매출금액],표1[매장코드],B13,표1[년],피벗값_구분!$X$3,표1[월],"&gt;="&amp;피벗값_구분!$X$4,표1[월],"&lt;="&amp;피벗값_구분!$X$5)),0)</f>
        <v>0</v>
      </c>
      <c r="F13" s="55">
        <f>IFERROR(IF(B13="",0,SUMIFS(표1[수금액(V+)],표1[매장코드],B13,표1[년],피벗값_구분!$X$2,표1[월],"&gt;="&amp;피벗값_구분!$X$4,표1[월],"&lt;="&amp;피벗값_구분!$X$5)),0)</f>
        <v>0</v>
      </c>
      <c r="G13" s="55">
        <f>IFERROR(IF(B13="",0,SUMIFS(표1[수금액(V+)],표1[매장코드],B13,표1[년],피벗값_구분!$X$3,표1[월],"&gt;="&amp;피벗값_구분!$X$4,표1[월],"&lt;="&amp;피벗값_구분!$X$5)),0)</f>
        <v>0</v>
      </c>
      <c r="H13" s="55">
        <f>IFERROR(IF(B13="",0,SUMIFS(표1[생산원가(V-)],표1[매장코드],B13,표1[년],피벗값_구분!$X$2,표1[월],"&gt;="&amp;피벗값_구분!$X$4,표1[월],"&lt;="&amp;피벗값_구분!$X$5)),0)</f>
        <v>0</v>
      </c>
      <c r="I13" s="55">
        <f>IFERROR(IF(B13="",0,SUMIFS(표1[생산원가(V-)],표1[매장코드],B13,표1[년],피벗값_구분!$X$3,표1[월],"&gt;="&amp;피벗값_구분!$X$4,표1[월],"&lt;="&amp;피벗값_구분!$X$5)),0)</f>
        <v>0</v>
      </c>
      <c r="J13" s="55">
        <f>IFERROR(IF(B13="",0,SUMIFS(표1[총경비],표1[매장코드],B13,표1[년],피벗값_구분!$X$2,표1[월],"&gt;="&amp;피벗값_구분!$X$4,표1[월],"&lt;="&amp;피벗값_구분!$X$5)),0)</f>
        <v>0</v>
      </c>
      <c r="K13" s="55">
        <f>IFERROR(IF(B13="",0,SUMIFS(표1[총경비],표1[매장코드],B13,표1[년],피벗값_구분!$X$3,표1[월],"&gt;="&amp;피벗값_구분!$X$4,표1[월],"&lt;="&amp;피벗값_구분!$X$5)),0)</f>
        <v>0</v>
      </c>
      <c r="L13" s="55">
        <f>IFERROR(IF(B13="",0,SUMIFS(표1[영업이익(V-)],표1[매장코드],B13,표1[년],피벗값_구분!$X$2,표1[월],"&gt;="&amp;피벗값_구분!$X$4,표1[월],"&lt;="&amp;피벗값_구분!$X$5)),0)</f>
        <v>0</v>
      </c>
      <c r="M13" s="55">
        <f>IFERROR(IF(B13="",0,SUMIFS(표1[영업이익(V-)],표1[매장코드],B13,표1[년],피벗값_구분!$X$3,표1[월],"&gt;="&amp;피벗값_구분!$X$4,표1[월],"&lt;="&amp;피벗값_구분!$X$5)),0)</f>
        <v>0</v>
      </c>
    </row>
    <row r="14" spans="1:23" s="55" customFormat="1" ht="15" hidden="1" customHeight="1">
      <c r="B14" s="55" t="str">
        <f>IFERROR(INDEX(구분!$B:$B,MATCH(8,구분!$G:$G,0)),"")</f>
        <v/>
      </c>
      <c r="C14" s="55" t="str">
        <f>IFERROR(VLOOKUP(B14,구분!$B:$C,2,0),"")</f>
        <v/>
      </c>
      <c r="D14" s="55">
        <f>IFERROR(IF(B14="",0,SUMIFS(표1[매출금액],표1[매장코드],B14,표1[년],피벗값_구분!$X$2,표1[월],"&gt;="&amp;피벗값_구분!$X$4,표1[월],"&lt;="&amp;피벗값_구분!$X$5)),0)</f>
        <v>0</v>
      </c>
      <c r="E14" s="55">
        <f>IFERROR(IF(B14="",0,SUMIFS(표1[매출금액],표1[매장코드],B14,표1[년],피벗값_구분!$X$3,표1[월],"&gt;="&amp;피벗값_구분!$X$4,표1[월],"&lt;="&amp;피벗값_구분!$X$5)),0)</f>
        <v>0</v>
      </c>
      <c r="F14" s="55">
        <f>IFERROR(IF(B14="",0,SUMIFS(표1[수금액(V+)],표1[매장코드],B14,표1[년],피벗값_구분!$X$2,표1[월],"&gt;="&amp;피벗값_구분!$X$4,표1[월],"&lt;="&amp;피벗값_구분!$X$5)),0)</f>
        <v>0</v>
      </c>
      <c r="G14" s="55">
        <f>IFERROR(IF(B14="",0,SUMIFS(표1[수금액(V+)],표1[매장코드],B14,표1[년],피벗값_구분!$X$3,표1[월],"&gt;="&amp;피벗값_구분!$X$4,표1[월],"&lt;="&amp;피벗값_구분!$X$5)),0)</f>
        <v>0</v>
      </c>
      <c r="H14" s="55">
        <f>IFERROR(IF(B14="",0,SUMIFS(표1[생산원가(V-)],표1[매장코드],B14,표1[년],피벗값_구분!$X$2,표1[월],"&gt;="&amp;피벗값_구분!$X$4,표1[월],"&lt;="&amp;피벗값_구분!$X$5)),0)</f>
        <v>0</v>
      </c>
      <c r="I14" s="55">
        <f>IFERROR(IF(B14="",0,SUMIFS(표1[생산원가(V-)],표1[매장코드],B14,표1[년],피벗값_구분!$X$3,표1[월],"&gt;="&amp;피벗값_구분!$X$4,표1[월],"&lt;="&amp;피벗값_구분!$X$5)),0)</f>
        <v>0</v>
      </c>
      <c r="J14" s="55">
        <f>IFERROR(IF(B14="",0,SUMIFS(표1[총경비],표1[매장코드],B14,표1[년],피벗값_구분!$X$2,표1[월],"&gt;="&amp;피벗값_구분!$X$4,표1[월],"&lt;="&amp;피벗값_구분!$X$5)),0)</f>
        <v>0</v>
      </c>
      <c r="K14" s="55">
        <f>IFERROR(IF(B14="",0,SUMIFS(표1[총경비],표1[매장코드],B14,표1[년],피벗값_구분!$X$3,표1[월],"&gt;="&amp;피벗값_구분!$X$4,표1[월],"&lt;="&amp;피벗값_구분!$X$5)),0)</f>
        <v>0</v>
      </c>
      <c r="L14" s="55">
        <f>IFERROR(IF(B14="",0,SUMIFS(표1[영업이익(V-)],표1[매장코드],B14,표1[년],피벗값_구분!$X$2,표1[월],"&gt;="&amp;피벗값_구분!$X$4,표1[월],"&lt;="&amp;피벗값_구분!$X$5)),0)</f>
        <v>0</v>
      </c>
      <c r="M14" s="55">
        <f>IFERROR(IF(B14="",0,SUMIFS(표1[영업이익(V-)],표1[매장코드],B14,표1[년],피벗값_구분!$X$3,표1[월],"&gt;="&amp;피벗값_구분!$X$4,표1[월],"&lt;="&amp;피벗값_구분!$X$5)),0)</f>
        <v>0</v>
      </c>
    </row>
    <row r="15" spans="1:23" s="55" customFormat="1" ht="15" hidden="1" customHeight="1">
      <c r="B15" s="55" t="str">
        <f>IFERROR(INDEX(구분!$B:$B,MATCH(9,구분!$G:$G,0)),"")</f>
        <v/>
      </c>
      <c r="C15" s="55" t="str">
        <f>IFERROR(VLOOKUP(B15,구분!$B:$C,2,0),"")</f>
        <v/>
      </c>
      <c r="D15" s="55">
        <f>IFERROR(IF(B15="",0,SUMIFS(표1[매출금액],표1[매장코드],B15,표1[년],피벗값_구분!$X$2,표1[월],"&gt;="&amp;피벗값_구분!$X$4,표1[월],"&lt;="&amp;피벗값_구분!$X$5)),0)</f>
        <v>0</v>
      </c>
      <c r="E15" s="55">
        <f>IFERROR(IF(B15="",0,SUMIFS(표1[매출금액],표1[매장코드],B15,표1[년],피벗값_구분!$X$3,표1[월],"&gt;="&amp;피벗값_구분!$X$4,표1[월],"&lt;="&amp;피벗값_구분!$X$5)),0)</f>
        <v>0</v>
      </c>
      <c r="F15" s="55">
        <f>IFERROR(IF(B15="",0,SUMIFS(표1[수금액(V+)],표1[매장코드],B15,표1[년],피벗값_구분!$X$2,표1[월],"&gt;="&amp;피벗값_구분!$X$4,표1[월],"&lt;="&amp;피벗값_구분!$X$5)),0)</f>
        <v>0</v>
      </c>
      <c r="G15" s="55">
        <f>IFERROR(IF(B15="",0,SUMIFS(표1[수금액(V+)],표1[매장코드],B15,표1[년],피벗값_구분!$X$3,표1[월],"&gt;="&amp;피벗값_구분!$X$4,표1[월],"&lt;="&amp;피벗값_구분!$X$5)),0)</f>
        <v>0</v>
      </c>
      <c r="H15" s="55">
        <f>IFERROR(IF(B15="",0,SUMIFS(표1[생산원가(V-)],표1[매장코드],B15,표1[년],피벗값_구분!$X$2,표1[월],"&gt;="&amp;피벗값_구분!$X$4,표1[월],"&lt;="&amp;피벗값_구분!$X$5)),0)</f>
        <v>0</v>
      </c>
      <c r="I15" s="55">
        <f>IFERROR(IF(B15="",0,SUMIFS(표1[생산원가(V-)],표1[매장코드],B15,표1[년],피벗값_구분!$X$3,표1[월],"&gt;="&amp;피벗값_구분!$X$4,표1[월],"&lt;="&amp;피벗값_구분!$X$5)),0)</f>
        <v>0</v>
      </c>
      <c r="J15" s="55">
        <f>IFERROR(IF(B15="",0,SUMIFS(표1[총경비],표1[매장코드],B15,표1[년],피벗값_구분!$X$2,표1[월],"&gt;="&amp;피벗값_구분!$X$4,표1[월],"&lt;="&amp;피벗값_구분!$X$5)),0)</f>
        <v>0</v>
      </c>
      <c r="K15" s="55">
        <f>IFERROR(IF(B15="",0,SUMIFS(표1[총경비],표1[매장코드],B15,표1[년],피벗값_구분!$X$3,표1[월],"&gt;="&amp;피벗값_구분!$X$4,표1[월],"&lt;="&amp;피벗값_구분!$X$5)),0)</f>
        <v>0</v>
      </c>
      <c r="L15" s="55">
        <f>IFERROR(IF(B15="",0,SUMIFS(표1[영업이익(V-)],표1[매장코드],B15,표1[년],피벗값_구분!$X$2,표1[월],"&gt;="&amp;피벗값_구분!$X$4,표1[월],"&lt;="&amp;피벗값_구분!$X$5)),0)</f>
        <v>0</v>
      </c>
      <c r="M15" s="55">
        <f>IFERROR(IF(B15="",0,SUMIFS(표1[영업이익(V-)],표1[매장코드],B15,표1[년],피벗값_구분!$X$3,표1[월],"&gt;="&amp;피벗값_구분!$X$4,표1[월],"&lt;="&amp;피벗값_구분!$X$5)),0)</f>
        <v>0</v>
      </c>
    </row>
    <row r="16" spans="1:23" s="55" customFormat="1" ht="15" hidden="1" customHeight="1">
      <c r="B16" s="55" t="str">
        <f>IFERROR(INDEX(구분!$B:$B,MATCH(10,구분!$G:$G,0)),"")</f>
        <v/>
      </c>
      <c r="C16" s="55" t="str">
        <f>IFERROR(VLOOKUP(B16,구분!$B:$C,2,0),"")</f>
        <v/>
      </c>
      <c r="D16" s="55">
        <f>IFERROR(IF(B16="",0,SUMIFS(표1[매출금액],표1[매장코드],B16,표1[년],피벗값_구분!$X$2,표1[월],"&gt;="&amp;피벗값_구분!$X$4,표1[월],"&lt;="&amp;피벗값_구분!$X$5)),0)</f>
        <v>0</v>
      </c>
      <c r="E16" s="55">
        <f>IFERROR(IF(B16="",0,SUMIFS(표1[매출금액],표1[매장코드],B16,표1[년],피벗값_구분!$X$3,표1[월],"&gt;="&amp;피벗값_구분!$X$4,표1[월],"&lt;="&amp;피벗값_구분!$X$5)),0)</f>
        <v>0</v>
      </c>
      <c r="F16" s="55">
        <f>IFERROR(IF(B16="",0,SUMIFS(표1[수금액(V+)],표1[매장코드],B16,표1[년],피벗값_구분!$X$2,표1[월],"&gt;="&amp;피벗값_구분!$X$4,표1[월],"&lt;="&amp;피벗값_구분!$X$5)),0)</f>
        <v>0</v>
      </c>
      <c r="G16" s="55">
        <f>IFERROR(IF(B16="",0,SUMIFS(표1[수금액(V+)],표1[매장코드],B16,표1[년],피벗값_구분!$X$3,표1[월],"&gt;="&amp;피벗값_구분!$X$4,표1[월],"&lt;="&amp;피벗값_구분!$X$5)),0)</f>
        <v>0</v>
      </c>
      <c r="H16" s="55">
        <f>IFERROR(IF(B16="",0,SUMIFS(표1[생산원가(V-)],표1[매장코드],B16,표1[년],피벗값_구분!$X$2,표1[월],"&gt;="&amp;피벗값_구분!$X$4,표1[월],"&lt;="&amp;피벗값_구분!$X$5)),0)</f>
        <v>0</v>
      </c>
      <c r="I16" s="55">
        <f>IFERROR(IF(B16="",0,SUMIFS(표1[생산원가(V-)],표1[매장코드],B16,표1[년],피벗값_구분!$X$3,표1[월],"&gt;="&amp;피벗값_구분!$X$4,표1[월],"&lt;="&amp;피벗값_구분!$X$5)),0)</f>
        <v>0</v>
      </c>
      <c r="J16" s="55">
        <f>IFERROR(IF(B16="",0,SUMIFS(표1[총경비],표1[매장코드],B16,표1[년],피벗값_구분!$X$2,표1[월],"&gt;="&amp;피벗값_구분!$X$4,표1[월],"&lt;="&amp;피벗값_구분!$X$5)),0)</f>
        <v>0</v>
      </c>
      <c r="K16" s="55">
        <f>IFERROR(IF(B16="",0,SUMIFS(표1[총경비],표1[매장코드],B16,표1[년],피벗값_구분!$X$3,표1[월],"&gt;="&amp;피벗값_구분!$X$4,표1[월],"&lt;="&amp;피벗값_구분!$X$5)),0)</f>
        <v>0</v>
      </c>
      <c r="L16" s="55">
        <f>IFERROR(IF(B16="",0,SUMIFS(표1[영업이익(V-)],표1[매장코드],B16,표1[년],피벗값_구분!$X$2,표1[월],"&gt;="&amp;피벗값_구분!$X$4,표1[월],"&lt;="&amp;피벗값_구분!$X$5)),0)</f>
        <v>0</v>
      </c>
      <c r="M16" s="55">
        <f>IFERROR(IF(B16="",0,SUMIFS(표1[영업이익(V-)],표1[매장코드],B16,표1[년],피벗값_구분!$X$3,표1[월],"&gt;="&amp;피벗값_구분!$X$4,표1[월],"&lt;="&amp;피벗값_구분!$X$5)),0)</f>
        <v>0</v>
      </c>
    </row>
    <row r="17" spans="2:13" s="55" customFormat="1" ht="15" hidden="1" customHeight="1">
      <c r="B17" s="55" t="str">
        <f>IFERROR(INDEX(구분!$B:$B,MATCH(11,구분!$G:$G,0)),"")</f>
        <v/>
      </c>
      <c r="C17" s="55" t="str">
        <f>IFERROR(VLOOKUP(B17,구분!$B:$C,2,0),"")</f>
        <v/>
      </c>
      <c r="D17" s="55">
        <f>IFERROR(IF(B17="",0,SUMIFS(표1[매출금액],표1[매장코드],B17,표1[년],피벗값_구분!$X$2,표1[월],"&gt;="&amp;피벗값_구분!$X$4,표1[월],"&lt;="&amp;피벗값_구분!$X$5)),0)</f>
        <v>0</v>
      </c>
      <c r="E17" s="55">
        <f>IFERROR(IF(B17="",0,SUMIFS(표1[매출금액],표1[매장코드],B17,표1[년],피벗값_구분!$X$3,표1[월],"&gt;="&amp;피벗값_구분!$X$4,표1[월],"&lt;="&amp;피벗값_구분!$X$5)),0)</f>
        <v>0</v>
      </c>
      <c r="F17" s="55">
        <f>IFERROR(IF(B17="",0,SUMIFS(표1[수금액(V+)],표1[매장코드],B17,표1[년],피벗값_구분!$X$2,표1[월],"&gt;="&amp;피벗값_구분!$X$4,표1[월],"&lt;="&amp;피벗값_구분!$X$5)),0)</f>
        <v>0</v>
      </c>
      <c r="G17" s="55">
        <f>IFERROR(IF(B17="",0,SUMIFS(표1[수금액(V+)],표1[매장코드],B17,표1[년],피벗값_구분!$X$3,표1[월],"&gt;="&amp;피벗값_구분!$X$4,표1[월],"&lt;="&amp;피벗값_구분!$X$5)),0)</f>
        <v>0</v>
      </c>
      <c r="H17" s="55">
        <f>IFERROR(IF(B17="",0,SUMIFS(표1[생산원가(V-)],표1[매장코드],B17,표1[년],피벗값_구분!$X$2,표1[월],"&gt;="&amp;피벗값_구분!$X$4,표1[월],"&lt;="&amp;피벗값_구분!$X$5)),0)</f>
        <v>0</v>
      </c>
      <c r="I17" s="55">
        <f>IFERROR(IF(B17="",0,SUMIFS(표1[생산원가(V-)],표1[매장코드],B17,표1[년],피벗값_구분!$X$3,표1[월],"&gt;="&amp;피벗값_구분!$X$4,표1[월],"&lt;="&amp;피벗값_구분!$X$5)),0)</f>
        <v>0</v>
      </c>
      <c r="J17" s="55">
        <f>IFERROR(IF(B17="",0,SUMIFS(표1[총경비],표1[매장코드],B17,표1[년],피벗값_구분!$X$2,표1[월],"&gt;="&amp;피벗값_구분!$X$4,표1[월],"&lt;="&amp;피벗값_구분!$X$5)),0)</f>
        <v>0</v>
      </c>
      <c r="K17" s="55">
        <f>IFERROR(IF(B17="",0,SUMIFS(표1[총경비],표1[매장코드],B17,표1[년],피벗값_구분!$X$3,표1[월],"&gt;="&amp;피벗값_구분!$X$4,표1[월],"&lt;="&amp;피벗값_구분!$X$5)),0)</f>
        <v>0</v>
      </c>
      <c r="L17" s="55">
        <f>IFERROR(IF(B17="",0,SUMIFS(표1[영업이익(V-)],표1[매장코드],B17,표1[년],피벗값_구분!$X$2,표1[월],"&gt;="&amp;피벗값_구분!$X$4,표1[월],"&lt;="&amp;피벗값_구분!$X$5)),0)</f>
        <v>0</v>
      </c>
      <c r="M17" s="55">
        <f>IFERROR(IF(B17="",0,SUMIFS(표1[영업이익(V-)],표1[매장코드],B17,표1[년],피벗값_구분!$X$3,표1[월],"&gt;="&amp;피벗값_구분!$X$4,표1[월],"&lt;="&amp;피벗값_구분!$X$5)),0)</f>
        <v>0</v>
      </c>
    </row>
    <row r="18" spans="2:13" s="55" customFormat="1" ht="15" hidden="1" customHeight="1">
      <c r="B18" s="55" t="str">
        <f>IFERROR(INDEX(구분!$B:$B,MATCH(12,구분!$G:$G,0)),"")</f>
        <v/>
      </c>
      <c r="C18" s="55" t="str">
        <f>IFERROR(VLOOKUP(B18,구분!$B:$C,2,0),"")</f>
        <v/>
      </c>
      <c r="D18" s="55">
        <f>IFERROR(IF(B18="",0,SUMIFS(표1[매출금액],표1[매장코드],B18,표1[년],피벗값_구분!$X$2,표1[월],"&gt;="&amp;피벗값_구분!$X$4,표1[월],"&lt;="&amp;피벗값_구분!$X$5)),0)</f>
        <v>0</v>
      </c>
      <c r="E18" s="55">
        <f>IFERROR(IF(B18="",0,SUMIFS(표1[매출금액],표1[매장코드],B18,표1[년],피벗값_구분!$X$3,표1[월],"&gt;="&amp;피벗값_구분!$X$4,표1[월],"&lt;="&amp;피벗값_구분!$X$5)),0)</f>
        <v>0</v>
      </c>
      <c r="F18" s="55">
        <f>IFERROR(IF(B18="",0,SUMIFS(표1[수금액(V+)],표1[매장코드],B18,표1[년],피벗값_구분!$X$2,표1[월],"&gt;="&amp;피벗값_구분!$X$4,표1[월],"&lt;="&amp;피벗값_구분!$X$5)),0)</f>
        <v>0</v>
      </c>
      <c r="G18" s="55">
        <f>IFERROR(IF(B18="",0,SUMIFS(표1[수금액(V+)],표1[매장코드],B18,표1[년],피벗값_구분!$X$3,표1[월],"&gt;="&amp;피벗값_구분!$X$4,표1[월],"&lt;="&amp;피벗값_구분!$X$5)),0)</f>
        <v>0</v>
      </c>
      <c r="H18" s="55">
        <f>IFERROR(IF(B18="",0,SUMIFS(표1[생산원가(V-)],표1[매장코드],B18,표1[년],피벗값_구분!$X$2,표1[월],"&gt;="&amp;피벗값_구분!$X$4,표1[월],"&lt;="&amp;피벗값_구분!$X$5)),0)</f>
        <v>0</v>
      </c>
      <c r="I18" s="55">
        <f>IFERROR(IF(B18="",0,SUMIFS(표1[생산원가(V-)],표1[매장코드],B18,표1[년],피벗값_구분!$X$3,표1[월],"&gt;="&amp;피벗값_구분!$X$4,표1[월],"&lt;="&amp;피벗값_구분!$X$5)),0)</f>
        <v>0</v>
      </c>
      <c r="J18" s="55">
        <f>IFERROR(IF(B18="",0,SUMIFS(표1[총경비],표1[매장코드],B18,표1[년],피벗값_구분!$X$2,표1[월],"&gt;="&amp;피벗값_구분!$X$4,표1[월],"&lt;="&amp;피벗값_구분!$X$5)),0)</f>
        <v>0</v>
      </c>
      <c r="K18" s="55">
        <f>IFERROR(IF(B18="",0,SUMIFS(표1[총경비],표1[매장코드],B18,표1[년],피벗값_구분!$X$3,표1[월],"&gt;="&amp;피벗값_구분!$X$4,표1[월],"&lt;="&amp;피벗값_구분!$X$5)),0)</f>
        <v>0</v>
      </c>
      <c r="L18" s="55">
        <f>IFERROR(IF(B18="",0,SUMIFS(표1[영업이익(V-)],표1[매장코드],B18,표1[년],피벗값_구분!$X$2,표1[월],"&gt;="&amp;피벗값_구분!$X$4,표1[월],"&lt;="&amp;피벗값_구분!$X$5)),0)</f>
        <v>0</v>
      </c>
      <c r="M18" s="55">
        <f>IFERROR(IF(B18="",0,SUMIFS(표1[영업이익(V-)],표1[매장코드],B18,표1[년],피벗값_구분!$X$3,표1[월],"&gt;="&amp;피벗값_구분!$X$4,표1[월],"&lt;="&amp;피벗값_구분!$X$5)),0)</f>
        <v>0</v>
      </c>
    </row>
    <row r="19" spans="2:13" s="55" customFormat="1" ht="15" hidden="1" customHeight="1">
      <c r="B19" s="55" t="str">
        <f>IFERROR(INDEX(구분!$B:$B,MATCH(13,구분!$G:$G,0)),"")</f>
        <v/>
      </c>
      <c r="C19" s="55" t="str">
        <f>IFERROR(VLOOKUP(B19,구분!$B:$C,2,0),"")</f>
        <v/>
      </c>
      <c r="D19" s="55">
        <f>IFERROR(IF(B19="",0,SUMIFS(표1[매출금액],표1[매장코드],B19,표1[년],피벗값_구분!$X$2,표1[월],"&gt;="&amp;피벗값_구분!$X$4,표1[월],"&lt;="&amp;피벗값_구분!$X$5)),0)</f>
        <v>0</v>
      </c>
      <c r="E19" s="55">
        <f>IFERROR(IF(B19="",0,SUMIFS(표1[매출금액],표1[매장코드],B19,표1[년],피벗값_구분!$X$3,표1[월],"&gt;="&amp;피벗값_구분!$X$4,표1[월],"&lt;="&amp;피벗값_구분!$X$5)),0)</f>
        <v>0</v>
      </c>
      <c r="F19" s="55">
        <f>IFERROR(IF(B19="",0,SUMIFS(표1[수금액(V+)],표1[매장코드],B19,표1[년],피벗값_구분!$X$2,표1[월],"&gt;="&amp;피벗값_구분!$X$4,표1[월],"&lt;="&amp;피벗값_구분!$X$5)),0)</f>
        <v>0</v>
      </c>
      <c r="G19" s="55">
        <f>IFERROR(IF(B19="",0,SUMIFS(표1[수금액(V+)],표1[매장코드],B19,표1[년],피벗값_구분!$X$3,표1[월],"&gt;="&amp;피벗값_구분!$X$4,표1[월],"&lt;="&amp;피벗값_구분!$X$5)),0)</f>
        <v>0</v>
      </c>
      <c r="H19" s="55">
        <f>IFERROR(IF(B19="",0,SUMIFS(표1[생산원가(V-)],표1[매장코드],B19,표1[년],피벗값_구분!$X$2,표1[월],"&gt;="&amp;피벗값_구분!$X$4,표1[월],"&lt;="&amp;피벗값_구분!$X$5)),0)</f>
        <v>0</v>
      </c>
      <c r="I19" s="55">
        <f>IFERROR(IF(B19="",0,SUMIFS(표1[생산원가(V-)],표1[매장코드],B19,표1[년],피벗값_구분!$X$3,표1[월],"&gt;="&amp;피벗값_구분!$X$4,표1[월],"&lt;="&amp;피벗값_구분!$X$5)),0)</f>
        <v>0</v>
      </c>
      <c r="J19" s="55">
        <f>IFERROR(IF(B19="",0,SUMIFS(표1[총경비],표1[매장코드],B19,표1[년],피벗값_구분!$X$2,표1[월],"&gt;="&amp;피벗값_구분!$X$4,표1[월],"&lt;="&amp;피벗값_구분!$X$5)),0)</f>
        <v>0</v>
      </c>
      <c r="K19" s="55">
        <f>IFERROR(IF(B19="",0,SUMIFS(표1[총경비],표1[매장코드],B19,표1[년],피벗값_구분!$X$3,표1[월],"&gt;="&amp;피벗값_구분!$X$4,표1[월],"&lt;="&amp;피벗값_구분!$X$5)),0)</f>
        <v>0</v>
      </c>
      <c r="L19" s="55">
        <f>IFERROR(IF(B19="",0,SUMIFS(표1[영업이익(V-)],표1[매장코드],B19,표1[년],피벗값_구분!$X$2,표1[월],"&gt;="&amp;피벗값_구분!$X$4,표1[월],"&lt;="&amp;피벗값_구분!$X$5)),0)</f>
        <v>0</v>
      </c>
      <c r="M19" s="55">
        <f>IFERROR(IF(B19="",0,SUMIFS(표1[영업이익(V-)],표1[매장코드],B19,표1[년],피벗값_구분!$X$3,표1[월],"&gt;="&amp;피벗값_구분!$X$4,표1[월],"&lt;="&amp;피벗값_구분!$X$5)),0)</f>
        <v>0</v>
      </c>
    </row>
    <row r="20" spans="2:13" s="55" customFormat="1" ht="15" hidden="1" customHeight="1">
      <c r="B20" s="55" t="str">
        <f>IFERROR(INDEX(구분!$B:$B,MATCH(14,구분!$G:$G,0)),"")</f>
        <v/>
      </c>
      <c r="C20" s="55" t="str">
        <f>IFERROR(VLOOKUP(B20,구분!$B:$C,2,0),"")</f>
        <v/>
      </c>
      <c r="D20" s="55">
        <f>IFERROR(IF(B20="",0,SUMIFS(표1[매출금액],표1[매장코드],B20,표1[년],피벗값_구분!$X$2,표1[월],"&gt;="&amp;피벗값_구분!$X$4,표1[월],"&lt;="&amp;피벗값_구분!$X$5)),0)</f>
        <v>0</v>
      </c>
      <c r="E20" s="55">
        <f>IFERROR(IF(B20="",0,SUMIFS(표1[매출금액],표1[매장코드],B20,표1[년],피벗값_구분!$X$3,표1[월],"&gt;="&amp;피벗값_구분!$X$4,표1[월],"&lt;="&amp;피벗값_구분!$X$5)),0)</f>
        <v>0</v>
      </c>
      <c r="F20" s="55">
        <f>IFERROR(IF(B20="",0,SUMIFS(표1[수금액(V+)],표1[매장코드],B20,표1[년],피벗값_구분!$X$2,표1[월],"&gt;="&amp;피벗값_구분!$X$4,표1[월],"&lt;="&amp;피벗값_구분!$X$5)),0)</f>
        <v>0</v>
      </c>
      <c r="G20" s="55">
        <f>IFERROR(IF(B20="",0,SUMIFS(표1[수금액(V+)],표1[매장코드],B20,표1[년],피벗값_구분!$X$3,표1[월],"&gt;="&amp;피벗값_구분!$X$4,표1[월],"&lt;="&amp;피벗값_구분!$X$5)),0)</f>
        <v>0</v>
      </c>
      <c r="H20" s="55">
        <f>IFERROR(IF(B20="",0,SUMIFS(표1[생산원가(V-)],표1[매장코드],B20,표1[년],피벗값_구분!$X$2,표1[월],"&gt;="&amp;피벗값_구분!$X$4,표1[월],"&lt;="&amp;피벗값_구분!$X$5)),0)</f>
        <v>0</v>
      </c>
      <c r="I20" s="55">
        <f>IFERROR(IF(B20="",0,SUMIFS(표1[생산원가(V-)],표1[매장코드],B20,표1[년],피벗값_구분!$X$3,표1[월],"&gt;="&amp;피벗값_구분!$X$4,표1[월],"&lt;="&amp;피벗값_구분!$X$5)),0)</f>
        <v>0</v>
      </c>
      <c r="J20" s="55">
        <f>IFERROR(IF(B20="",0,SUMIFS(표1[총경비],표1[매장코드],B20,표1[년],피벗값_구분!$X$2,표1[월],"&gt;="&amp;피벗값_구분!$X$4,표1[월],"&lt;="&amp;피벗값_구분!$X$5)),0)</f>
        <v>0</v>
      </c>
      <c r="K20" s="55">
        <f>IFERROR(IF(B20="",0,SUMIFS(표1[총경비],표1[매장코드],B20,표1[년],피벗값_구분!$X$3,표1[월],"&gt;="&amp;피벗값_구분!$X$4,표1[월],"&lt;="&amp;피벗값_구분!$X$5)),0)</f>
        <v>0</v>
      </c>
      <c r="L20" s="55">
        <f>IFERROR(IF(B20="",0,SUMIFS(표1[영업이익(V-)],표1[매장코드],B20,표1[년],피벗값_구분!$X$2,표1[월],"&gt;="&amp;피벗값_구분!$X$4,표1[월],"&lt;="&amp;피벗값_구분!$X$5)),0)</f>
        <v>0</v>
      </c>
      <c r="M20" s="55">
        <f>IFERROR(IF(B20="",0,SUMIFS(표1[영업이익(V-)],표1[매장코드],B20,표1[년],피벗값_구분!$X$3,표1[월],"&gt;="&amp;피벗값_구분!$X$4,표1[월],"&lt;="&amp;피벗값_구분!$X$5)),0)</f>
        <v>0</v>
      </c>
    </row>
    <row r="21" spans="2:13" s="55" customFormat="1" ht="15" hidden="1" customHeight="1">
      <c r="B21" s="55" t="str">
        <f>IFERROR(INDEX(구분!$B:$B,MATCH(15,구분!$G:$G,0)),"")</f>
        <v/>
      </c>
      <c r="C21" s="55" t="str">
        <f>IFERROR(VLOOKUP(B21,구분!$B:$C,2,0),"")</f>
        <v/>
      </c>
      <c r="D21" s="55">
        <f>IFERROR(IF(B21="",0,SUMIFS(표1[매출금액],표1[매장코드],B21,표1[년],피벗값_구분!$X$2,표1[월],"&gt;="&amp;피벗값_구분!$X$4,표1[월],"&lt;="&amp;피벗값_구분!$X$5)),0)</f>
        <v>0</v>
      </c>
      <c r="E21" s="55">
        <f>IFERROR(IF(B21="",0,SUMIFS(표1[매출금액],표1[매장코드],B21,표1[년],피벗값_구분!$X$3,표1[월],"&gt;="&amp;피벗값_구분!$X$4,표1[월],"&lt;="&amp;피벗값_구분!$X$5)),0)</f>
        <v>0</v>
      </c>
      <c r="F21" s="55">
        <f>IFERROR(IF(B21="",0,SUMIFS(표1[수금액(V+)],표1[매장코드],B21,표1[년],피벗값_구분!$X$2,표1[월],"&gt;="&amp;피벗값_구분!$X$4,표1[월],"&lt;="&amp;피벗값_구분!$X$5)),0)</f>
        <v>0</v>
      </c>
      <c r="G21" s="55">
        <f>IFERROR(IF(B21="",0,SUMIFS(표1[수금액(V+)],표1[매장코드],B21,표1[년],피벗값_구분!$X$3,표1[월],"&gt;="&amp;피벗값_구분!$X$4,표1[월],"&lt;="&amp;피벗값_구분!$X$5)),0)</f>
        <v>0</v>
      </c>
      <c r="H21" s="55">
        <f>IFERROR(IF(B21="",0,SUMIFS(표1[생산원가(V-)],표1[매장코드],B21,표1[년],피벗값_구분!$X$2,표1[월],"&gt;="&amp;피벗값_구분!$X$4,표1[월],"&lt;="&amp;피벗값_구분!$X$5)),0)</f>
        <v>0</v>
      </c>
      <c r="I21" s="55">
        <f>IFERROR(IF(B21="",0,SUMIFS(표1[생산원가(V-)],표1[매장코드],B21,표1[년],피벗값_구분!$X$3,표1[월],"&gt;="&amp;피벗값_구분!$X$4,표1[월],"&lt;="&amp;피벗값_구분!$X$5)),0)</f>
        <v>0</v>
      </c>
      <c r="J21" s="55">
        <f>IFERROR(IF(B21="",0,SUMIFS(표1[총경비],표1[매장코드],B21,표1[년],피벗값_구분!$X$2,표1[월],"&gt;="&amp;피벗값_구분!$X$4,표1[월],"&lt;="&amp;피벗값_구분!$X$5)),0)</f>
        <v>0</v>
      </c>
      <c r="K21" s="55">
        <f>IFERROR(IF(B21="",0,SUMIFS(표1[총경비],표1[매장코드],B21,표1[년],피벗값_구분!$X$3,표1[월],"&gt;="&amp;피벗값_구분!$X$4,표1[월],"&lt;="&amp;피벗값_구분!$X$5)),0)</f>
        <v>0</v>
      </c>
      <c r="L21" s="55">
        <f>IFERROR(IF(B21="",0,SUMIFS(표1[영업이익(V-)],표1[매장코드],B21,표1[년],피벗값_구분!$X$2,표1[월],"&gt;="&amp;피벗값_구분!$X$4,표1[월],"&lt;="&amp;피벗값_구분!$X$5)),0)</f>
        <v>0</v>
      </c>
      <c r="M21" s="55">
        <f>IFERROR(IF(B21="",0,SUMIFS(표1[영업이익(V-)],표1[매장코드],B21,표1[년],피벗값_구분!$X$3,표1[월],"&gt;="&amp;피벗값_구분!$X$4,표1[월],"&lt;="&amp;피벗값_구분!$X$5)),0)</f>
        <v>0</v>
      </c>
    </row>
    <row r="22" spans="2:13" s="55" customFormat="1" ht="15" hidden="1" customHeight="1">
      <c r="B22" s="55" t="str">
        <f>IFERROR(INDEX(구분!$B:$B,MATCH(16,구분!$G:$G,0)),"")</f>
        <v/>
      </c>
      <c r="C22" s="55" t="str">
        <f>IFERROR(VLOOKUP(B22,구분!$B:$C,2,0),"")</f>
        <v/>
      </c>
      <c r="D22" s="55">
        <f>IFERROR(IF(B22="",0,SUMIFS(표1[매출금액],표1[매장코드],B22,표1[년],피벗값_구분!$X$2,표1[월],"&gt;="&amp;피벗값_구분!$X$4,표1[월],"&lt;="&amp;피벗값_구분!$X$5)),0)</f>
        <v>0</v>
      </c>
      <c r="E22" s="55">
        <f>IFERROR(IF(B22="",0,SUMIFS(표1[매출금액],표1[매장코드],B22,표1[년],피벗값_구분!$X$3,표1[월],"&gt;="&amp;피벗값_구분!$X$4,표1[월],"&lt;="&amp;피벗값_구분!$X$5)),0)</f>
        <v>0</v>
      </c>
      <c r="F22" s="55">
        <f>IFERROR(IF(B22="",0,SUMIFS(표1[수금액(V+)],표1[매장코드],B22,표1[년],피벗값_구분!$X$2,표1[월],"&gt;="&amp;피벗값_구분!$X$4,표1[월],"&lt;="&amp;피벗값_구분!$X$5)),0)</f>
        <v>0</v>
      </c>
      <c r="G22" s="55">
        <f>IFERROR(IF(B22="",0,SUMIFS(표1[수금액(V+)],표1[매장코드],B22,표1[년],피벗값_구분!$X$3,표1[월],"&gt;="&amp;피벗값_구분!$X$4,표1[월],"&lt;="&amp;피벗값_구분!$X$5)),0)</f>
        <v>0</v>
      </c>
      <c r="H22" s="55">
        <f>IFERROR(IF(B22="",0,SUMIFS(표1[생산원가(V-)],표1[매장코드],B22,표1[년],피벗값_구분!$X$2,표1[월],"&gt;="&amp;피벗값_구분!$X$4,표1[월],"&lt;="&amp;피벗값_구분!$X$5)),0)</f>
        <v>0</v>
      </c>
      <c r="I22" s="55">
        <f>IFERROR(IF(B22="",0,SUMIFS(표1[생산원가(V-)],표1[매장코드],B22,표1[년],피벗값_구분!$X$3,표1[월],"&gt;="&amp;피벗값_구분!$X$4,표1[월],"&lt;="&amp;피벗값_구분!$X$5)),0)</f>
        <v>0</v>
      </c>
      <c r="J22" s="55">
        <f>IFERROR(IF(B22="",0,SUMIFS(표1[총경비],표1[매장코드],B22,표1[년],피벗값_구분!$X$2,표1[월],"&gt;="&amp;피벗값_구분!$X$4,표1[월],"&lt;="&amp;피벗값_구분!$X$5)),0)</f>
        <v>0</v>
      </c>
      <c r="K22" s="55">
        <f>IFERROR(IF(B22="",0,SUMIFS(표1[총경비],표1[매장코드],B22,표1[년],피벗값_구분!$X$3,표1[월],"&gt;="&amp;피벗값_구분!$X$4,표1[월],"&lt;="&amp;피벗값_구분!$X$5)),0)</f>
        <v>0</v>
      </c>
      <c r="L22" s="55">
        <f>IFERROR(IF(B22="",0,SUMIFS(표1[영업이익(V-)],표1[매장코드],B22,표1[년],피벗값_구분!$X$2,표1[월],"&gt;="&amp;피벗값_구분!$X$4,표1[월],"&lt;="&amp;피벗값_구분!$X$5)),0)</f>
        <v>0</v>
      </c>
      <c r="M22" s="55">
        <f>IFERROR(IF(B22="",0,SUMIFS(표1[영업이익(V-)],표1[매장코드],B22,표1[년],피벗값_구분!$X$3,표1[월],"&gt;="&amp;피벗값_구분!$X$4,표1[월],"&lt;="&amp;피벗값_구분!$X$5)),0)</f>
        <v>0</v>
      </c>
    </row>
    <row r="23" spans="2:13" s="55" customFormat="1" ht="15" hidden="1" customHeight="1">
      <c r="B23" s="55" t="str">
        <f>IFERROR(INDEX(구분!$B:$B,MATCH(17,구분!$G:$G,0)),"")</f>
        <v/>
      </c>
      <c r="C23" s="55" t="str">
        <f>IFERROR(VLOOKUP(B23,구분!$B:$C,2,0),"")</f>
        <v/>
      </c>
      <c r="D23" s="55">
        <f>IFERROR(IF(B23="",0,SUMIFS(표1[매출금액],표1[매장코드],B23,표1[년],피벗값_구분!$X$2,표1[월],"&gt;="&amp;피벗값_구분!$X$4,표1[월],"&lt;="&amp;피벗값_구분!$X$5)),0)</f>
        <v>0</v>
      </c>
      <c r="E23" s="55">
        <f>IFERROR(IF(B23="",0,SUMIFS(표1[매출금액],표1[매장코드],B23,표1[년],피벗값_구분!$X$3,표1[월],"&gt;="&amp;피벗값_구분!$X$4,표1[월],"&lt;="&amp;피벗값_구분!$X$5)),0)</f>
        <v>0</v>
      </c>
      <c r="F23" s="55">
        <f>IFERROR(IF(B23="",0,SUMIFS(표1[수금액(V+)],표1[매장코드],B23,표1[년],피벗값_구분!$X$2,표1[월],"&gt;="&amp;피벗값_구분!$X$4,표1[월],"&lt;="&amp;피벗값_구분!$X$5)),0)</f>
        <v>0</v>
      </c>
      <c r="G23" s="55">
        <f>IFERROR(IF(B23="",0,SUMIFS(표1[수금액(V+)],표1[매장코드],B23,표1[년],피벗값_구분!$X$3,표1[월],"&gt;="&amp;피벗값_구분!$X$4,표1[월],"&lt;="&amp;피벗값_구분!$X$5)),0)</f>
        <v>0</v>
      </c>
      <c r="H23" s="55">
        <f>IFERROR(IF(B23="",0,SUMIFS(표1[생산원가(V-)],표1[매장코드],B23,표1[년],피벗값_구분!$X$2,표1[월],"&gt;="&amp;피벗값_구분!$X$4,표1[월],"&lt;="&amp;피벗값_구분!$X$5)),0)</f>
        <v>0</v>
      </c>
      <c r="I23" s="55">
        <f>IFERROR(IF(B23="",0,SUMIFS(표1[생산원가(V-)],표1[매장코드],B23,표1[년],피벗값_구분!$X$3,표1[월],"&gt;="&amp;피벗값_구분!$X$4,표1[월],"&lt;="&amp;피벗값_구분!$X$5)),0)</f>
        <v>0</v>
      </c>
      <c r="J23" s="55">
        <f>IFERROR(IF(B23="",0,SUMIFS(표1[총경비],표1[매장코드],B23,표1[년],피벗값_구분!$X$2,표1[월],"&gt;="&amp;피벗값_구분!$X$4,표1[월],"&lt;="&amp;피벗값_구분!$X$5)),0)</f>
        <v>0</v>
      </c>
      <c r="K23" s="55">
        <f>IFERROR(IF(B23="",0,SUMIFS(표1[총경비],표1[매장코드],B23,표1[년],피벗값_구분!$X$3,표1[월],"&gt;="&amp;피벗값_구분!$X$4,표1[월],"&lt;="&amp;피벗값_구분!$X$5)),0)</f>
        <v>0</v>
      </c>
      <c r="L23" s="55">
        <f>IFERROR(IF(B23="",0,SUMIFS(표1[영업이익(V-)],표1[매장코드],B23,표1[년],피벗값_구분!$X$2,표1[월],"&gt;="&amp;피벗값_구분!$X$4,표1[월],"&lt;="&amp;피벗값_구분!$X$5)),0)</f>
        <v>0</v>
      </c>
      <c r="M23" s="55">
        <f>IFERROR(IF(B23="",0,SUMIFS(표1[영업이익(V-)],표1[매장코드],B23,표1[년],피벗값_구분!$X$3,표1[월],"&gt;="&amp;피벗값_구분!$X$4,표1[월],"&lt;="&amp;피벗값_구분!$X$5)),0)</f>
        <v>0</v>
      </c>
    </row>
    <row r="24" spans="2:13" s="55" customFormat="1" ht="15" hidden="1" customHeight="1">
      <c r="B24" s="55" t="str">
        <f>IFERROR(INDEX(구분!$B:$B,MATCH(18,구분!$G:$G,0)),"")</f>
        <v/>
      </c>
      <c r="C24" s="55" t="str">
        <f>IFERROR(VLOOKUP(B24,구분!$B:$C,2,0),"")</f>
        <v/>
      </c>
      <c r="D24" s="55">
        <f>IFERROR(IF(B24="",0,SUMIFS(표1[매출금액],표1[매장코드],B24,표1[년],피벗값_구분!$X$2,표1[월],"&gt;="&amp;피벗값_구분!$X$4,표1[월],"&lt;="&amp;피벗값_구분!$X$5)),0)</f>
        <v>0</v>
      </c>
      <c r="E24" s="55">
        <f>IFERROR(IF(B24="",0,SUMIFS(표1[매출금액],표1[매장코드],B24,표1[년],피벗값_구분!$X$3,표1[월],"&gt;="&amp;피벗값_구분!$X$4,표1[월],"&lt;="&amp;피벗값_구분!$X$5)),0)</f>
        <v>0</v>
      </c>
      <c r="F24" s="55">
        <f>IFERROR(IF(B24="",0,SUMIFS(표1[수금액(V+)],표1[매장코드],B24,표1[년],피벗값_구분!$X$2,표1[월],"&gt;="&amp;피벗값_구분!$X$4,표1[월],"&lt;="&amp;피벗값_구분!$X$5)),0)</f>
        <v>0</v>
      </c>
      <c r="G24" s="55">
        <f>IFERROR(IF(B24="",0,SUMIFS(표1[수금액(V+)],표1[매장코드],B24,표1[년],피벗값_구분!$X$3,표1[월],"&gt;="&amp;피벗값_구분!$X$4,표1[월],"&lt;="&amp;피벗값_구분!$X$5)),0)</f>
        <v>0</v>
      </c>
      <c r="H24" s="55">
        <f>IFERROR(IF(B24="",0,SUMIFS(표1[생산원가(V-)],표1[매장코드],B24,표1[년],피벗값_구분!$X$2,표1[월],"&gt;="&amp;피벗값_구분!$X$4,표1[월],"&lt;="&amp;피벗값_구분!$X$5)),0)</f>
        <v>0</v>
      </c>
      <c r="I24" s="55">
        <f>IFERROR(IF(B24="",0,SUMIFS(표1[생산원가(V-)],표1[매장코드],B24,표1[년],피벗값_구분!$X$3,표1[월],"&gt;="&amp;피벗값_구분!$X$4,표1[월],"&lt;="&amp;피벗값_구분!$X$5)),0)</f>
        <v>0</v>
      </c>
      <c r="J24" s="55">
        <f>IFERROR(IF(B24="",0,SUMIFS(표1[총경비],표1[매장코드],B24,표1[년],피벗값_구분!$X$2,표1[월],"&gt;="&amp;피벗값_구분!$X$4,표1[월],"&lt;="&amp;피벗값_구분!$X$5)),0)</f>
        <v>0</v>
      </c>
      <c r="K24" s="55">
        <f>IFERROR(IF(B24="",0,SUMIFS(표1[총경비],표1[매장코드],B24,표1[년],피벗값_구분!$X$3,표1[월],"&gt;="&amp;피벗값_구분!$X$4,표1[월],"&lt;="&amp;피벗값_구분!$X$5)),0)</f>
        <v>0</v>
      </c>
      <c r="L24" s="55">
        <f>IFERROR(IF(B24="",0,SUMIFS(표1[영업이익(V-)],표1[매장코드],B24,표1[년],피벗값_구분!$X$2,표1[월],"&gt;="&amp;피벗값_구분!$X$4,표1[월],"&lt;="&amp;피벗값_구분!$X$5)),0)</f>
        <v>0</v>
      </c>
      <c r="M24" s="55">
        <f>IFERROR(IF(B24="",0,SUMIFS(표1[영업이익(V-)],표1[매장코드],B24,표1[년],피벗값_구분!$X$3,표1[월],"&gt;="&amp;피벗값_구분!$X$4,표1[월],"&lt;="&amp;피벗값_구분!$X$5)),0)</f>
        <v>0</v>
      </c>
    </row>
    <row r="25" spans="2:13" s="55" customFormat="1" ht="15" hidden="1" customHeight="1">
      <c r="B25" s="55" t="str">
        <f>IFERROR(INDEX(구분!$B:$B,MATCH(19,구분!$G:$G,0)),"")</f>
        <v/>
      </c>
      <c r="C25" s="55" t="str">
        <f>IFERROR(VLOOKUP(B25,구분!$B:$C,2,0),"")</f>
        <v/>
      </c>
      <c r="D25" s="55">
        <f>IFERROR(IF(B25="",0,SUMIFS(표1[매출금액],표1[매장코드],B25,표1[년],피벗값_구분!$X$2,표1[월],"&gt;="&amp;피벗값_구분!$X$4,표1[월],"&lt;="&amp;피벗값_구분!$X$5)),0)</f>
        <v>0</v>
      </c>
      <c r="E25" s="55">
        <f>IFERROR(IF(B25="",0,SUMIFS(표1[매출금액],표1[매장코드],B25,표1[년],피벗값_구분!$X$3,표1[월],"&gt;="&amp;피벗값_구분!$X$4,표1[월],"&lt;="&amp;피벗값_구분!$X$5)),0)</f>
        <v>0</v>
      </c>
      <c r="F25" s="55">
        <f>IFERROR(IF(B25="",0,SUMIFS(표1[수금액(V+)],표1[매장코드],B25,표1[년],피벗값_구분!$X$2,표1[월],"&gt;="&amp;피벗값_구분!$X$4,표1[월],"&lt;="&amp;피벗값_구분!$X$5)),0)</f>
        <v>0</v>
      </c>
      <c r="G25" s="55">
        <f>IFERROR(IF(B25="",0,SUMIFS(표1[수금액(V+)],표1[매장코드],B25,표1[년],피벗값_구분!$X$3,표1[월],"&gt;="&amp;피벗값_구분!$X$4,표1[월],"&lt;="&amp;피벗값_구분!$X$5)),0)</f>
        <v>0</v>
      </c>
      <c r="H25" s="55">
        <f>IFERROR(IF(B25="",0,SUMIFS(표1[생산원가(V-)],표1[매장코드],B25,표1[년],피벗값_구분!$X$2,표1[월],"&gt;="&amp;피벗값_구분!$X$4,표1[월],"&lt;="&amp;피벗값_구분!$X$5)),0)</f>
        <v>0</v>
      </c>
      <c r="I25" s="55">
        <f>IFERROR(IF(B25="",0,SUMIFS(표1[생산원가(V-)],표1[매장코드],B25,표1[년],피벗값_구분!$X$3,표1[월],"&gt;="&amp;피벗값_구분!$X$4,표1[월],"&lt;="&amp;피벗값_구분!$X$5)),0)</f>
        <v>0</v>
      </c>
      <c r="J25" s="55">
        <f>IFERROR(IF(B25="",0,SUMIFS(표1[총경비],표1[매장코드],B25,표1[년],피벗값_구분!$X$2,표1[월],"&gt;="&amp;피벗값_구분!$X$4,표1[월],"&lt;="&amp;피벗값_구분!$X$5)),0)</f>
        <v>0</v>
      </c>
      <c r="K25" s="55">
        <f>IFERROR(IF(B25="",0,SUMIFS(표1[총경비],표1[매장코드],B25,표1[년],피벗값_구분!$X$3,표1[월],"&gt;="&amp;피벗값_구분!$X$4,표1[월],"&lt;="&amp;피벗값_구분!$X$5)),0)</f>
        <v>0</v>
      </c>
      <c r="L25" s="55">
        <f>IFERROR(IF(B25="",0,SUMIFS(표1[영업이익(V-)],표1[매장코드],B25,표1[년],피벗값_구분!$X$2,표1[월],"&gt;="&amp;피벗값_구분!$X$4,표1[월],"&lt;="&amp;피벗값_구분!$X$5)),0)</f>
        <v>0</v>
      </c>
      <c r="M25" s="55">
        <f>IFERROR(IF(B25="",0,SUMIFS(표1[영업이익(V-)],표1[매장코드],B25,표1[년],피벗값_구분!$X$3,표1[월],"&gt;="&amp;피벗값_구분!$X$4,표1[월],"&lt;="&amp;피벗값_구분!$X$5)),0)</f>
        <v>0</v>
      </c>
    </row>
    <row r="26" spans="2:13" s="55" customFormat="1" ht="15" hidden="1" customHeight="1">
      <c r="B26" s="55" t="str">
        <f>IFERROR(INDEX(구분!$B:$B,MATCH(20,구분!$G:$G,0)),"")</f>
        <v/>
      </c>
      <c r="C26" s="55" t="str">
        <f>IFERROR(VLOOKUP(B26,구분!$B:$C,2,0),"")</f>
        <v/>
      </c>
      <c r="D26" s="55">
        <f>IFERROR(IF(B26="",0,SUMIFS(표1[매출금액],표1[매장코드],B26,표1[년],피벗값_구분!$X$2,표1[월],"&gt;="&amp;피벗값_구분!$X$4,표1[월],"&lt;="&amp;피벗값_구분!$X$5)),0)</f>
        <v>0</v>
      </c>
      <c r="E26" s="55">
        <f>IFERROR(IF(B26="",0,SUMIFS(표1[매출금액],표1[매장코드],B26,표1[년],피벗값_구분!$X$3,표1[월],"&gt;="&amp;피벗값_구분!$X$4,표1[월],"&lt;="&amp;피벗값_구분!$X$5)),0)</f>
        <v>0</v>
      </c>
      <c r="F26" s="55">
        <f>IFERROR(IF(B26="",0,SUMIFS(표1[수금액(V+)],표1[매장코드],B26,표1[년],피벗값_구분!$X$2,표1[월],"&gt;="&amp;피벗값_구분!$X$4,표1[월],"&lt;="&amp;피벗값_구분!$X$5)),0)</f>
        <v>0</v>
      </c>
      <c r="G26" s="55">
        <f>IFERROR(IF(B26="",0,SUMIFS(표1[수금액(V+)],표1[매장코드],B26,표1[년],피벗값_구분!$X$3,표1[월],"&gt;="&amp;피벗값_구분!$X$4,표1[월],"&lt;="&amp;피벗값_구분!$X$5)),0)</f>
        <v>0</v>
      </c>
      <c r="H26" s="55">
        <f>IFERROR(IF(B26="",0,SUMIFS(표1[생산원가(V-)],표1[매장코드],B26,표1[년],피벗값_구분!$X$2,표1[월],"&gt;="&amp;피벗값_구분!$X$4,표1[월],"&lt;="&amp;피벗값_구분!$X$5)),0)</f>
        <v>0</v>
      </c>
      <c r="I26" s="55">
        <f>IFERROR(IF(B26="",0,SUMIFS(표1[생산원가(V-)],표1[매장코드],B26,표1[년],피벗값_구분!$X$3,표1[월],"&gt;="&amp;피벗값_구분!$X$4,표1[월],"&lt;="&amp;피벗값_구분!$X$5)),0)</f>
        <v>0</v>
      </c>
      <c r="J26" s="55">
        <f>IFERROR(IF(B26="",0,SUMIFS(표1[총경비],표1[매장코드],B26,표1[년],피벗값_구분!$X$2,표1[월],"&gt;="&amp;피벗값_구분!$X$4,표1[월],"&lt;="&amp;피벗값_구분!$X$5)),0)</f>
        <v>0</v>
      </c>
      <c r="K26" s="55">
        <f>IFERROR(IF(B26="",0,SUMIFS(표1[총경비],표1[매장코드],B26,표1[년],피벗값_구분!$X$3,표1[월],"&gt;="&amp;피벗값_구분!$X$4,표1[월],"&lt;="&amp;피벗값_구분!$X$5)),0)</f>
        <v>0</v>
      </c>
      <c r="L26" s="55">
        <f>IFERROR(IF(B26="",0,SUMIFS(표1[영업이익(V-)],표1[매장코드],B26,표1[년],피벗값_구분!$X$2,표1[월],"&gt;="&amp;피벗값_구분!$X$4,표1[월],"&lt;="&amp;피벗값_구분!$X$5)),0)</f>
        <v>0</v>
      </c>
      <c r="M26" s="55">
        <f>IFERROR(IF(B26="",0,SUMIFS(표1[영업이익(V-)],표1[매장코드],B26,표1[년],피벗값_구분!$X$3,표1[월],"&gt;="&amp;피벗값_구분!$X$4,표1[월],"&lt;="&amp;피벗값_구분!$X$5)),0)</f>
        <v>0</v>
      </c>
    </row>
    <row r="27" spans="2:13" s="55" customFormat="1" ht="15" customHeight="1">
      <c r="B27" s="104" t="s">
        <v>22</v>
      </c>
      <c r="C27" s="62"/>
      <c r="D27" s="63">
        <f t="shared" ref="D27:M27" si="0">IFERROR(SUM(D7:D26),0)</f>
        <v>51781440</v>
      </c>
      <c r="E27" s="64">
        <f t="shared" si="0"/>
        <v>126402630</v>
      </c>
      <c r="F27" s="63">
        <f t="shared" si="0"/>
        <v>39612855</v>
      </c>
      <c r="G27" s="64">
        <f t="shared" si="0"/>
        <v>87509788</v>
      </c>
      <c r="H27" s="63">
        <f t="shared" si="0"/>
        <v>16155346</v>
      </c>
      <c r="I27" s="64">
        <f t="shared" si="0"/>
        <v>33716815</v>
      </c>
      <c r="J27" s="63">
        <f t="shared" si="0"/>
        <v>7987030</v>
      </c>
      <c r="K27" s="64">
        <f t="shared" si="0"/>
        <v>4640000</v>
      </c>
      <c r="L27" s="65">
        <f t="shared" si="0"/>
        <v>19856341</v>
      </c>
      <c r="M27" s="64">
        <f t="shared" si="0"/>
        <v>45837538</v>
      </c>
    </row>
    <row r="28" spans="2:13" s="55" customFormat="1" ht="15" customHeight="1"/>
    <row r="29" spans="2:13" s="55" customFormat="1" ht="15" customHeight="1"/>
    <row r="30" spans="2:13" s="55" customFormat="1" ht="15" customHeight="1"/>
    <row r="31" spans="2:13" s="55" customFormat="1" ht="15" customHeight="1"/>
    <row r="32" spans="2:13" s="55" customFormat="1" ht="15" customHeight="1"/>
    <row r="33" s="55" customFormat="1" ht="15" customHeight="1"/>
    <row r="34" s="55" customFormat="1" ht="15" customHeight="1"/>
    <row r="35" s="55" customFormat="1" ht="15" customHeight="1"/>
    <row r="36" s="55" customFormat="1" ht="15" customHeight="1"/>
    <row r="37" s="55" customFormat="1" ht="15" customHeight="1"/>
    <row r="38" s="55" customFormat="1" ht="15" customHeight="1"/>
    <row r="39" s="55" customFormat="1" ht="15" customHeight="1"/>
    <row r="40" s="55" customFormat="1" ht="15" customHeight="1"/>
    <row r="41" s="55" customFormat="1" ht="15" customHeight="1"/>
    <row r="42" s="55" customFormat="1" ht="15" customHeight="1"/>
    <row r="43" s="55" customFormat="1" ht="15" customHeight="1"/>
    <row r="44" s="55" customFormat="1" ht="15" customHeight="1"/>
    <row r="45" s="55" customFormat="1" ht="15" customHeight="1"/>
    <row r="46" s="55" customFormat="1" ht="15" customHeight="1"/>
    <row r="47" s="55" customFormat="1" ht="15" customHeight="1"/>
    <row r="48" s="55" customFormat="1" ht="15" customHeight="1"/>
    <row r="49" s="55" customFormat="1" ht="15" customHeight="1"/>
    <row r="50" s="55" customFormat="1" ht="15" customHeight="1"/>
    <row r="51" s="55" customFormat="1" ht="15" customHeight="1"/>
    <row r="52" s="55" customFormat="1" ht="15" customHeight="1"/>
    <row r="53" s="55" customFormat="1" ht="15" customHeight="1"/>
    <row r="54" s="55" customFormat="1" ht="15" customHeight="1"/>
    <row r="55" s="55" customFormat="1" ht="15" customHeight="1"/>
    <row r="56" s="55" customFormat="1" ht="15" customHeight="1"/>
    <row r="57" s="55" customFormat="1" ht="15" customHeight="1"/>
    <row r="58" s="55" customFormat="1" ht="15" customHeight="1"/>
    <row r="59" s="55" customFormat="1" ht="15" customHeight="1"/>
    <row r="60" s="55" customFormat="1" ht="15" customHeight="1"/>
    <row r="61" s="55" customFormat="1" ht="15" customHeight="1"/>
    <row r="62" s="55" customFormat="1" ht="15" customHeight="1"/>
    <row r="63" s="55" customFormat="1" ht="15" customHeight="1"/>
    <row r="64" s="55" customFormat="1" ht="15" customHeight="1"/>
    <row r="65" s="55" customFormat="1" ht="15" customHeight="1"/>
    <row r="66" s="55" customFormat="1" ht="15" customHeight="1"/>
    <row r="67" s="55" customFormat="1" ht="15" customHeight="1"/>
    <row r="68" s="55" customFormat="1" ht="15" customHeight="1"/>
    <row r="69" s="55" customFormat="1" ht="15" customHeight="1"/>
    <row r="70" s="55" customFormat="1" ht="15" customHeight="1"/>
    <row r="71" s="55" customFormat="1" ht="15" customHeight="1"/>
    <row r="72" s="55" customFormat="1" ht="15" customHeight="1"/>
    <row r="73" s="55" customFormat="1" ht="15" customHeight="1"/>
    <row r="74" s="55" customFormat="1" ht="15" customHeight="1"/>
    <row r="75" s="55" customFormat="1" ht="15" customHeight="1"/>
    <row r="76" s="55" customFormat="1" ht="15" customHeight="1"/>
    <row r="77" s="55" customFormat="1" ht="15" customHeight="1"/>
    <row r="78" s="55" customFormat="1" ht="15" customHeight="1"/>
    <row r="79" s="55" customFormat="1" ht="15" customHeight="1"/>
    <row r="80" s="55" customFormat="1" ht="15" customHeight="1"/>
    <row r="81" s="55" customFormat="1" ht="15" customHeight="1"/>
    <row r="82" s="55" customFormat="1" ht="15" customHeight="1"/>
    <row r="83" s="55" customFormat="1" ht="15" customHeight="1"/>
    <row r="84" s="55" customFormat="1" ht="15" customHeight="1"/>
    <row r="85" s="55" customFormat="1" ht="15" customHeight="1"/>
    <row r="86" s="55" customFormat="1" ht="15" customHeight="1"/>
  </sheetData>
  <mergeCells count="6">
    <mergeCell ref="B3:M3"/>
    <mergeCell ref="D5:E5"/>
    <mergeCell ref="F5:G5"/>
    <mergeCell ref="H5:I5"/>
    <mergeCell ref="J5:K5"/>
    <mergeCell ref="L5:M5"/>
  </mergeCells>
  <phoneticPr fontId="25" type="noConversion"/>
  <printOptions horizontalCentered="1"/>
  <pageMargins left="0.70833333333333304" right="0.70833333333333304" top="1.5743055555555601" bottom="0.74791666666666701" header="0.98402777777777795" footer="0.511811023622047"/>
  <pageSetup paperSize="9" orientation="landscape" horizontalDpi="300" verticalDpi="300"/>
  <headerFooter>
    <oddHeader>&amp;R&amp;"+,Regular"&amp;10 2024-06폐점_x005F_x000a_2025.02.02~03.31 팝업행사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AA84"/>
  </sheetPr>
  <dimension ref="A1:W236"/>
  <sheetViews>
    <sheetView zoomScaleNormal="100" workbookViewId="0">
      <selection activeCell="L23" sqref="L23"/>
    </sheetView>
  </sheetViews>
  <sheetFormatPr defaultColWidth="8.8984375" defaultRowHeight="14.4"/>
  <cols>
    <col min="1" max="1" width="8.8984375" style="11"/>
    <col min="2" max="2" width="6.59765625" style="12" customWidth="1"/>
    <col min="3" max="3" width="12.59765625" style="12" customWidth="1"/>
    <col min="4" max="8" width="8.796875" style="12" customWidth="1"/>
    <col min="9" max="9" width="5.3984375" style="11" customWidth="1"/>
    <col min="10" max="23" width="8.8984375" style="11"/>
    <col min="24" max="16384" width="8.8984375" style="12"/>
  </cols>
  <sheetData>
    <row r="1" spans="1:19" s="11" customFormat="1" ht="15" customHeight="1"/>
    <row r="2" spans="1:19" s="11" customFormat="1" ht="15" customHeight="1"/>
    <row r="3" spans="1:19" s="11" customFormat="1" ht="22.5" customHeight="1">
      <c r="B3" s="124" t="s">
        <v>45</v>
      </c>
      <c r="C3" s="124"/>
      <c r="D3" s="124"/>
      <c r="E3" s="124"/>
      <c r="F3" s="124"/>
      <c r="G3" s="124"/>
      <c r="H3" s="124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1:19" s="11" customFormat="1" ht="15" customHeight="1">
      <c r="H4" s="97" t="s">
        <v>30</v>
      </c>
      <c r="J4" s="98" t="s">
        <v>46</v>
      </c>
    </row>
    <row r="5" spans="1:19" ht="15" customHeight="1">
      <c r="B5" s="16"/>
      <c r="C5" s="131" t="s">
        <v>223</v>
      </c>
      <c r="D5" s="131"/>
      <c r="E5" s="131"/>
      <c r="F5" s="131"/>
      <c r="G5" s="131"/>
      <c r="H5" s="131"/>
    </row>
    <row r="6" spans="1:19" ht="15" customHeight="1">
      <c r="A6" s="15" t="s">
        <v>42</v>
      </c>
      <c r="B6" s="4" t="s">
        <v>19</v>
      </c>
      <c r="C6" s="4" t="s">
        <v>32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1:19" ht="15" customHeight="1">
      <c r="B7" s="18" t="str">
        <f>IFERROR(INDEX(구분!$B:$B,MATCH(1,구분!$H:$H,0)),"")</f>
        <v/>
      </c>
      <c r="C7" s="99" t="str">
        <f>IFERROR(VLOOKUP(B7,구분!$B:$C,2,0),"")</f>
        <v/>
      </c>
      <c r="D7" s="5">
        <f>IFERROR(IF(B7="",0,SUMIFS(표1[매출금액],표1[매장코드],B7,표1[년],피벗값_구분!$X$3,표1[월],"&gt;="&amp;피벗값_구분!$X$4,표1[월],"&lt;="&amp;피벗값_구분!$X$5)),0)</f>
        <v>0</v>
      </c>
      <c r="E7" s="5">
        <f>IFERROR(IF(B7="",0,SUMIFS(표1[수금액(V+)],표1[매장코드],B7,표1[년],피벗값_구분!$X$3,표1[월],"&gt;="&amp;피벗값_구분!$X$4,표1[월],"&lt;="&amp;피벗값_구분!$X$5)),0)</f>
        <v>0</v>
      </c>
      <c r="F7" s="5">
        <f>IFERROR(IF(B7="",0,SUMIFS(표1[생산원가(V-)],표1[매장코드],B7,표1[년],피벗값_구분!$X$3,표1[월],"&gt;="&amp;피벗값_구분!$X$4,표1[월],"&lt;="&amp;피벗값_구분!$X$5)),0)</f>
        <v>0</v>
      </c>
      <c r="G7" s="5">
        <f>IFERROR(IF(B7="",0,SUMIFS(표1[총경비],표1[매장코드],B7,표1[년],피벗값_구분!$X$3,표1[월],"&gt;="&amp;피벗값_구분!$X$4,표1[월],"&lt;="&amp;피벗값_구분!$X$5)),0)</f>
        <v>0</v>
      </c>
      <c r="H7" s="5">
        <f>IFERROR(IF(B7="",0,SUMIFS(표1[영업이익(V-)],표1[매장코드],B7,표1[년],피벗값_구분!$X$3,표1[월],"&gt;="&amp;피벗값_구분!$X$4,표1[월],"&lt;="&amp;피벗값_구분!$X$5)),0)</f>
        <v>0</v>
      </c>
    </row>
    <row r="8" spans="1:19" ht="15" customHeight="1">
      <c r="B8" s="18" t="str">
        <f>IFERROR(INDEX(구분!$B:$B,MATCH(2,구분!$H:$H,0)),"")</f>
        <v/>
      </c>
      <c r="C8" s="99" t="str">
        <f>IFERROR(VLOOKUP(B8,구분!$B:$C,2,0),"")</f>
        <v/>
      </c>
      <c r="D8" s="5">
        <f>IFERROR(IF(B8="",0,SUMIFS(표1[매출금액],표1[매장코드],B8,표1[년],피벗값_구분!$X$3,표1[월],"&gt;="&amp;피벗값_구분!$X$4,표1[월],"&lt;="&amp;피벗값_구분!$X$5)),0)</f>
        <v>0</v>
      </c>
      <c r="E8" s="5">
        <f>IFERROR(IF(B8="",0,SUMIFS(표1[수금액(V+)],표1[매장코드],B8,표1[년],피벗값_구분!$X$3,표1[월],"&gt;="&amp;피벗값_구분!$X$4,표1[월],"&lt;="&amp;피벗값_구분!$X$5)),0)</f>
        <v>0</v>
      </c>
      <c r="F8" s="5">
        <f>IFERROR(IF(B8="",0,SUMIFS(표1[생산원가(V-)],표1[매장코드],B8,표1[년],피벗값_구분!$X$3,표1[월],"&gt;="&amp;피벗값_구분!$X$4,표1[월],"&lt;="&amp;피벗값_구분!$X$5)),0)</f>
        <v>0</v>
      </c>
      <c r="G8" s="5">
        <f>IFERROR(IF(B8="",0,SUMIFS(표1[총경비],표1[매장코드],B8,표1[년],피벗값_구분!$X$3,표1[월],"&gt;="&amp;피벗값_구분!$X$4,표1[월],"&lt;="&amp;피벗값_구분!$X$5)),0)</f>
        <v>0</v>
      </c>
      <c r="H8" s="5">
        <f>IFERROR(IF(B8="",0,SUMIFS(표1[영업이익(V-)],표1[매장코드],B8,표1[년],피벗값_구분!$X$3,표1[월],"&gt;="&amp;피벗값_구분!$X$4,표1[월],"&lt;="&amp;피벗값_구분!$X$5)),0)</f>
        <v>0</v>
      </c>
    </row>
    <row r="9" spans="1:19" ht="15" customHeight="1">
      <c r="B9" s="18" t="str">
        <f>IFERROR(INDEX(구분!$B:$B,MATCH(3,구분!$H:$H,0)),"")</f>
        <v/>
      </c>
      <c r="C9" s="99" t="str">
        <f>IFERROR(VLOOKUP(B9,구분!$B:$C,2,0),"")</f>
        <v/>
      </c>
      <c r="D9" s="5">
        <f>IFERROR(IF(B9="",0,SUMIFS(표1[매출금액],표1[매장코드],B9,표1[년],피벗값_구분!$X$3,표1[월],"&gt;="&amp;피벗값_구분!$X$4,표1[월],"&lt;="&amp;피벗값_구분!$X$5)),0)</f>
        <v>0</v>
      </c>
      <c r="E9" s="5">
        <f>IFERROR(IF(B9="",0,SUMIFS(표1[수금액(V+)],표1[매장코드],B9,표1[년],피벗값_구분!$X$3,표1[월],"&gt;="&amp;피벗값_구분!$X$4,표1[월],"&lt;="&amp;피벗값_구분!$X$5)),0)</f>
        <v>0</v>
      </c>
      <c r="F9" s="5">
        <f>IFERROR(IF(B9="",0,SUMIFS(표1[생산원가(V-)],표1[매장코드],B9,표1[년],피벗값_구분!$X$3,표1[월],"&gt;="&amp;피벗값_구분!$X$4,표1[월],"&lt;="&amp;피벗값_구분!$X$5)),0)</f>
        <v>0</v>
      </c>
      <c r="G9" s="5">
        <f>IFERROR(IF(B9="",0,SUMIFS(표1[총경비],표1[매장코드],B9,표1[년],피벗값_구분!$X$3,표1[월],"&gt;="&amp;피벗값_구분!$X$4,표1[월],"&lt;="&amp;피벗값_구분!$X$5)),0)</f>
        <v>0</v>
      </c>
      <c r="H9" s="5">
        <f>IFERROR(IF(B9="",0,SUMIFS(표1[영업이익(V-)],표1[매장코드],B9,표1[년],피벗값_구분!$X$3,표1[월],"&gt;="&amp;피벗값_구분!$X$4,표1[월],"&lt;="&amp;피벗값_구분!$X$5)),0)</f>
        <v>0</v>
      </c>
    </row>
    <row r="10" spans="1:19" s="11" customFormat="1" ht="15" customHeight="1">
      <c r="B10" s="18" t="str">
        <f>IFERROR(INDEX(구분!$B:$B,MATCH(4,구분!$H:$H,0)),"")</f>
        <v/>
      </c>
      <c r="C10" s="99" t="str">
        <f>IFERROR(VLOOKUP(B10,구분!$B:$C,2,0),"")</f>
        <v/>
      </c>
      <c r="D10" s="5">
        <f>IFERROR(IF(B10="",0,SUMIFS(표1[매출금액],표1[매장코드],B10,표1[년],피벗값_구분!$X$3,표1[월],"&gt;="&amp;피벗값_구분!$X$4,표1[월],"&lt;="&amp;피벗값_구분!$X$5)),0)</f>
        <v>0</v>
      </c>
      <c r="E10" s="5">
        <f>IFERROR(IF(B10="",0,SUMIFS(표1[수금액(V+)],표1[매장코드],B10,표1[년],피벗값_구분!$X$3,표1[월],"&gt;="&amp;피벗값_구분!$X$4,표1[월],"&lt;="&amp;피벗값_구분!$X$5)),0)</f>
        <v>0</v>
      </c>
      <c r="F10" s="5">
        <f>IFERROR(IF(B10="",0,SUMIFS(표1[생산원가(V-)],표1[매장코드],B10,표1[년],피벗값_구분!$X$3,표1[월],"&gt;="&amp;피벗값_구분!$X$4,표1[월],"&lt;="&amp;피벗값_구분!$X$5)),0)</f>
        <v>0</v>
      </c>
      <c r="G10" s="5">
        <f>IFERROR(IF(B10="",0,SUMIFS(표1[총경비],표1[매장코드],B10,표1[년],피벗값_구분!$X$3,표1[월],"&gt;="&amp;피벗값_구분!$X$4,표1[월],"&lt;="&amp;피벗값_구분!$X$5)),0)</f>
        <v>0</v>
      </c>
      <c r="H10" s="5">
        <f>IFERROR(IF(B10="",0,SUMIFS(표1[영업이익(V-)],표1[매장코드],B10,표1[년],피벗값_구분!$X$3,표1[월],"&gt;="&amp;피벗값_구분!$X$4,표1[월],"&lt;="&amp;피벗값_구분!$X$5)),0)</f>
        <v>0</v>
      </c>
    </row>
    <row r="11" spans="1:19" s="11" customFormat="1" ht="15" customHeight="1">
      <c r="B11" s="18" t="str">
        <f>IFERROR(INDEX(구분!$B:$B,MATCH(5,구분!$H:$H,0)),"")</f>
        <v/>
      </c>
      <c r="C11" s="99" t="str">
        <f>IFERROR(VLOOKUP(B11,구분!$B:$C,2,0),"")</f>
        <v/>
      </c>
      <c r="D11" s="5">
        <f>IFERROR(IF(B11="",0,SUMIFS(표1[매출금액],표1[매장코드],B11,표1[년],피벗값_구분!$X$3,표1[월],"&gt;="&amp;피벗값_구분!$X$4,표1[월],"&lt;="&amp;피벗값_구분!$X$5)),0)</f>
        <v>0</v>
      </c>
      <c r="E11" s="5">
        <f>IFERROR(IF(B11="",0,SUMIFS(표1[수금액(V+)],표1[매장코드],B11,표1[년],피벗값_구분!$X$3,표1[월],"&gt;="&amp;피벗값_구분!$X$4,표1[월],"&lt;="&amp;피벗값_구분!$X$5)),0)</f>
        <v>0</v>
      </c>
      <c r="F11" s="5">
        <f>IFERROR(IF(B11="",0,SUMIFS(표1[생산원가(V-)],표1[매장코드],B11,표1[년],피벗값_구분!$X$3,표1[월],"&gt;="&amp;피벗값_구분!$X$4,표1[월],"&lt;="&amp;피벗값_구분!$X$5)),0)</f>
        <v>0</v>
      </c>
      <c r="G11" s="5">
        <f>IFERROR(IF(B11="",0,SUMIFS(표1[총경비],표1[매장코드],B11,표1[년],피벗값_구분!$X$3,표1[월],"&gt;="&amp;피벗값_구분!$X$4,표1[월],"&lt;="&amp;피벗값_구분!$X$5)),0)</f>
        <v>0</v>
      </c>
      <c r="H11" s="5">
        <f>IFERROR(IF(B11="",0,SUMIFS(표1[영업이익(V-)],표1[매장코드],B11,표1[년],피벗값_구분!$X$3,표1[월],"&gt;="&amp;피벗값_구분!$X$4,표1[월],"&lt;="&amp;피벗값_구분!$X$5)),0)</f>
        <v>0</v>
      </c>
    </row>
    <row r="12" spans="1:19" s="11" customFormat="1" ht="15" customHeight="1">
      <c r="B12" s="18" t="str">
        <f>IFERROR(INDEX(구분!$B:$B,MATCH(6,구분!$H:$H,0)),"")</f>
        <v/>
      </c>
      <c r="C12" s="99" t="str">
        <f>IFERROR(VLOOKUP(B12,구분!$B:$C,2,0),"")</f>
        <v/>
      </c>
      <c r="D12" s="5">
        <f>IFERROR(IF(B12="",0,SUMIFS(표1[매출금액],표1[매장코드],B12,표1[년],피벗값_구분!$X$3,표1[월],"&gt;="&amp;피벗값_구분!$X$4,표1[월],"&lt;="&amp;피벗값_구분!$X$5)),0)</f>
        <v>0</v>
      </c>
      <c r="E12" s="5">
        <f>IFERROR(IF(B12="",0,SUMIFS(표1[수금액(V+)],표1[매장코드],B12,표1[년],피벗값_구분!$X$3,표1[월],"&gt;="&amp;피벗값_구분!$X$4,표1[월],"&lt;="&amp;피벗값_구분!$X$5)),0)</f>
        <v>0</v>
      </c>
      <c r="F12" s="5">
        <f>IFERROR(IF(B12="",0,SUMIFS(표1[생산원가(V-)],표1[매장코드],B12,표1[년],피벗값_구분!$X$3,표1[월],"&gt;="&amp;피벗값_구분!$X$4,표1[월],"&lt;="&amp;피벗값_구분!$X$5)),0)</f>
        <v>0</v>
      </c>
      <c r="G12" s="5">
        <f>IFERROR(IF(B12="",0,SUMIFS(표1[총경비],표1[매장코드],B12,표1[년],피벗값_구분!$X$3,표1[월],"&gt;="&amp;피벗값_구분!$X$4,표1[월],"&lt;="&amp;피벗값_구분!$X$5)),0)</f>
        <v>0</v>
      </c>
      <c r="H12" s="5">
        <f>IFERROR(IF(B12="",0,SUMIFS(표1[영업이익(V-)],표1[매장코드],B12,표1[년],피벗값_구분!$X$3,표1[월],"&gt;="&amp;피벗값_구분!$X$4,표1[월],"&lt;="&amp;피벗값_구분!$X$5)),0)</f>
        <v>0</v>
      </c>
    </row>
    <row r="13" spans="1:19" s="11" customFormat="1" ht="15" customHeight="1">
      <c r="B13" s="18" t="str">
        <f>IFERROR(INDEX(구분!$B:$B,MATCH(7,구분!$H:$H,0)),"")</f>
        <v/>
      </c>
      <c r="C13" s="99" t="str">
        <f>IFERROR(VLOOKUP(B13,구분!$B:$C,2,0),"")</f>
        <v/>
      </c>
      <c r="D13" s="5">
        <f>IFERROR(IF(B13="",0,SUMIFS(표1[매출금액],표1[매장코드],B13,표1[년],피벗값_구분!$X$3,표1[월],"&gt;="&amp;피벗값_구분!$X$4,표1[월],"&lt;="&amp;피벗값_구분!$X$5)),0)</f>
        <v>0</v>
      </c>
      <c r="E13" s="5">
        <f>IFERROR(IF(B13="",0,SUMIFS(표1[수금액(V+)],표1[매장코드],B13,표1[년],피벗값_구분!$X$3,표1[월],"&gt;="&amp;피벗값_구분!$X$4,표1[월],"&lt;="&amp;피벗값_구분!$X$5)),0)</f>
        <v>0</v>
      </c>
      <c r="F13" s="5">
        <f>IFERROR(IF(B13="",0,SUMIFS(표1[생산원가(V-)],표1[매장코드],B13,표1[년],피벗값_구분!$X$3,표1[월],"&gt;="&amp;피벗값_구분!$X$4,표1[월],"&lt;="&amp;피벗값_구분!$X$5)),0)</f>
        <v>0</v>
      </c>
      <c r="G13" s="5">
        <f>IFERROR(IF(B13="",0,SUMIFS(표1[총경비],표1[매장코드],B13,표1[년],피벗값_구분!$X$3,표1[월],"&gt;="&amp;피벗값_구분!$X$4,표1[월],"&lt;="&amp;피벗값_구분!$X$5)),0)</f>
        <v>0</v>
      </c>
      <c r="H13" s="5">
        <f>IFERROR(IF(B13="",0,SUMIFS(표1[영업이익(V-)],표1[매장코드],B13,표1[년],피벗값_구분!$X$3,표1[월],"&gt;="&amp;피벗값_구분!$X$4,표1[월],"&lt;="&amp;피벗값_구분!$X$5)),0)</f>
        <v>0</v>
      </c>
    </row>
    <row r="14" spans="1:19" s="11" customFormat="1" ht="15" customHeight="1">
      <c r="B14" s="18" t="str">
        <f>IFERROR(INDEX(구분!$B:$B,MATCH(8,구분!$H:$H,0)),"")</f>
        <v/>
      </c>
      <c r="C14" s="99" t="str">
        <f>IFERROR(VLOOKUP(B14,구분!$B:$C,2,0),"")</f>
        <v/>
      </c>
      <c r="D14" s="5">
        <f>IFERROR(IF(B14="",0,SUMIFS(표1[매출금액],표1[매장코드],B14,표1[년],피벗값_구분!$X$3,표1[월],"&gt;="&amp;피벗값_구분!$X$4,표1[월],"&lt;="&amp;피벗값_구분!$X$5)),0)</f>
        <v>0</v>
      </c>
      <c r="E14" s="5">
        <f>IFERROR(IF(B14="",0,SUMIFS(표1[수금액(V+)],표1[매장코드],B14,표1[년],피벗값_구분!$X$3,표1[월],"&gt;="&amp;피벗값_구분!$X$4,표1[월],"&lt;="&amp;피벗값_구분!$X$5)),0)</f>
        <v>0</v>
      </c>
      <c r="F14" s="5">
        <f>IFERROR(IF(B14="",0,SUMIFS(표1[생산원가(V-)],표1[매장코드],B14,표1[년],피벗값_구분!$X$3,표1[월],"&gt;="&amp;피벗값_구분!$X$4,표1[월],"&lt;="&amp;피벗값_구분!$X$5)),0)</f>
        <v>0</v>
      </c>
      <c r="G14" s="5">
        <f>IFERROR(IF(B14="",0,SUMIFS(표1[총경비],표1[매장코드],B14,표1[년],피벗값_구분!$X$3,표1[월],"&gt;="&amp;피벗값_구분!$X$4,표1[월],"&lt;="&amp;피벗값_구분!$X$5)),0)</f>
        <v>0</v>
      </c>
      <c r="H14" s="5">
        <f>IFERROR(IF(B14="",0,SUMIFS(표1[영업이익(V-)],표1[매장코드],B14,표1[년],피벗값_구분!$X$3,표1[월],"&gt;="&amp;피벗값_구분!$X$4,표1[월],"&lt;="&amp;피벗값_구분!$X$5)),0)</f>
        <v>0</v>
      </c>
    </row>
    <row r="15" spans="1:19" s="11" customFormat="1" ht="15" customHeight="1">
      <c r="B15" s="18" t="str">
        <f>IFERROR(INDEX(구분!$B:$B,MATCH(9,구분!$H:$H,0)),"")</f>
        <v/>
      </c>
      <c r="C15" s="99" t="str">
        <f>IFERROR(VLOOKUP(B15,구분!$B:$C,2,0),"")</f>
        <v/>
      </c>
      <c r="D15" s="5">
        <f>IFERROR(IF(B15="",0,SUMIFS(표1[매출금액],표1[매장코드],B15,표1[년],피벗값_구분!$X$3,표1[월],"&gt;="&amp;피벗값_구분!$X$4,표1[월],"&lt;="&amp;피벗값_구분!$X$5)),0)</f>
        <v>0</v>
      </c>
      <c r="E15" s="5">
        <f>IFERROR(IF(B15="",0,SUMIFS(표1[수금액(V+)],표1[매장코드],B15,표1[년],피벗값_구분!$X$3,표1[월],"&gt;="&amp;피벗값_구분!$X$4,표1[월],"&lt;="&amp;피벗값_구분!$X$5)),0)</f>
        <v>0</v>
      </c>
      <c r="F15" s="5">
        <f>IFERROR(IF(B15="",0,SUMIFS(표1[생산원가(V-)],표1[매장코드],B15,표1[년],피벗값_구분!$X$3,표1[월],"&gt;="&amp;피벗값_구분!$X$4,표1[월],"&lt;="&amp;피벗값_구분!$X$5)),0)</f>
        <v>0</v>
      </c>
      <c r="G15" s="5">
        <f>IFERROR(IF(B15="",0,SUMIFS(표1[총경비],표1[매장코드],B15,표1[년],피벗값_구분!$X$3,표1[월],"&gt;="&amp;피벗값_구분!$X$4,표1[월],"&lt;="&amp;피벗값_구분!$X$5)),0)</f>
        <v>0</v>
      </c>
      <c r="H15" s="5">
        <f>IFERROR(IF(B15="",0,SUMIFS(표1[영업이익(V-)],표1[매장코드],B15,표1[년],피벗값_구분!$X$3,표1[월],"&gt;="&amp;피벗값_구분!$X$4,표1[월],"&lt;="&amp;피벗값_구분!$X$5)),0)</f>
        <v>0</v>
      </c>
    </row>
    <row r="16" spans="1:19" s="11" customFormat="1" ht="15" customHeight="1">
      <c r="B16" s="18" t="str">
        <f>IFERROR(INDEX(구분!$B:$B,MATCH(10,구분!$H:$H,0)),"")</f>
        <v/>
      </c>
      <c r="C16" s="99" t="str">
        <f>IFERROR(VLOOKUP(B16,구분!$B:$C,2,0),"")</f>
        <v/>
      </c>
      <c r="D16" s="5">
        <f>IFERROR(IF(B16="",0,SUMIFS(표1[매출금액],표1[매장코드],B16,표1[년],피벗값_구분!$X$3,표1[월],"&gt;="&amp;피벗값_구분!$X$4,표1[월],"&lt;="&amp;피벗값_구분!$X$5)),0)</f>
        <v>0</v>
      </c>
      <c r="E16" s="5">
        <f>IFERROR(IF(B16="",0,SUMIFS(표1[수금액(V+)],표1[매장코드],B16,표1[년],피벗값_구분!$X$3,표1[월],"&gt;="&amp;피벗값_구분!$X$4,표1[월],"&lt;="&amp;피벗값_구분!$X$5)),0)</f>
        <v>0</v>
      </c>
      <c r="F16" s="5">
        <f>IFERROR(IF(B16="",0,SUMIFS(표1[생산원가(V-)],표1[매장코드],B16,표1[년],피벗값_구분!$X$3,표1[월],"&gt;="&amp;피벗값_구분!$X$4,표1[월],"&lt;="&amp;피벗값_구분!$X$5)),0)</f>
        <v>0</v>
      </c>
      <c r="G16" s="5">
        <f>IFERROR(IF(B16="",0,SUMIFS(표1[총경비],표1[매장코드],B16,표1[년],피벗값_구분!$X$3,표1[월],"&gt;="&amp;피벗값_구분!$X$4,표1[월],"&lt;="&amp;피벗값_구분!$X$5)),0)</f>
        <v>0</v>
      </c>
      <c r="H16" s="5">
        <f>IFERROR(IF(B16="",0,SUMIFS(표1[영업이익(V-)],표1[매장코드],B16,표1[년],피벗값_구분!$X$3,표1[월],"&gt;="&amp;피벗값_구분!$X$4,표1[월],"&lt;="&amp;피벗값_구분!$X$5)),0)</f>
        <v>0</v>
      </c>
    </row>
    <row r="17" spans="2:8" s="11" customFormat="1" ht="15" customHeight="1">
      <c r="B17" s="18" t="str">
        <f>IFERROR(INDEX(구분!$B:$B,MATCH(11,구분!$H:$H,0)),"")</f>
        <v/>
      </c>
      <c r="C17" s="99" t="str">
        <f>IFERROR(VLOOKUP(B17,구분!$B:$C,2,0),"")</f>
        <v/>
      </c>
      <c r="D17" s="5">
        <f>IFERROR(IF(B17="",0,SUMIFS(표1[매출금액],표1[매장코드],B17,표1[년],피벗값_구분!$X$3,표1[월],"&gt;="&amp;피벗값_구분!$X$4,표1[월],"&lt;="&amp;피벗값_구분!$X$5)),0)</f>
        <v>0</v>
      </c>
      <c r="E17" s="5">
        <f>IFERROR(IF(B17="",0,SUMIFS(표1[수금액(V+)],표1[매장코드],B17,표1[년],피벗값_구분!$X$3,표1[월],"&gt;="&amp;피벗값_구분!$X$4,표1[월],"&lt;="&amp;피벗값_구분!$X$5)),0)</f>
        <v>0</v>
      </c>
      <c r="F17" s="5">
        <f>IFERROR(IF(B17="",0,SUMIFS(표1[생산원가(V-)],표1[매장코드],B17,표1[년],피벗값_구분!$X$3,표1[월],"&gt;="&amp;피벗값_구분!$X$4,표1[월],"&lt;="&amp;피벗값_구분!$X$5)),0)</f>
        <v>0</v>
      </c>
      <c r="G17" s="5">
        <f>IFERROR(IF(B17="",0,SUMIFS(표1[총경비],표1[매장코드],B17,표1[년],피벗값_구분!$X$3,표1[월],"&gt;="&amp;피벗값_구분!$X$4,표1[월],"&lt;="&amp;피벗값_구분!$X$5)),0)</f>
        <v>0</v>
      </c>
      <c r="H17" s="5">
        <f>IFERROR(IF(B17="",0,SUMIFS(표1[영업이익(V-)],표1[매장코드],B17,표1[년],피벗값_구분!$X$3,표1[월],"&gt;="&amp;피벗값_구분!$X$4,표1[월],"&lt;="&amp;피벗값_구분!$X$5)),0)</f>
        <v>0</v>
      </c>
    </row>
    <row r="18" spans="2:8" s="11" customFormat="1" ht="15" customHeight="1">
      <c r="B18" s="18" t="str">
        <f>IFERROR(INDEX(구분!$B:$B,MATCH(12,구분!$H:$H,0)),"")</f>
        <v/>
      </c>
      <c r="C18" s="99" t="str">
        <f>IFERROR(VLOOKUP(B18,구분!$B:$C,2,0),"")</f>
        <v/>
      </c>
      <c r="D18" s="5">
        <f>IFERROR(IF(B18="",0,SUMIFS(표1[매출금액],표1[매장코드],B18,표1[년],피벗값_구분!$X$3,표1[월],"&gt;="&amp;피벗값_구분!$X$4,표1[월],"&lt;="&amp;피벗값_구분!$X$5)),0)</f>
        <v>0</v>
      </c>
      <c r="E18" s="5">
        <f>IFERROR(IF(B18="",0,SUMIFS(표1[수금액(V+)],표1[매장코드],B18,표1[년],피벗값_구분!$X$3,표1[월],"&gt;="&amp;피벗값_구분!$X$4,표1[월],"&lt;="&amp;피벗값_구분!$X$5)),0)</f>
        <v>0</v>
      </c>
      <c r="F18" s="5">
        <f>IFERROR(IF(B18="",0,SUMIFS(표1[생산원가(V-)],표1[매장코드],B18,표1[년],피벗값_구분!$X$3,표1[월],"&gt;="&amp;피벗값_구분!$X$4,표1[월],"&lt;="&amp;피벗값_구분!$X$5)),0)</f>
        <v>0</v>
      </c>
      <c r="G18" s="5">
        <f>IFERROR(IF(B18="",0,SUMIFS(표1[총경비],표1[매장코드],B18,표1[년],피벗값_구분!$X$3,표1[월],"&gt;="&amp;피벗값_구분!$X$4,표1[월],"&lt;="&amp;피벗값_구분!$X$5)),0)</f>
        <v>0</v>
      </c>
      <c r="H18" s="5">
        <f>IFERROR(IF(B18="",0,SUMIFS(표1[영업이익(V-)],표1[매장코드],B18,표1[년],피벗값_구분!$X$3,표1[월],"&gt;="&amp;피벗값_구분!$X$4,표1[월],"&lt;="&amp;피벗값_구분!$X$5)),0)</f>
        <v>0</v>
      </c>
    </row>
    <row r="19" spans="2:8" s="11" customFormat="1" ht="15" customHeight="1">
      <c r="B19" s="18" t="str">
        <f>IFERROR(INDEX(구분!$B:$B,MATCH(13,구분!$H:$H,0)),"")</f>
        <v/>
      </c>
      <c r="C19" s="99" t="str">
        <f>IFERROR(VLOOKUP(B19,구분!$B:$C,2,0),"")</f>
        <v/>
      </c>
      <c r="D19" s="5">
        <f>IFERROR(IF(B19="",0,SUMIFS(표1[매출금액],표1[매장코드],B19,표1[년],피벗값_구분!$X$3,표1[월],"&gt;="&amp;피벗값_구분!$X$4,표1[월],"&lt;="&amp;피벗값_구분!$X$5)),0)</f>
        <v>0</v>
      </c>
      <c r="E19" s="5">
        <f>IFERROR(IF(B19="",0,SUMIFS(표1[수금액(V+)],표1[매장코드],B19,표1[년],피벗값_구분!$X$3,표1[월],"&gt;="&amp;피벗값_구분!$X$4,표1[월],"&lt;="&amp;피벗값_구분!$X$5)),0)</f>
        <v>0</v>
      </c>
      <c r="F19" s="5">
        <f>IFERROR(IF(B19="",0,SUMIFS(표1[생산원가(V-)],표1[매장코드],B19,표1[년],피벗값_구분!$X$3,표1[월],"&gt;="&amp;피벗값_구분!$X$4,표1[월],"&lt;="&amp;피벗값_구분!$X$5)),0)</f>
        <v>0</v>
      </c>
      <c r="G19" s="5">
        <f>IFERROR(IF(B19="",0,SUMIFS(표1[총경비],표1[매장코드],B19,표1[년],피벗값_구분!$X$3,표1[월],"&gt;="&amp;피벗값_구분!$X$4,표1[월],"&lt;="&amp;피벗값_구분!$X$5)),0)</f>
        <v>0</v>
      </c>
      <c r="H19" s="5">
        <f>IFERROR(IF(B19="",0,SUMIFS(표1[영업이익(V-)],표1[매장코드],B19,표1[년],피벗값_구분!$X$3,표1[월],"&gt;="&amp;피벗값_구분!$X$4,표1[월],"&lt;="&amp;피벗값_구분!$X$5)),0)</f>
        <v>0</v>
      </c>
    </row>
    <row r="20" spans="2:8" s="11" customFormat="1" ht="15" customHeight="1">
      <c r="B20" s="18" t="str">
        <f>IFERROR(INDEX(구분!$B:$B,MATCH(14,구분!$H:$H,0)),"")</f>
        <v/>
      </c>
      <c r="C20" s="99" t="str">
        <f>IFERROR(VLOOKUP(B20,구분!$B:$C,2,0),"")</f>
        <v/>
      </c>
      <c r="D20" s="5">
        <f>IFERROR(IF(B20="",0,SUMIFS(표1[매출금액],표1[매장코드],B20,표1[년],피벗값_구분!$X$3,표1[월],"&gt;="&amp;피벗값_구분!$X$4,표1[월],"&lt;="&amp;피벗값_구분!$X$5)),0)</f>
        <v>0</v>
      </c>
      <c r="E20" s="5">
        <f>IFERROR(IF(B20="",0,SUMIFS(표1[수금액(V+)],표1[매장코드],B20,표1[년],피벗값_구분!$X$3,표1[월],"&gt;="&amp;피벗값_구분!$X$4,표1[월],"&lt;="&amp;피벗값_구분!$X$5)),0)</f>
        <v>0</v>
      </c>
      <c r="F20" s="5">
        <f>IFERROR(IF(B20="",0,SUMIFS(표1[생산원가(V-)],표1[매장코드],B20,표1[년],피벗값_구분!$X$3,표1[월],"&gt;="&amp;피벗값_구분!$X$4,표1[월],"&lt;="&amp;피벗값_구분!$X$5)),0)</f>
        <v>0</v>
      </c>
      <c r="G20" s="5">
        <f>IFERROR(IF(B20="",0,SUMIFS(표1[총경비],표1[매장코드],B20,표1[년],피벗값_구분!$X$3,표1[월],"&gt;="&amp;피벗값_구분!$X$4,표1[월],"&lt;="&amp;피벗값_구분!$X$5)),0)</f>
        <v>0</v>
      </c>
      <c r="H20" s="5">
        <f>IFERROR(IF(B20="",0,SUMIFS(표1[영업이익(V-)],표1[매장코드],B20,표1[년],피벗값_구분!$X$3,표1[월],"&gt;="&amp;피벗값_구분!$X$4,표1[월],"&lt;="&amp;피벗값_구분!$X$5)),0)</f>
        <v>0</v>
      </c>
    </row>
    <row r="21" spans="2:8" s="11" customFormat="1" ht="15" customHeight="1">
      <c r="B21" s="18" t="str">
        <f>IFERROR(INDEX(구분!$B:$B,MATCH(15,구분!$H:$H,0)),"")</f>
        <v/>
      </c>
      <c r="C21" s="99" t="str">
        <f>IFERROR(VLOOKUP(B21,구분!$B:$C,2,0),"")</f>
        <v/>
      </c>
      <c r="D21" s="5">
        <f>IFERROR(IF(B21="",0,SUMIFS(표1[매출금액],표1[매장코드],B21,표1[년],피벗값_구분!$X$3,표1[월],"&gt;="&amp;피벗값_구분!$X$4,표1[월],"&lt;="&amp;피벗값_구분!$X$5)),0)</f>
        <v>0</v>
      </c>
      <c r="E21" s="5">
        <f>IFERROR(IF(B21="",0,SUMIFS(표1[수금액(V+)],표1[매장코드],B21,표1[년],피벗값_구분!$X$3,표1[월],"&gt;="&amp;피벗값_구분!$X$4,표1[월],"&lt;="&amp;피벗값_구분!$X$5)),0)</f>
        <v>0</v>
      </c>
      <c r="F21" s="5">
        <f>IFERROR(IF(B21="",0,SUMIFS(표1[생산원가(V-)],표1[매장코드],B21,표1[년],피벗값_구분!$X$3,표1[월],"&gt;="&amp;피벗값_구분!$X$4,표1[월],"&lt;="&amp;피벗값_구분!$X$5)),0)</f>
        <v>0</v>
      </c>
      <c r="G21" s="5">
        <f>IFERROR(IF(B21="",0,SUMIFS(표1[총경비],표1[매장코드],B21,표1[년],피벗값_구분!$X$3,표1[월],"&gt;="&amp;피벗값_구분!$X$4,표1[월],"&lt;="&amp;피벗값_구분!$X$5)),0)</f>
        <v>0</v>
      </c>
      <c r="H21" s="5">
        <f>IFERROR(IF(B21="",0,SUMIFS(표1[영업이익(V-)],표1[매장코드],B21,표1[년],피벗값_구분!$X$3,표1[월],"&gt;="&amp;피벗값_구분!$X$4,표1[월],"&lt;="&amp;피벗값_구분!$X$5)),0)</f>
        <v>0</v>
      </c>
    </row>
    <row r="22" spans="2:8" s="11" customFormat="1" ht="15" customHeight="1">
      <c r="B22" s="18" t="str">
        <f>IFERROR(INDEX(구분!$B:$B,MATCH(16,구분!$H:$H,0)),"")</f>
        <v/>
      </c>
      <c r="C22" s="99" t="str">
        <f>IFERROR(VLOOKUP(B22,구분!$B:$C,2,0),"")</f>
        <v/>
      </c>
      <c r="D22" s="5">
        <f>IFERROR(IF(B22="",0,SUMIFS(표1[매출금액],표1[매장코드],B22,표1[년],피벗값_구분!$X$3,표1[월],"&gt;="&amp;피벗값_구분!$X$4,표1[월],"&lt;="&amp;피벗값_구분!$X$5)),0)</f>
        <v>0</v>
      </c>
      <c r="E22" s="5">
        <f>IFERROR(IF(B22="",0,SUMIFS(표1[수금액(V+)],표1[매장코드],B22,표1[년],피벗값_구분!$X$3,표1[월],"&gt;="&amp;피벗값_구분!$X$4,표1[월],"&lt;="&amp;피벗값_구분!$X$5)),0)</f>
        <v>0</v>
      </c>
      <c r="F22" s="5">
        <f>IFERROR(IF(B22="",0,SUMIFS(표1[생산원가(V-)],표1[매장코드],B22,표1[년],피벗값_구분!$X$3,표1[월],"&gt;="&amp;피벗값_구분!$X$4,표1[월],"&lt;="&amp;피벗값_구분!$X$5)),0)</f>
        <v>0</v>
      </c>
      <c r="G22" s="5">
        <f>IFERROR(IF(B22="",0,SUMIFS(표1[총경비],표1[매장코드],B22,표1[년],피벗값_구분!$X$3,표1[월],"&gt;="&amp;피벗값_구분!$X$4,표1[월],"&lt;="&amp;피벗값_구분!$X$5)),0)</f>
        <v>0</v>
      </c>
      <c r="H22" s="5">
        <f>IFERROR(IF(B22="",0,SUMIFS(표1[영업이익(V-)],표1[매장코드],B22,표1[년],피벗값_구분!$X$3,표1[월],"&gt;="&amp;피벗값_구분!$X$4,표1[월],"&lt;="&amp;피벗값_구분!$X$5)),0)</f>
        <v>0</v>
      </c>
    </row>
    <row r="23" spans="2:8" s="11" customFormat="1" ht="15" customHeight="1">
      <c r="B23" s="18" t="str">
        <f>IFERROR(INDEX(구분!$B:$B,MATCH(17,구분!$H:$H,0)),"")</f>
        <v/>
      </c>
      <c r="C23" s="99" t="str">
        <f>IFERROR(VLOOKUP(B23,구분!$B:$C,2,0),"")</f>
        <v/>
      </c>
      <c r="D23" s="5">
        <f>IFERROR(IF(B23="",0,SUMIFS(표1[매출금액],표1[매장코드],B23,표1[년],피벗값_구분!$X$3,표1[월],"&gt;="&amp;피벗값_구분!$X$4,표1[월],"&lt;="&amp;피벗값_구분!$X$5)),0)</f>
        <v>0</v>
      </c>
      <c r="E23" s="5">
        <f>IFERROR(IF(B23="",0,SUMIFS(표1[수금액(V+)],표1[매장코드],B23,표1[년],피벗값_구분!$X$3,표1[월],"&gt;="&amp;피벗값_구분!$X$4,표1[월],"&lt;="&amp;피벗값_구분!$X$5)),0)</f>
        <v>0</v>
      </c>
      <c r="F23" s="5">
        <f>IFERROR(IF(B23="",0,SUMIFS(표1[생산원가(V-)],표1[매장코드],B23,표1[년],피벗값_구분!$X$3,표1[월],"&gt;="&amp;피벗값_구분!$X$4,표1[월],"&lt;="&amp;피벗값_구분!$X$5)),0)</f>
        <v>0</v>
      </c>
      <c r="G23" s="5">
        <f>IFERROR(IF(B23="",0,SUMIFS(표1[총경비],표1[매장코드],B23,표1[년],피벗값_구분!$X$3,표1[월],"&gt;="&amp;피벗값_구분!$X$4,표1[월],"&lt;="&amp;피벗값_구분!$X$5)),0)</f>
        <v>0</v>
      </c>
      <c r="H23" s="5">
        <f>IFERROR(IF(B23="",0,SUMIFS(표1[영업이익(V-)],표1[매장코드],B23,표1[년],피벗값_구분!$X$3,표1[월],"&gt;="&amp;피벗값_구분!$X$4,표1[월],"&lt;="&amp;피벗값_구분!$X$5)),0)</f>
        <v>0</v>
      </c>
    </row>
    <row r="24" spans="2:8" s="11" customFormat="1" ht="15" customHeight="1">
      <c r="B24" s="18" t="str">
        <f>IFERROR(INDEX(구분!$B:$B,MATCH(18,구분!$H:$H,0)),"")</f>
        <v/>
      </c>
      <c r="C24" s="99" t="str">
        <f>IFERROR(VLOOKUP(B24,구분!$B:$C,2,0),"")</f>
        <v/>
      </c>
      <c r="D24" s="5">
        <f>IFERROR(IF(B24="",0,SUMIFS(표1[매출금액],표1[매장코드],B24,표1[년],피벗값_구분!$X$3,표1[월],"&gt;="&amp;피벗값_구분!$X$4,표1[월],"&lt;="&amp;피벗값_구분!$X$5)),0)</f>
        <v>0</v>
      </c>
      <c r="E24" s="5">
        <f>IFERROR(IF(B24="",0,SUMIFS(표1[수금액(V+)],표1[매장코드],B24,표1[년],피벗값_구분!$X$3,표1[월],"&gt;="&amp;피벗값_구분!$X$4,표1[월],"&lt;="&amp;피벗값_구분!$X$5)),0)</f>
        <v>0</v>
      </c>
      <c r="F24" s="5">
        <f>IFERROR(IF(B24="",0,SUMIFS(표1[생산원가(V-)],표1[매장코드],B24,표1[년],피벗값_구분!$X$3,표1[월],"&gt;="&amp;피벗값_구분!$X$4,표1[월],"&lt;="&amp;피벗값_구분!$X$5)),0)</f>
        <v>0</v>
      </c>
      <c r="G24" s="5">
        <f>IFERROR(IF(B24="",0,SUMIFS(표1[총경비],표1[매장코드],B24,표1[년],피벗값_구분!$X$3,표1[월],"&gt;="&amp;피벗값_구분!$X$4,표1[월],"&lt;="&amp;피벗값_구분!$X$5)),0)</f>
        <v>0</v>
      </c>
      <c r="H24" s="5">
        <f>IFERROR(IF(B24="",0,SUMIFS(표1[영업이익(V-)],표1[매장코드],B24,표1[년],피벗값_구분!$X$3,표1[월],"&gt;="&amp;피벗값_구분!$X$4,표1[월],"&lt;="&amp;피벗값_구분!$X$5)),0)</f>
        <v>0</v>
      </c>
    </row>
    <row r="25" spans="2:8" s="11" customFormat="1" ht="15" customHeight="1">
      <c r="B25" s="18" t="str">
        <f>IFERROR(INDEX(구분!$B:$B,MATCH(19,구분!$H:$H,0)),"")</f>
        <v/>
      </c>
      <c r="C25" s="99" t="str">
        <f>IFERROR(VLOOKUP(B25,구분!$B:$C,2,0),"")</f>
        <v/>
      </c>
      <c r="D25" s="5">
        <f>IFERROR(IF(B25="",0,SUMIFS(표1[매출금액],표1[매장코드],B25,표1[년],피벗값_구분!$X$3,표1[월],"&gt;="&amp;피벗값_구분!$X$4,표1[월],"&lt;="&amp;피벗값_구분!$X$5)),0)</f>
        <v>0</v>
      </c>
      <c r="E25" s="5">
        <f>IFERROR(IF(B25="",0,SUMIFS(표1[수금액(V+)],표1[매장코드],B25,표1[년],피벗값_구분!$X$3,표1[월],"&gt;="&amp;피벗값_구분!$X$4,표1[월],"&lt;="&amp;피벗값_구분!$X$5)),0)</f>
        <v>0</v>
      </c>
      <c r="F25" s="5">
        <f>IFERROR(IF(B25="",0,SUMIFS(표1[생산원가(V-)],표1[매장코드],B25,표1[년],피벗값_구분!$X$3,표1[월],"&gt;="&amp;피벗값_구분!$X$4,표1[월],"&lt;="&amp;피벗값_구분!$X$5)),0)</f>
        <v>0</v>
      </c>
      <c r="G25" s="5">
        <f>IFERROR(IF(B25="",0,SUMIFS(표1[총경비],표1[매장코드],B25,표1[년],피벗값_구분!$X$3,표1[월],"&gt;="&amp;피벗값_구분!$X$4,표1[월],"&lt;="&amp;피벗값_구분!$X$5)),0)</f>
        <v>0</v>
      </c>
      <c r="H25" s="5">
        <f>IFERROR(IF(B25="",0,SUMIFS(표1[영업이익(V-)],표1[매장코드],B25,표1[년],피벗값_구분!$X$3,표1[월],"&gt;="&amp;피벗값_구분!$X$4,표1[월],"&lt;="&amp;피벗값_구분!$X$5)),0)</f>
        <v>0</v>
      </c>
    </row>
    <row r="26" spans="2:8" s="11" customFormat="1" ht="15" customHeight="1">
      <c r="B26" s="18" t="str">
        <f>IFERROR(INDEX(구분!$B:$B,MATCH(20,구분!$H:$H,0)),"")</f>
        <v/>
      </c>
      <c r="C26" s="99" t="str">
        <f>IFERROR(VLOOKUP(B26,구분!$B:$C,2,0),"")</f>
        <v/>
      </c>
      <c r="D26" s="5">
        <f>IFERROR(IF(B26="",0,SUMIFS(표1[매출금액],표1[매장코드],B26,표1[년],피벗값_구분!$X$3,표1[월],"&gt;="&amp;피벗값_구분!$X$4,표1[월],"&lt;="&amp;피벗값_구분!$X$5)),0)</f>
        <v>0</v>
      </c>
      <c r="E26" s="5">
        <f>IFERROR(IF(B26="",0,SUMIFS(표1[수금액(V+)],표1[매장코드],B26,표1[년],피벗값_구분!$X$3,표1[월],"&gt;="&amp;피벗값_구분!$X$4,표1[월],"&lt;="&amp;피벗값_구분!$X$5)),0)</f>
        <v>0</v>
      </c>
      <c r="F26" s="5">
        <f>IFERROR(IF(B26="",0,SUMIFS(표1[생산원가(V-)],표1[매장코드],B26,표1[년],피벗값_구분!$X$3,표1[월],"&gt;="&amp;피벗값_구분!$X$4,표1[월],"&lt;="&amp;피벗값_구분!$X$5)),0)</f>
        <v>0</v>
      </c>
      <c r="G26" s="5">
        <f>IFERROR(IF(B26="",0,SUMIFS(표1[총경비],표1[매장코드],B26,표1[년],피벗값_구분!$X$3,표1[월],"&gt;="&amp;피벗값_구분!$X$4,표1[월],"&lt;="&amp;피벗값_구분!$X$5)),0)</f>
        <v>0</v>
      </c>
      <c r="H26" s="5">
        <f>IFERROR(IF(B26="",0,SUMIFS(표1[영업이익(V-)],표1[매장코드],B26,표1[년],피벗값_구분!$X$3,표1[월],"&gt;="&amp;피벗값_구분!$X$4,표1[월],"&lt;="&amp;피벗값_구분!$X$5)),0)</f>
        <v>0</v>
      </c>
    </row>
    <row r="27" spans="2:8" s="11" customFormat="1" ht="15" customHeight="1">
      <c r="B27" s="115" t="s">
        <v>22</v>
      </c>
      <c r="C27" s="3"/>
      <c r="D27" s="54">
        <f>IFERROR(SUM(D7:D26),0)</f>
        <v>0</v>
      </c>
      <c r="E27" s="54">
        <f>IFERROR(SUM(E7:E26),0)</f>
        <v>0</v>
      </c>
      <c r="F27" s="54">
        <f>IFERROR(SUM(F7:F26),0)</f>
        <v>0</v>
      </c>
      <c r="G27" s="54">
        <f>IFERROR(SUM(G7:G26),0)</f>
        <v>0</v>
      </c>
      <c r="H27" s="54">
        <f>IFERROR(SUM(H7:H26),0)</f>
        <v>0</v>
      </c>
    </row>
    <row r="28" spans="2:8" s="11" customFormat="1" ht="15" customHeight="1"/>
    <row r="29" spans="2:8" s="11" customFormat="1" ht="15" customHeight="1"/>
    <row r="30" spans="2:8" s="11" customFormat="1" ht="15" customHeight="1"/>
    <row r="31" spans="2:8" s="11" customFormat="1" ht="15" customHeight="1"/>
    <row r="32" spans="2:8" s="11" customFormat="1" ht="15" customHeight="1"/>
    <row r="33" s="11" customFormat="1" ht="15" customHeight="1"/>
    <row r="34" s="11" customFormat="1" ht="15" customHeight="1"/>
    <row r="35" s="11" customFormat="1" ht="15" customHeight="1"/>
    <row r="36" s="11" customFormat="1" ht="15" customHeight="1"/>
    <row r="37" s="11" customFormat="1" ht="15" customHeight="1"/>
    <row r="38" s="11" customFormat="1" ht="15" customHeight="1"/>
    <row r="39" s="11" customFormat="1" ht="15" customHeight="1"/>
    <row r="40" s="11" customFormat="1" ht="15" customHeight="1"/>
    <row r="41" s="11" customFormat="1" ht="15" customHeight="1"/>
    <row r="42" s="11" customFormat="1" ht="15" customHeight="1"/>
    <row r="43" s="11" customFormat="1" ht="15" customHeight="1"/>
    <row r="44" s="11" customFormat="1" ht="15" customHeight="1"/>
    <row r="45" s="11" customFormat="1" ht="15" customHeight="1"/>
    <row r="46" s="11" customFormat="1" ht="15" customHeight="1"/>
    <row r="47" s="11" customFormat="1" ht="15" customHeight="1"/>
    <row r="48" s="11" customFormat="1" ht="15" customHeight="1"/>
    <row r="49" s="11" customFormat="1" ht="15" customHeight="1"/>
    <row r="50" s="11" customFormat="1" ht="15" customHeight="1"/>
    <row r="51" s="11" customFormat="1" ht="15" customHeight="1"/>
    <row r="52" s="11" customFormat="1" ht="15" customHeight="1"/>
    <row r="53" s="11" customFormat="1" ht="15" customHeight="1"/>
    <row r="54" s="11" customFormat="1" ht="15" customHeight="1"/>
    <row r="55" s="11" customFormat="1" ht="15" customHeight="1"/>
    <row r="56" s="11" customFormat="1" ht="15" customHeight="1"/>
    <row r="57" s="11" customFormat="1" ht="15" customHeight="1"/>
    <row r="58" s="11" customFormat="1" ht="15" customHeight="1"/>
    <row r="59" s="11" customFormat="1" ht="15" customHeight="1"/>
    <row r="60" s="11" customFormat="1" ht="15" customHeight="1"/>
    <row r="61" s="11" customFormat="1" ht="15" customHeight="1"/>
    <row r="62" s="11" customFormat="1" ht="15" customHeight="1"/>
    <row r="63" s="11" customFormat="1" ht="15" customHeight="1"/>
    <row r="64" s="11" customFormat="1" ht="15" customHeight="1"/>
    <row r="65" s="11" customFormat="1" ht="15" customHeight="1"/>
    <row r="66" s="11" customFormat="1" ht="15" customHeight="1"/>
    <row r="67" s="11" customFormat="1" ht="15" customHeight="1"/>
    <row r="68" s="11" customFormat="1" ht="15" customHeight="1"/>
    <row r="69" s="11" customFormat="1" ht="15" customHeight="1"/>
    <row r="70" s="11" customFormat="1" ht="15" customHeight="1"/>
    <row r="71" s="11" customFormat="1" ht="15" customHeight="1"/>
    <row r="72" s="11" customFormat="1" ht="15" customHeight="1"/>
    <row r="73" s="11" customFormat="1" ht="15" customHeight="1"/>
    <row r="74" s="11" customFormat="1" ht="15" customHeight="1"/>
    <row r="75" s="11" customFormat="1" ht="15" customHeight="1"/>
    <row r="76" s="11" customFormat="1" ht="15" customHeight="1"/>
    <row r="77" s="11" customFormat="1" ht="15" customHeight="1"/>
    <row r="78" s="11" customFormat="1" ht="15" customHeight="1"/>
    <row r="79" s="11" customFormat="1" ht="15" customHeight="1"/>
    <row r="80" s="11" customFormat="1" ht="15" customHeight="1"/>
    <row r="81" s="11" customFormat="1" ht="15" customHeight="1"/>
    <row r="82" s="11" customFormat="1" ht="15" customHeight="1"/>
    <row r="83" s="11" customFormat="1" ht="15" customHeight="1"/>
    <row r="84" s="11" customFormat="1" ht="15" customHeight="1"/>
    <row r="85" s="11" customFormat="1" ht="15" customHeight="1"/>
    <row r="86" s="11" customFormat="1" ht="15" customHeight="1"/>
    <row r="87" s="11" customFormat="1" ht="15" customHeight="1"/>
    <row r="88" s="11" customFormat="1" ht="15" customHeight="1"/>
    <row r="89" s="11" customFormat="1" ht="15" customHeight="1"/>
    <row r="90" s="11" customFormat="1" ht="15" customHeight="1"/>
    <row r="91" s="11" customFormat="1" ht="15" customHeight="1"/>
    <row r="92" s="11" customFormat="1" ht="15" customHeight="1"/>
    <row r="93" s="11" customFormat="1" ht="15" customHeight="1"/>
    <row r="94" s="11" customFormat="1" ht="15" customHeight="1"/>
    <row r="95" s="11" customFormat="1" ht="15" customHeight="1"/>
    <row r="96" s="11" customFormat="1" ht="15" customHeight="1"/>
    <row r="97" s="11" customFormat="1" ht="15" customHeight="1"/>
    <row r="98" s="11" customFormat="1" ht="15" customHeight="1"/>
    <row r="99" s="11" customFormat="1" ht="15" customHeight="1"/>
    <row r="100" s="11" customFormat="1" ht="15" customHeight="1"/>
    <row r="101" s="11" customFormat="1" ht="15" customHeight="1"/>
    <row r="102" s="11" customFormat="1" ht="15" customHeight="1"/>
    <row r="103" s="11" customFormat="1" ht="15" customHeight="1"/>
    <row r="104" s="11" customFormat="1" ht="15" customHeight="1"/>
    <row r="105" s="11" customFormat="1" ht="15" customHeight="1"/>
    <row r="106" s="11" customFormat="1" ht="15" customHeight="1"/>
    <row r="107" s="11" customFormat="1" ht="15" customHeight="1"/>
    <row r="108" s="11" customFormat="1" ht="15" customHeight="1"/>
    <row r="109" s="11" customFormat="1" ht="15" customHeight="1"/>
    <row r="110" s="11" customFormat="1" ht="15" customHeight="1"/>
    <row r="111" s="11" customFormat="1" ht="15" customHeight="1"/>
    <row r="112" s="11" customFormat="1" ht="15" customHeight="1"/>
    <row r="113" s="11" customFormat="1" ht="15" customHeight="1"/>
    <row r="114" s="11" customFormat="1" ht="15" customHeight="1"/>
    <row r="115" s="11" customFormat="1" ht="15" customHeight="1"/>
    <row r="116" s="11" customFormat="1" ht="15" customHeight="1"/>
    <row r="117" s="11" customFormat="1" ht="15" customHeight="1"/>
    <row r="118" s="11" customFormat="1" ht="15" customHeight="1"/>
    <row r="119" s="11" customFormat="1" ht="15" customHeight="1"/>
    <row r="120" s="11" customFormat="1" ht="15" customHeight="1"/>
    <row r="121" s="11" customFormat="1" ht="15" customHeight="1"/>
    <row r="122" s="11" customFormat="1" ht="15" customHeight="1"/>
    <row r="123" s="11" customFormat="1" ht="15" customHeight="1"/>
    <row r="124" s="11" customFormat="1" ht="15" customHeight="1"/>
    <row r="125" s="11" customFormat="1" ht="15" customHeight="1"/>
    <row r="126" s="11" customFormat="1" ht="15" customHeight="1"/>
    <row r="127" s="11" customFormat="1" ht="15" customHeight="1"/>
    <row r="128" s="11" customFormat="1" ht="15" customHeight="1"/>
    <row r="129" s="11" customFormat="1" ht="15" customHeight="1"/>
    <row r="130" s="11" customFormat="1" ht="15" customHeight="1"/>
    <row r="131" s="11" customFormat="1" ht="15" customHeight="1"/>
    <row r="132" s="11" customFormat="1" ht="15" customHeight="1"/>
    <row r="133" s="11" customFormat="1" ht="15" customHeight="1"/>
    <row r="134" s="11" customFormat="1" ht="15" customHeight="1"/>
    <row r="135" s="11" customFormat="1" ht="15" customHeight="1"/>
    <row r="136" s="11" customFormat="1" ht="15" customHeight="1"/>
    <row r="137" s="11" customFormat="1" ht="15" customHeight="1"/>
    <row r="138" s="11" customFormat="1" ht="15" customHeight="1"/>
    <row r="139" s="11" customFormat="1" ht="15" customHeight="1"/>
    <row r="140" s="11" customFormat="1" ht="15" customHeight="1"/>
    <row r="141" s="11" customFormat="1" ht="15" customHeight="1"/>
    <row r="142" s="11" customFormat="1" ht="15" customHeight="1"/>
    <row r="143" s="11" customFormat="1" ht="15" customHeight="1"/>
    <row r="144" s="11" customFormat="1" ht="15" customHeight="1"/>
    <row r="145" s="11" customFormat="1" ht="15" customHeight="1"/>
    <row r="146" s="11" customFormat="1" ht="15" customHeight="1"/>
    <row r="147" s="11" customFormat="1" ht="15" customHeight="1"/>
    <row r="148" s="11" customFormat="1" ht="15" customHeight="1"/>
    <row r="149" s="11" customFormat="1" ht="15" customHeight="1"/>
    <row r="150" s="11" customFormat="1" ht="15" customHeight="1"/>
    <row r="151" s="11" customFormat="1" ht="15" customHeight="1"/>
    <row r="152" s="11" customFormat="1" ht="15" customHeight="1"/>
    <row r="153" s="11" customFormat="1" ht="15" customHeight="1"/>
    <row r="154" s="11" customFormat="1" ht="15" customHeight="1"/>
    <row r="155" s="11" customFormat="1" ht="15" customHeight="1"/>
    <row r="156" s="11" customFormat="1" ht="15" customHeight="1"/>
    <row r="157" s="11" customFormat="1" ht="15" customHeight="1"/>
    <row r="158" s="11" customFormat="1" ht="15" customHeight="1"/>
    <row r="159" s="11" customFormat="1" ht="15" customHeight="1"/>
    <row r="160" s="11" customFormat="1" ht="15" customHeight="1"/>
    <row r="161" s="11" customFormat="1" ht="15" customHeight="1"/>
    <row r="162" s="11" customFormat="1" ht="15" customHeight="1"/>
    <row r="163" s="11" customFormat="1" ht="15" customHeight="1"/>
    <row r="164" s="11" customFormat="1" ht="15" customHeight="1"/>
    <row r="165" s="11" customFormat="1" ht="15" customHeight="1"/>
    <row r="166" s="11" customFormat="1" ht="15" customHeight="1"/>
    <row r="167" s="11" customFormat="1" ht="15" customHeight="1"/>
    <row r="168" s="11" customFormat="1" ht="15" customHeight="1"/>
    <row r="169" s="11" customFormat="1" ht="15" customHeight="1"/>
    <row r="170" s="11" customFormat="1" ht="15" customHeight="1"/>
    <row r="171" s="11" customFormat="1" ht="15" customHeight="1"/>
    <row r="172" s="11" customFormat="1" ht="15" customHeight="1"/>
    <row r="173" s="11" customFormat="1" ht="15" customHeight="1"/>
    <row r="174" s="11" customFormat="1" ht="15" customHeight="1"/>
    <row r="175" s="11" customFormat="1" ht="15" customHeight="1"/>
    <row r="176" s="11" customFormat="1" ht="15" customHeight="1"/>
    <row r="177" s="11" customFormat="1" ht="15" customHeight="1"/>
    <row r="178" s="11" customFormat="1" ht="15" customHeight="1"/>
    <row r="179" s="11" customFormat="1" ht="15" customHeight="1"/>
    <row r="180" s="11" customFormat="1" ht="15" customHeight="1"/>
    <row r="181" s="11" customFormat="1" ht="15" customHeight="1"/>
    <row r="182" s="11" customFormat="1" ht="15" customHeight="1"/>
    <row r="183" s="11" customFormat="1" ht="15" customHeight="1"/>
    <row r="184" s="11" customFormat="1" ht="15" customHeight="1"/>
    <row r="185" s="11" customFormat="1" ht="15" customHeight="1"/>
    <row r="186" s="11" customFormat="1" ht="15" customHeight="1"/>
    <row r="187" s="11" customFormat="1" ht="15" customHeight="1"/>
    <row r="188" s="11" customFormat="1" ht="15" customHeight="1"/>
    <row r="189" s="11" customFormat="1" ht="15" customHeight="1"/>
    <row r="190" s="11" customFormat="1" ht="15" customHeight="1"/>
    <row r="191" s="11" customFormat="1" ht="15" customHeight="1"/>
    <row r="192" s="11" customFormat="1" ht="15" customHeight="1"/>
    <row r="193" s="11" customFormat="1" ht="15" customHeight="1"/>
    <row r="194" s="11" customFormat="1" ht="15" customHeight="1"/>
    <row r="195" s="11" customFormat="1" ht="15" customHeight="1"/>
    <row r="196" s="11" customFormat="1" ht="15" customHeight="1"/>
    <row r="197" s="11" customFormat="1" ht="15" customHeight="1"/>
    <row r="198" s="11" customFormat="1" ht="15" customHeight="1"/>
    <row r="199" s="11" customFormat="1" ht="15" customHeight="1"/>
    <row r="200" s="11" customFormat="1" ht="15" customHeight="1"/>
    <row r="201" s="11" customFormat="1" ht="15" customHeight="1"/>
    <row r="202" s="11" customFormat="1" ht="15" customHeight="1"/>
    <row r="203" s="11" customFormat="1" ht="15" customHeight="1"/>
    <row r="204" s="11" customFormat="1" ht="15" customHeight="1"/>
    <row r="205" s="11" customFormat="1" ht="15" customHeight="1"/>
    <row r="206" s="11" customFormat="1" ht="15" customHeight="1"/>
    <row r="207" s="11" customFormat="1" ht="15" customHeight="1"/>
    <row r="208" s="11" customFormat="1" ht="15" customHeight="1"/>
    <row r="209" s="11" customFormat="1" ht="15" customHeight="1"/>
    <row r="210" s="11" customFormat="1" ht="15" customHeight="1"/>
    <row r="211" s="11" customFormat="1" ht="15" customHeight="1"/>
    <row r="212" s="11" customFormat="1" ht="15" customHeight="1"/>
    <row r="213" s="11" customFormat="1" ht="15" customHeight="1"/>
    <row r="214" s="11" customFormat="1" ht="15" customHeight="1"/>
    <row r="215" s="11" customFormat="1" ht="15" customHeight="1"/>
    <row r="216" s="11" customFormat="1" ht="15" customHeight="1"/>
    <row r="217" s="11" customFormat="1" ht="15" customHeight="1"/>
    <row r="218" s="11" customFormat="1" ht="15" customHeight="1"/>
    <row r="219" s="11" customFormat="1" ht="15" customHeight="1"/>
    <row r="220" s="11" customFormat="1" ht="15" customHeight="1"/>
    <row r="221" s="11" customFormat="1" ht="15" customHeight="1"/>
    <row r="222" s="11" customFormat="1" ht="15" customHeight="1"/>
    <row r="223" s="11" customFormat="1" ht="15" customHeight="1"/>
    <row r="224" s="11" customFormat="1" ht="15" customHeight="1"/>
    <row r="225" s="11" customFormat="1" ht="15" customHeight="1"/>
    <row r="226" s="11" customFormat="1" ht="15" customHeight="1"/>
    <row r="227" s="11" customFormat="1" ht="15" customHeight="1"/>
    <row r="228" s="11" customFormat="1" ht="15" customHeight="1"/>
    <row r="229" s="11" customFormat="1" ht="15" customHeight="1"/>
    <row r="230" s="11" customFormat="1" ht="15" customHeight="1"/>
    <row r="231" s="11" customFormat="1" ht="15" customHeight="1"/>
    <row r="232" s="11" customFormat="1" ht="15" customHeight="1"/>
    <row r="233" s="11" customFormat="1" ht="15" customHeight="1"/>
    <row r="234" s="11" customFormat="1" ht="15" customHeight="1"/>
    <row r="235" s="11" customFormat="1" ht="15" customHeight="1"/>
    <row r="236" s="11" customFormat="1" ht="15" customHeight="1"/>
  </sheetData>
  <mergeCells count="2">
    <mergeCell ref="B3:H3"/>
    <mergeCell ref="C5:H5"/>
  </mergeCells>
  <phoneticPr fontId="25" type="noConversion"/>
  <printOptions horizontalCentered="1"/>
  <pageMargins left="0.70833333333333304" right="0.70833333333333304" top="1.37777777777778" bottom="0.7479166666666670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83"/>
  <sheetViews>
    <sheetView zoomScaleNormal="100" workbookViewId="0">
      <pane xSplit="5" ySplit="1" topLeftCell="F39" activePane="bottomRight" state="frozen"/>
      <selection pane="topRight" activeCell="F1" sqref="F1"/>
      <selection pane="bottomLeft" activeCell="A926" sqref="A926"/>
      <selection pane="bottomRight" activeCell="F1080" sqref="F1080"/>
    </sheetView>
  </sheetViews>
  <sheetFormatPr defaultColWidth="8.796875" defaultRowHeight="14.4"/>
  <cols>
    <col min="1" max="1" width="5" style="2" customWidth="1"/>
    <col min="2" max="2" width="4.59765625" style="2" customWidth="1"/>
    <col min="3" max="3" width="10" style="66" customWidth="1"/>
    <col min="4" max="4" width="9.09765625" style="2" customWidth="1"/>
    <col min="5" max="5" width="17" style="2" customWidth="1"/>
    <col min="6" max="6" width="6.09765625" style="2" customWidth="1"/>
    <col min="7" max="7" width="10.8984375" style="67" customWidth="1"/>
    <col min="8" max="8" width="11" style="67" customWidth="1"/>
    <col min="9" max="9" width="10.3984375" style="67" customWidth="1"/>
    <col min="10" max="11" width="12" style="67" customWidth="1"/>
    <col min="12" max="12" width="9.8984375" style="67" customWidth="1"/>
    <col min="13" max="13" width="18.19921875" style="67" customWidth="1"/>
    <col min="14" max="14" width="19.796875" style="67" customWidth="1"/>
    <col min="15" max="16384" width="8.796875" style="2"/>
  </cols>
  <sheetData>
    <row r="1" spans="1:14" ht="15" customHeight="1">
      <c r="A1" s="68" t="s">
        <v>47</v>
      </c>
      <c r="B1" s="68" t="s">
        <v>48</v>
      </c>
      <c r="C1" s="69" t="s">
        <v>49</v>
      </c>
      <c r="D1" s="68" t="s">
        <v>50</v>
      </c>
      <c r="E1" s="68" t="s">
        <v>32</v>
      </c>
      <c r="F1" s="68" t="s">
        <v>11</v>
      </c>
      <c r="G1" s="70" t="s">
        <v>4</v>
      </c>
      <c r="H1" s="70" t="s">
        <v>5</v>
      </c>
      <c r="I1" s="70" t="s">
        <v>51</v>
      </c>
      <c r="J1" s="70" t="s">
        <v>6</v>
      </c>
      <c r="K1" s="70" t="s">
        <v>8</v>
      </c>
      <c r="L1" s="70" t="s">
        <v>7</v>
      </c>
      <c r="M1" s="71" t="s">
        <v>52</v>
      </c>
      <c r="N1" s="72" t="s">
        <v>53</v>
      </c>
    </row>
    <row r="2" spans="1:14" ht="14.25" hidden="1" customHeight="1">
      <c r="A2" s="73">
        <v>2025</v>
      </c>
      <c r="B2" s="73">
        <v>1</v>
      </c>
      <c r="C2" s="74">
        <v>45658</v>
      </c>
      <c r="D2" s="73" t="s">
        <v>54</v>
      </c>
      <c r="E2" s="75" t="s">
        <v>55</v>
      </c>
      <c r="F2" s="73" t="str">
        <f>VLOOKUP('표1'!$E2,구분!$C$3:$D$72,2,0)</f>
        <v>동일</v>
      </c>
      <c r="G2" s="76">
        <v>64753900</v>
      </c>
      <c r="H2" s="76">
        <v>41629119</v>
      </c>
      <c r="I2" s="76">
        <v>37844654</v>
      </c>
      <c r="J2" s="76">
        <v>19834710</v>
      </c>
      <c r="K2" s="76">
        <v>18009944</v>
      </c>
      <c r="L2" s="76">
        <v>6460030</v>
      </c>
      <c r="M2" s="76">
        <v>11549914</v>
      </c>
      <c r="N2" s="77">
        <v>0.17836630127858899</v>
      </c>
    </row>
    <row r="3" spans="1:14" ht="14.25" hidden="1" customHeight="1">
      <c r="A3" s="73">
        <v>2025</v>
      </c>
      <c r="B3" s="73">
        <v>1</v>
      </c>
      <c r="C3" s="74">
        <v>45658</v>
      </c>
      <c r="D3" s="73" t="s">
        <v>56</v>
      </c>
      <c r="E3" s="75" t="s">
        <v>57</v>
      </c>
      <c r="F3" s="73" t="str">
        <f>VLOOKUP('표1'!$E3,구분!$C$3:$D$72,2,0)</f>
        <v>동일</v>
      </c>
      <c r="G3" s="76">
        <v>13406000</v>
      </c>
      <c r="H3" s="76">
        <v>8713902</v>
      </c>
      <c r="I3" s="76">
        <v>7921729</v>
      </c>
      <c r="J3" s="76">
        <v>4049981</v>
      </c>
      <c r="K3" s="76">
        <v>3871748</v>
      </c>
      <c r="L3" s="76">
        <v>4840740</v>
      </c>
      <c r="M3" s="76">
        <v>-968992</v>
      </c>
      <c r="N3" s="77">
        <v>-7.2280464649478599E-2</v>
      </c>
    </row>
    <row r="4" spans="1:14" ht="14.25" hidden="1" customHeight="1">
      <c r="A4" s="73">
        <v>2025</v>
      </c>
      <c r="B4" s="73">
        <v>1</v>
      </c>
      <c r="C4" s="74">
        <v>45658</v>
      </c>
      <c r="D4" s="73" t="s">
        <v>58</v>
      </c>
      <c r="E4" s="75" t="s">
        <v>59</v>
      </c>
      <c r="F4" s="73" t="str">
        <f>VLOOKUP('표1'!$E4,구분!$C$3:$D$72,2,0)</f>
        <v>동일</v>
      </c>
      <c r="G4" s="76">
        <v>50568870</v>
      </c>
      <c r="H4" s="76">
        <v>32343437</v>
      </c>
      <c r="I4" s="76">
        <v>29403125</v>
      </c>
      <c r="J4" s="76">
        <v>17097025</v>
      </c>
      <c r="K4" s="76">
        <v>12306100</v>
      </c>
      <c r="L4" s="76">
        <v>6512750</v>
      </c>
      <c r="M4" s="76">
        <v>5793350</v>
      </c>
      <c r="N4" s="77">
        <v>0.114563555512602</v>
      </c>
    </row>
    <row r="5" spans="1:14" ht="14.25" hidden="1" customHeight="1">
      <c r="A5" s="73">
        <v>2025</v>
      </c>
      <c r="B5" s="73">
        <v>1</v>
      </c>
      <c r="C5" s="74">
        <v>45658</v>
      </c>
      <c r="D5" s="73" t="s">
        <v>60</v>
      </c>
      <c r="E5" s="75" t="s">
        <v>61</v>
      </c>
      <c r="F5" s="73" t="str">
        <f>VLOOKUP('표1'!$E5,구분!$C$3:$D$72,2,0)</f>
        <v>동일</v>
      </c>
      <c r="G5" s="76">
        <v>17678020</v>
      </c>
      <c r="H5" s="76">
        <v>11250882</v>
      </c>
      <c r="I5" s="76">
        <v>10228075</v>
      </c>
      <c r="J5" s="76">
        <v>5104653</v>
      </c>
      <c r="K5" s="76">
        <v>5123422</v>
      </c>
      <c r="L5" s="76">
        <v>4948350</v>
      </c>
      <c r="M5" s="76">
        <v>175072</v>
      </c>
      <c r="N5" s="77">
        <v>9.9033458189630406E-3</v>
      </c>
    </row>
    <row r="6" spans="1:14" ht="14.25" hidden="1" customHeight="1">
      <c r="A6" s="73">
        <v>2025</v>
      </c>
      <c r="B6" s="73">
        <v>1</v>
      </c>
      <c r="C6" s="74">
        <v>45658</v>
      </c>
      <c r="D6" s="73" t="s">
        <v>62</v>
      </c>
      <c r="E6" s="75" t="s">
        <v>63</v>
      </c>
      <c r="F6" s="73" t="str">
        <f>VLOOKUP('표1'!$E6,구분!$C$3:$D$72,2,0)</f>
        <v>동일</v>
      </c>
      <c r="G6" s="76">
        <v>48598300</v>
      </c>
      <c r="H6" s="76">
        <v>31102912</v>
      </c>
      <c r="I6" s="76">
        <v>28275375</v>
      </c>
      <c r="J6" s="76">
        <v>13510984</v>
      </c>
      <c r="K6" s="76">
        <v>14764391</v>
      </c>
      <c r="L6" s="76">
        <v>7268580</v>
      </c>
      <c r="M6" s="76">
        <v>7495811</v>
      </c>
      <c r="N6" s="77">
        <v>0.15424018011853399</v>
      </c>
    </row>
    <row r="7" spans="1:14" ht="14.25" hidden="1" customHeight="1">
      <c r="A7" s="73">
        <v>2025</v>
      </c>
      <c r="B7" s="73">
        <v>1</v>
      </c>
      <c r="C7" s="74">
        <v>45658</v>
      </c>
      <c r="D7" s="73" t="s">
        <v>64</v>
      </c>
      <c r="E7" s="75" t="s">
        <v>65</v>
      </c>
      <c r="F7" s="73" t="str">
        <f>VLOOKUP('표1'!$E7,구분!$C$3:$D$72,2,0)</f>
        <v>동일</v>
      </c>
      <c r="G7" s="76">
        <v>17208900</v>
      </c>
      <c r="H7" s="76">
        <v>11013697</v>
      </c>
      <c r="I7" s="76">
        <v>10012452</v>
      </c>
      <c r="J7" s="76">
        <v>4984739</v>
      </c>
      <c r="K7" s="76">
        <v>5027713</v>
      </c>
      <c r="L7" s="76">
        <v>4776760</v>
      </c>
      <c r="M7" s="76">
        <v>250953</v>
      </c>
      <c r="N7" s="77">
        <v>1.4582734409626199E-2</v>
      </c>
    </row>
    <row r="8" spans="1:14" ht="14.25" hidden="1" customHeight="1">
      <c r="A8" s="73">
        <v>2025</v>
      </c>
      <c r="B8" s="73">
        <v>1</v>
      </c>
      <c r="C8" s="74">
        <v>45658</v>
      </c>
      <c r="D8" s="73" t="s">
        <v>66</v>
      </c>
      <c r="E8" s="75" t="s">
        <v>67</v>
      </c>
      <c r="F8" s="73" t="str">
        <f>VLOOKUP('표1'!$E8,구분!$C$3:$D$72,2,0)</f>
        <v>동일</v>
      </c>
      <c r="G8" s="76">
        <v>27456270</v>
      </c>
      <c r="H8" s="76">
        <v>17563694</v>
      </c>
      <c r="I8" s="76">
        <v>15966995</v>
      </c>
      <c r="J8" s="76">
        <v>9346139</v>
      </c>
      <c r="K8" s="76">
        <v>6620856</v>
      </c>
      <c r="L8" s="76">
        <v>6317230</v>
      </c>
      <c r="M8" s="76">
        <v>303626</v>
      </c>
      <c r="N8" s="77">
        <v>1.10585139734766E-2</v>
      </c>
    </row>
    <row r="9" spans="1:14" ht="14.25" hidden="1" customHeight="1">
      <c r="A9" s="73">
        <v>2025</v>
      </c>
      <c r="B9" s="73">
        <v>1</v>
      </c>
      <c r="C9" s="74">
        <v>45658</v>
      </c>
      <c r="D9" s="73" t="s">
        <v>68</v>
      </c>
      <c r="E9" s="75" t="s">
        <v>69</v>
      </c>
      <c r="F9" s="73" t="str">
        <f>VLOOKUP('표1'!$E9,구분!$C$3:$D$72,2,0)</f>
        <v>동일</v>
      </c>
      <c r="G9" s="76">
        <v>50073140</v>
      </c>
      <c r="H9" s="76">
        <v>32042465</v>
      </c>
      <c r="I9" s="76">
        <v>29129514</v>
      </c>
      <c r="J9" s="76">
        <v>14656459</v>
      </c>
      <c r="K9" s="76">
        <v>14473055</v>
      </c>
      <c r="L9" s="76">
        <v>6630980</v>
      </c>
      <c r="M9" s="76">
        <v>7842075</v>
      </c>
      <c r="N9" s="77">
        <v>0.156612400108394</v>
      </c>
    </row>
    <row r="10" spans="1:14" ht="14.25" hidden="1" customHeight="1">
      <c r="A10" s="73">
        <v>2025</v>
      </c>
      <c r="B10" s="73">
        <v>1</v>
      </c>
      <c r="C10" s="74">
        <v>45658</v>
      </c>
      <c r="D10" s="73" t="s">
        <v>70</v>
      </c>
      <c r="E10" s="75" t="s">
        <v>71</v>
      </c>
      <c r="F10" s="73" t="str">
        <f>VLOOKUP('표1'!$E10,구분!$C$3:$D$72,2,0)</f>
        <v>동일</v>
      </c>
      <c r="G10" s="76">
        <v>14111670</v>
      </c>
      <c r="H10" s="76">
        <v>9031473</v>
      </c>
      <c r="I10" s="76">
        <v>8210430</v>
      </c>
      <c r="J10" s="76">
        <v>4193527</v>
      </c>
      <c r="K10" s="76">
        <v>4016903</v>
      </c>
      <c r="L10" s="76">
        <v>5347560</v>
      </c>
      <c r="M10" s="76">
        <v>-1330657</v>
      </c>
      <c r="N10" s="77">
        <v>-9.4294792891273696E-2</v>
      </c>
    </row>
    <row r="11" spans="1:14" ht="14.25" hidden="1" customHeight="1">
      <c r="A11" s="73">
        <v>2025</v>
      </c>
      <c r="B11" s="73">
        <v>1</v>
      </c>
      <c r="C11" s="74">
        <v>45658</v>
      </c>
      <c r="D11" s="73" t="s">
        <v>72</v>
      </c>
      <c r="E11" s="75" t="s">
        <v>73</v>
      </c>
      <c r="F11" s="73" t="str">
        <f>VLOOKUP('표1'!$E11,구분!$C$3:$D$72,2,0)</f>
        <v>동일</v>
      </c>
      <c r="G11" s="76">
        <v>16888660</v>
      </c>
      <c r="H11" s="76">
        <v>11315412</v>
      </c>
      <c r="I11" s="76">
        <v>10286738</v>
      </c>
      <c r="J11" s="76">
        <v>5524986</v>
      </c>
      <c r="K11" s="76">
        <v>4761752</v>
      </c>
      <c r="L11" s="76">
        <v>4768730</v>
      </c>
      <c r="M11" s="76">
        <v>-6978</v>
      </c>
      <c r="N11" s="77">
        <v>-4.13165886566391E-4</v>
      </c>
    </row>
    <row r="12" spans="1:14" ht="14.25" hidden="1" customHeight="1">
      <c r="A12" s="73">
        <v>2025</v>
      </c>
      <c r="B12" s="73">
        <v>1</v>
      </c>
      <c r="C12" s="74">
        <v>45658</v>
      </c>
      <c r="D12" s="73" t="s">
        <v>74</v>
      </c>
      <c r="E12" s="75" t="s">
        <v>75</v>
      </c>
      <c r="F12" s="73" t="str">
        <f>VLOOKUP('표1'!$E12,구분!$C$3:$D$72,2,0)</f>
        <v>동일</v>
      </c>
      <c r="G12" s="76">
        <v>24002450</v>
      </c>
      <c r="H12" s="76">
        <v>15361567</v>
      </c>
      <c r="I12" s="76">
        <v>13965061</v>
      </c>
      <c r="J12" s="76">
        <v>7478895</v>
      </c>
      <c r="K12" s="76">
        <v>6486166</v>
      </c>
      <c r="L12" s="76">
        <v>5678620</v>
      </c>
      <c r="M12" s="76">
        <v>807546</v>
      </c>
      <c r="N12" s="77">
        <v>3.3644311688636297E-2</v>
      </c>
    </row>
    <row r="13" spans="1:14" ht="14.25" hidden="1" customHeight="1">
      <c r="A13" s="73">
        <v>2025</v>
      </c>
      <c r="B13" s="73">
        <v>1</v>
      </c>
      <c r="C13" s="74">
        <v>45658</v>
      </c>
      <c r="D13" s="73" t="s">
        <v>76</v>
      </c>
      <c r="E13" s="75" t="s">
        <v>77</v>
      </c>
      <c r="F13" s="73" t="str">
        <f>VLOOKUP('표1'!$E13,구분!$C$3:$D$72,2,0)</f>
        <v>동일</v>
      </c>
      <c r="G13" s="76">
        <v>36139370</v>
      </c>
      <c r="H13" s="76">
        <v>23129196</v>
      </c>
      <c r="I13" s="76">
        <v>21026542</v>
      </c>
      <c r="J13" s="76">
        <v>11709727</v>
      </c>
      <c r="K13" s="76">
        <v>9316815</v>
      </c>
      <c r="L13" s="76">
        <v>4733900</v>
      </c>
      <c r="M13" s="76">
        <v>4582915</v>
      </c>
      <c r="N13" s="77">
        <v>0.126812249858861</v>
      </c>
    </row>
    <row r="14" spans="1:14" ht="14.25" hidden="1" customHeight="1">
      <c r="A14" s="73">
        <v>2025</v>
      </c>
      <c r="B14" s="73">
        <v>1</v>
      </c>
      <c r="C14" s="74">
        <v>45658</v>
      </c>
      <c r="D14" s="73" t="s">
        <v>78</v>
      </c>
      <c r="E14" s="75" t="s">
        <v>79</v>
      </c>
      <c r="F14" s="73" t="str">
        <f>VLOOKUP('표1'!$E14,구분!$C$3:$D$72,2,0)</f>
        <v>동일</v>
      </c>
      <c r="G14" s="76">
        <v>44421260</v>
      </c>
      <c r="H14" s="76">
        <v>28429166</v>
      </c>
      <c r="I14" s="76">
        <v>25844696</v>
      </c>
      <c r="J14" s="76">
        <v>12771922</v>
      </c>
      <c r="K14" s="76">
        <v>13072774</v>
      </c>
      <c r="L14" s="76">
        <v>7632520</v>
      </c>
      <c r="M14" s="76">
        <v>5440254</v>
      </c>
      <c r="N14" s="77">
        <v>0.12246960945359001</v>
      </c>
    </row>
    <row r="15" spans="1:14" ht="14.25" hidden="1" customHeight="1">
      <c r="A15" s="73">
        <v>2025</v>
      </c>
      <c r="B15" s="73">
        <v>1</v>
      </c>
      <c r="C15" s="74">
        <v>45658</v>
      </c>
      <c r="D15" s="73" t="s">
        <v>80</v>
      </c>
      <c r="E15" s="75" t="s">
        <v>81</v>
      </c>
      <c r="F15" s="73" t="str">
        <f>VLOOKUP('표1'!$E15,구분!$C$3:$D$72,2,0)</f>
        <v>동일</v>
      </c>
      <c r="G15" s="76">
        <v>48851670</v>
      </c>
      <c r="H15" s="76">
        <v>31252050</v>
      </c>
      <c r="I15" s="76">
        <v>28410955</v>
      </c>
      <c r="J15" s="76">
        <v>14618194</v>
      </c>
      <c r="K15" s="76">
        <v>13792761</v>
      </c>
      <c r="L15" s="76">
        <v>6167650</v>
      </c>
      <c r="M15" s="76">
        <v>7625111</v>
      </c>
      <c r="N15" s="77">
        <v>0.15608699857045899</v>
      </c>
    </row>
    <row r="16" spans="1:14" ht="14.25" hidden="1" customHeight="1">
      <c r="A16" s="73">
        <v>2025</v>
      </c>
      <c r="B16" s="73">
        <v>1</v>
      </c>
      <c r="C16" s="74">
        <v>45658</v>
      </c>
      <c r="D16" s="73" t="s">
        <v>82</v>
      </c>
      <c r="E16" s="75" t="s">
        <v>83</v>
      </c>
      <c r="F16" s="73" t="str">
        <f>VLOOKUP('표1'!$E16,구분!$C$3:$D$72,2,0)</f>
        <v>동일</v>
      </c>
      <c r="G16" s="76">
        <v>22755080</v>
      </c>
      <c r="H16" s="76">
        <v>14790813</v>
      </c>
      <c r="I16" s="76">
        <v>13446194</v>
      </c>
      <c r="J16" s="76">
        <v>6930890</v>
      </c>
      <c r="K16" s="76">
        <v>6515304</v>
      </c>
      <c r="L16" s="76">
        <v>5815040</v>
      </c>
      <c r="M16" s="76">
        <v>700264</v>
      </c>
      <c r="N16" s="77">
        <v>3.0773947459803899E-2</v>
      </c>
    </row>
    <row r="17" spans="1:14" ht="14.25" hidden="1" customHeight="1">
      <c r="A17" s="73">
        <v>2025</v>
      </c>
      <c r="B17" s="73">
        <v>1</v>
      </c>
      <c r="C17" s="74">
        <v>45658</v>
      </c>
      <c r="D17" s="73" t="s">
        <v>84</v>
      </c>
      <c r="E17" s="75" t="s">
        <v>85</v>
      </c>
      <c r="F17" s="73" t="str">
        <f>VLOOKUP('표1'!$E17,구분!$C$3:$D$72,2,0)</f>
        <v>동일</v>
      </c>
      <c r="G17" s="76">
        <v>27971260</v>
      </c>
      <c r="H17" s="76">
        <v>17898071</v>
      </c>
      <c r="I17" s="76">
        <v>16270974</v>
      </c>
      <c r="J17" s="76">
        <v>8615512</v>
      </c>
      <c r="K17" s="76">
        <v>7655462</v>
      </c>
      <c r="L17" s="76">
        <v>4088620</v>
      </c>
      <c r="M17" s="76">
        <v>3566842</v>
      </c>
      <c r="N17" s="77">
        <v>0.127518089509147</v>
      </c>
    </row>
    <row r="18" spans="1:14" ht="14.25" hidden="1" customHeight="1">
      <c r="A18" s="73">
        <v>2025</v>
      </c>
      <c r="B18" s="73">
        <v>1</v>
      </c>
      <c r="C18" s="74">
        <v>45658</v>
      </c>
      <c r="D18" s="73" t="s">
        <v>86</v>
      </c>
      <c r="E18" s="75" t="s">
        <v>87</v>
      </c>
      <c r="F18" s="73" t="str">
        <f>VLOOKUP('표1'!$E18,구분!$C$3:$D$72,2,0)</f>
        <v>동일</v>
      </c>
      <c r="G18" s="76">
        <v>26954200</v>
      </c>
      <c r="H18" s="76">
        <v>17250687</v>
      </c>
      <c r="I18" s="76">
        <v>15682443</v>
      </c>
      <c r="J18" s="76">
        <v>7823720</v>
      </c>
      <c r="K18" s="76">
        <v>7858723</v>
      </c>
      <c r="L18" s="76">
        <v>5712060</v>
      </c>
      <c r="M18" s="76">
        <v>2146663</v>
      </c>
      <c r="N18" s="77">
        <v>7.9641121876098203E-2</v>
      </c>
    </row>
    <row r="19" spans="1:14" ht="14.25" hidden="1" customHeight="1">
      <c r="A19" s="73">
        <v>2025</v>
      </c>
      <c r="B19" s="73">
        <v>1</v>
      </c>
      <c r="C19" s="74">
        <v>45658</v>
      </c>
      <c r="D19" s="73" t="s">
        <v>88</v>
      </c>
      <c r="E19" s="75" t="s">
        <v>89</v>
      </c>
      <c r="F19" s="73" t="str">
        <f>VLOOKUP('표1'!$E19,구분!$C$3:$D$72,2,0)</f>
        <v>동일</v>
      </c>
      <c r="G19" s="76">
        <v>22298250</v>
      </c>
      <c r="H19" s="76">
        <v>14270793</v>
      </c>
      <c r="I19" s="76">
        <v>12973448</v>
      </c>
      <c r="J19" s="76">
        <v>6698897</v>
      </c>
      <c r="K19" s="76">
        <v>6274551</v>
      </c>
      <c r="L19" s="76">
        <v>5596400</v>
      </c>
      <c r="M19" s="76">
        <v>678151</v>
      </c>
      <c r="N19" s="77">
        <v>3.04127535487396E-2</v>
      </c>
    </row>
    <row r="20" spans="1:14" ht="14.25" hidden="1" customHeight="1">
      <c r="A20" s="73">
        <v>2025</v>
      </c>
      <c r="B20" s="73">
        <v>1</v>
      </c>
      <c r="C20" s="74">
        <v>45658</v>
      </c>
      <c r="D20" s="73" t="s">
        <v>90</v>
      </c>
      <c r="E20" s="75" t="s">
        <v>91</v>
      </c>
      <c r="F20" s="73" t="str">
        <f>VLOOKUP('표1'!$E20,구분!$C$3:$D$72,2,0)</f>
        <v>동일</v>
      </c>
      <c r="G20" s="76">
        <v>25184250</v>
      </c>
      <c r="H20" s="76">
        <v>16621607</v>
      </c>
      <c r="I20" s="76">
        <v>15110552</v>
      </c>
      <c r="J20" s="76">
        <v>9686956</v>
      </c>
      <c r="K20" s="76">
        <v>5423596</v>
      </c>
      <c r="L20" s="76">
        <v>6397340</v>
      </c>
      <c r="M20" s="76">
        <v>-973744</v>
      </c>
      <c r="N20" s="77">
        <v>-3.8664807640417499E-2</v>
      </c>
    </row>
    <row r="21" spans="1:14" ht="14.25" hidden="1" customHeight="1">
      <c r="A21" s="73">
        <v>2025</v>
      </c>
      <c r="B21" s="73">
        <v>1</v>
      </c>
      <c r="C21" s="74">
        <v>45658</v>
      </c>
      <c r="D21" s="73" t="s">
        <v>92</v>
      </c>
      <c r="E21" s="75" t="s">
        <v>93</v>
      </c>
      <c r="F21" s="73" t="str">
        <f>VLOOKUP('표1'!$E21,구분!$C$3:$D$72,2,0)</f>
        <v>동일</v>
      </c>
      <c r="G21" s="76">
        <v>20010150</v>
      </c>
      <c r="H21" s="76">
        <v>12806497</v>
      </c>
      <c r="I21" s="76">
        <v>11642270</v>
      </c>
      <c r="J21" s="76">
        <v>5677557</v>
      </c>
      <c r="K21" s="76">
        <v>5964713</v>
      </c>
      <c r="L21" s="76">
        <v>5408590</v>
      </c>
      <c r="M21" s="76">
        <v>556123</v>
      </c>
      <c r="N21" s="77">
        <v>2.7792045536889898E-2</v>
      </c>
    </row>
    <row r="22" spans="1:14" ht="14.25" hidden="1" customHeight="1">
      <c r="A22" s="73">
        <v>2025</v>
      </c>
      <c r="B22" s="73">
        <v>1</v>
      </c>
      <c r="C22" s="74">
        <v>45658</v>
      </c>
      <c r="D22" s="73" t="s">
        <v>94</v>
      </c>
      <c r="E22" s="75" t="s">
        <v>95</v>
      </c>
      <c r="F22" s="73" t="str">
        <f>VLOOKUP('표1'!$E22,구분!$C$3:$D$72,2,0)</f>
        <v>폐점</v>
      </c>
      <c r="G22" s="76">
        <v>34183670</v>
      </c>
      <c r="H22" s="76">
        <v>21877549</v>
      </c>
      <c r="I22" s="76">
        <v>19888681</v>
      </c>
      <c r="J22" s="76">
        <v>10996408</v>
      </c>
      <c r="K22" s="76">
        <v>8892273</v>
      </c>
      <c r="L22" s="76">
        <v>6520220</v>
      </c>
      <c r="M22" s="76">
        <v>2372053</v>
      </c>
      <c r="N22" s="77">
        <v>6.9391405577309495E-2</v>
      </c>
    </row>
    <row r="23" spans="1:14" ht="14.25" hidden="1" customHeight="1">
      <c r="A23" s="73">
        <v>2025</v>
      </c>
      <c r="B23" s="73">
        <v>1</v>
      </c>
      <c r="C23" s="74">
        <v>45658</v>
      </c>
      <c r="D23" s="73" t="s">
        <v>96</v>
      </c>
      <c r="E23" s="75" t="s">
        <v>97</v>
      </c>
      <c r="F23" s="73" t="str">
        <f>VLOOKUP('표1'!$E23,구분!$C$3:$D$72,2,0)</f>
        <v>동일</v>
      </c>
      <c r="G23" s="76">
        <v>53276500</v>
      </c>
      <c r="H23" s="76">
        <v>34088015</v>
      </c>
      <c r="I23" s="76">
        <v>30989105</v>
      </c>
      <c r="J23" s="76">
        <v>16286803</v>
      </c>
      <c r="K23" s="76">
        <v>14702302</v>
      </c>
      <c r="L23" s="76">
        <v>8964000</v>
      </c>
      <c r="M23" s="76">
        <v>5738302</v>
      </c>
      <c r="N23" s="77">
        <v>0.107707930240435</v>
      </c>
    </row>
    <row r="24" spans="1:14" ht="14.25" hidden="1" customHeight="1">
      <c r="A24" s="73">
        <v>2025</v>
      </c>
      <c r="B24" s="73">
        <v>1</v>
      </c>
      <c r="C24" s="74">
        <v>45658</v>
      </c>
      <c r="D24" s="73" t="s">
        <v>98</v>
      </c>
      <c r="E24" s="75" t="s">
        <v>99</v>
      </c>
      <c r="F24" s="73" t="str">
        <f>VLOOKUP('표1'!$E24,구분!$C$3:$D$72,2,0)</f>
        <v>동일</v>
      </c>
      <c r="G24" s="76">
        <v>35937550</v>
      </c>
      <c r="H24" s="76">
        <v>23000032</v>
      </c>
      <c r="I24" s="76">
        <v>20909120</v>
      </c>
      <c r="J24" s="76">
        <v>10123261</v>
      </c>
      <c r="K24" s="76">
        <v>10785859</v>
      </c>
      <c r="L24" s="76">
        <v>7455580</v>
      </c>
      <c r="M24" s="76">
        <v>3330279</v>
      </c>
      <c r="N24" s="77">
        <v>9.2668504113385605E-2</v>
      </c>
    </row>
    <row r="25" spans="1:14" ht="14.25" hidden="1" customHeight="1">
      <c r="A25" s="73">
        <v>2025</v>
      </c>
      <c r="B25" s="73">
        <v>1</v>
      </c>
      <c r="C25" s="74">
        <v>45658</v>
      </c>
      <c r="D25" s="73" t="s">
        <v>100</v>
      </c>
      <c r="E25" s="75" t="s">
        <v>101</v>
      </c>
      <c r="F25" s="73" t="str">
        <f>VLOOKUP('표1'!$E25,구분!$C$3:$D$72,2,0)</f>
        <v>동일</v>
      </c>
      <c r="G25" s="76">
        <v>90033120</v>
      </c>
      <c r="H25" s="76">
        <v>58559739</v>
      </c>
      <c r="I25" s="76">
        <v>53236126</v>
      </c>
      <c r="J25" s="76">
        <v>28342532</v>
      </c>
      <c r="K25" s="76">
        <v>24893594</v>
      </c>
      <c r="L25" s="76">
        <v>13055430</v>
      </c>
      <c r="M25" s="76">
        <v>11838164</v>
      </c>
      <c r="N25" s="77">
        <v>0.131486772463693</v>
      </c>
    </row>
    <row r="26" spans="1:14" ht="14.25" hidden="1" customHeight="1">
      <c r="A26" s="73">
        <v>2025</v>
      </c>
      <c r="B26" s="73">
        <v>1</v>
      </c>
      <c r="C26" s="74">
        <v>45658</v>
      </c>
      <c r="D26" s="73" t="s">
        <v>102</v>
      </c>
      <c r="E26" s="75" t="s">
        <v>103</v>
      </c>
      <c r="F26" s="73" t="str">
        <f>VLOOKUP('표1'!$E26,구분!$C$3:$D$72,2,0)</f>
        <v>동일</v>
      </c>
      <c r="G26" s="76">
        <v>64908370</v>
      </c>
      <c r="H26" s="76">
        <v>43556674</v>
      </c>
      <c r="I26" s="76">
        <v>39596976</v>
      </c>
      <c r="J26" s="76">
        <v>18906475</v>
      </c>
      <c r="K26" s="76">
        <v>20690501</v>
      </c>
      <c r="L26" s="76">
        <v>8592480</v>
      </c>
      <c r="M26" s="76">
        <v>12098021</v>
      </c>
      <c r="N26" s="77">
        <v>0.18638615272015599</v>
      </c>
    </row>
    <row r="27" spans="1:14" ht="14.25" hidden="1" customHeight="1">
      <c r="A27" s="73">
        <v>2025</v>
      </c>
      <c r="B27" s="73">
        <v>1</v>
      </c>
      <c r="C27" s="74">
        <v>45658</v>
      </c>
      <c r="D27" s="73" t="s">
        <v>104</v>
      </c>
      <c r="E27" s="75" t="s">
        <v>105</v>
      </c>
      <c r="F27" s="73" t="str">
        <f>VLOOKUP('표1'!$E27,구분!$C$3:$D$72,2,0)</f>
        <v>동일</v>
      </c>
      <c r="G27" s="76">
        <v>25085130</v>
      </c>
      <c r="H27" s="76">
        <v>17030598</v>
      </c>
      <c r="I27" s="76">
        <v>15482362</v>
      </c>
      <c r="J27" s="76">
        <v>7968064</v>
      </c>
      <c r="K27" s="76">
        <v>7514298</v>
      </c>
      <c r="L27" s="76">
        <v>4096820</v>
      </c>
      <c r="M27" s="76">
        <v>3417478</v>
      </c>
      <c r="N27" s="77">
        <v>0.13623520460853999</v>
      </c>
    </row>
    <row r="28" spans="1:14" ht="14.25" hidden="1" customHeight="1">
      <c r="A28" s="73">
        <v>2025</v>
      </c>
      <c r="B28" s="73">
        <v>1</v>
      </c>
      <c r="C28" s="74">
        <v>45658</v>
      </c>
      <c r="D28" s="73" t="s">
        <v>106</v>
      </c>
      <c r="E28" s="75" t="s">
        <v>107</v>
      </c>
      <c r="F28" s="73" t="str">
        <f>VLOOKUP('표1'!$E28,구분!$C$3:$D$72,2,0)</f>
        <v>폐점</v>
      </c>
      <c r="G28" s="76">
        <v>28710160</v>
      </c>
      <c r="H28" s="76">
        <v>17845480</v>
      </c>
      <c r="I28" s="76">
        <v>16223164</v>
      </c>
      <c r="J28" s="76">
        <v>8591502</v>
      </c>
      <c r="K28" s="76">
        <v>7631662</v>
      </c>
      <c r="L28" s="76">
        <v>5770330</v>
      </c>
      <c r="M28" s="76">
        <v>1861332</v>
      </c>
      <c r="N28" s="77">
        <v>6.4831809936400003E-2</v>
      </c>
    </row>
    <row r="29" spans="1:14" ht="14.25" hidden="1" customHeight="1">
      <c r="A29" s="73">
        <v>2025</v>
      </c>
      <c r="B29" s="73">
        <v>1</v>
      </c>
      <c r="C29" s="74">
        <v>45658</v>
      </c>
      <c r="D29" s="73" t="s">
        <v>108</v>
      </c>
      <c r="E29" s="75" t="s">
        <v>109</v>
      </c>
      <c r="F29" s="73" t="str">
        <f>VLOOKUP('표1'!$E29,구분!$C$3:$D$72,2,0)</f>
        <v>동일</v>
      </c>
      <c r="G29" s="76">
        <v>28354450</v>
      </c>
      <c r="H29" s="76">
        <v>17579759</v>
      </c>
      <c r="I29" s="76">
        <v>15981599</v>
      </c>
      <c r="J29" s="76">
        <v>7700138</v>
      </c>
      <c r="K29" s="76">
        <v>8281461</v>
      </c>
      <c r="L29" s="76">
        <v>5666080</v>
      </c>
      <c r="M29" s="76">
        <v>2615381</v>
      </c>
      <c r="N29" s="77">
        <v>9.2238822862340503E-2</v>
      </c>
    </row>
    <row r="30" spans="1:14" ht="14.25" hidden="1" customHeight="1">
      <c r="A30" s="73">
        <v>2025</v>
      </c>
      <c r="B30" s="73">
        <v>1</v>
      </c>
      <c r="C30" s="74">
        <v>45658</v>
      </c>
      <c r="D30" s="73" t="s">
        <v>110</v>
      </c>
      <c r="E30" s="75" t="s">
        <v>111</v>
      </c>
      <c r="F30" s="73" t="str">
        <f>VLOOKUP('표1'!$E30,구분!$C$3:$D$72,2,0)</f>
        <v>동일</v>
      </c>
      <c r="G30" s="76">
        <v>95573730</v>
      </c>
      <c r="H30" s="76">
        <v>61210019</v>
      </c>
      <c r="I30" s="76">
        <v>55645472</v>
      </c>
      <c r="J30" s="76">
        <v>30217972</v>
      </c>
      <c r="K30" s="76">
        <v>25427500</v>
      </c>
      <c r="L30" s="76">
        <v>13332440</v>
      </c>
      <c r="M30" s="76">
        <v>12095060</v>
      </c>
      <c r="N30" s="77">
        <v>0.12655213747733601</v>
      </c>
    </row>
    <row r="31" spans="1:14" ht="14.25" hidden="1" customHeight="1">
      <c r="A31" s="73">
        <v>2025</v>
      </c>
      <c r="B31" s="73">
        <v>1</v>
      </c>
      <c r="C31" s="74">
        <v>45658</v>
      </c>
      <c r="D31" s="73" t="s">
        <v>112</v>
      </c>
      <c r="E31" s="75" t="s">
        <v>113</v>
      </c>
      <c r="F31" s="73" t="str">
        <f>VLOOKUP('표1'!$E31,구분!$C$3:$D$72,2,0)</f>
        <v>동일</v>
      </c>
      <c r="G31" s="76">
        <v>39895540</v>
      </c>
      <c r="H31" s="76">
        <v>26633846</v>
      </c>
      <c r="I31" s="76">
        <v>24212587</v>
      </c>
      <c r="J31" s="76">
        <v>11521549</v>
      </c>
      <c r="K31" s="76">
        <v>12691038</v>
      </c>
      <c r="L31" s="76">
        <v>7721610</v>
      </c>
      <c r="M31" s="76">
        <v>4969428</v>
      </c>
      <c r="N31" s="77">
        <v>0.124560997864104</v>
      </c>
    </row>
    <row r="32" spans="1:14" ht="14.25" hidden="1" customHeight="1">
      <c r="A32" s="73">
        <v>2025</v>
      </c>
      <c r="B32" s="73">
        <v>1</v>
      </c>
      <c r="C32" s="74">
        <v>45658</v>
      </c>
      <c r="D32" s="73" t="s">
        <v>114</v>
      </c>
      <c r="E32" s="75" t="s">
        <v>115</v>
      </c>
      <c r="F32" s="73" t="str">
        <f>VLOOKUP('표1'!$E32,구분!$C$3:$D$72,2,0)</f>
        <v>폐점</v>
      </c>
      <c r="G32" s="76">
        <v>7724160</v>
      </c>
      <c r="H32" s="76">
        <v>4980333</v>
      </c>
      <c r="I32" s="76">
        <v>4527575</v>
      </c>
      <c r="J32" s="76">
        <v>2585786</v>
      </c>
      <c r="K32" s="76">
        <v>1941789</v>
      </c>
      <c r="L32" s="76">
        <v>3368790</v>
      </c>
      <c r="M32" s="76">
        <v>-1427001</v>
      </c>
      <c r="N32" s="77">
        <v>-0.18474507848808799</v>
      </c>
    </row>
    <row r="33" spans="1:14" ht="14.25" hidden="1" customHeight="1">
      <c r="A33" s="73">
        <v>2025</v>
      </c>
      <c r="B33" s="73">
        <v>1</v>
      </c>
      <c r="C33" s="74">
        <v>45658</v>
      </c>
      <c r="D33" s="73" t="s">
        <v>116</v>
      </c>
      <c r="E33" s="75" t="s">
        <v>117</v>
      </c>
      <c r="F33" s="73" t="str">
        <f>VLOOKUP('표1'!$E33,구분!$C$3:$D$72,2,0)</f>
        <v>동일</v>
      </c>
      <c r="G33" s="76">
        <v>18440100</v>
      </c>
      <c r="H33" s="76">
        <v>12685030</v>
      </c>
      <c r="I33" s="76">
        <v>11531845</v>
      </c>
      <c r="J33" s="76">
        <v>5315903</v>
      </c>
      <c r="K33" s="76">
        <v>6215942</v>
      </c>
      <c r="L33" s="76">
        <v>4828290</v>
      </c>
      <c r="M33" s="76">
        <v>1387652</v>
      </c>
      <c r="N33" s="77">
        <v>7.5251894216704501E-2</v>
      </c>
    </row>
    <row r="34" spans="1:14" ht="14.25" hidden="1" customHeight="1">
      <c r="A34" s="73">
        <v>2025</v>
      </c>
      <c r="B34" s="73">
        <v>1</v>
      </c>
      <c r="C34" s="74">
        <v>45658</v>
      </c>
      <c r="D34" s="73" t="s">
        <v>118</v>
      </c>
      <c r="E34" s="75" t="s">
        <v>119</v>
      </c>
      <c r="F34" s="73" t="str">
        <f>VLOOKUP('표1'!$E34,구분!$C$3:$D$72,2,0)</f>
        <v>동일</v>
      </c>
      <c r="G34" s="76">
        <v>66409630</v>
      </c>
      <c r="H34" s="76">
        <v>42788101</v>
      </c>
      <c r="I34" s="76">
        <v>38898274</v>
      </c>
      <c r="J34" s="76">
        <v>21611336</v>
      </c>
      <c r="K34" s="76">
        <v>17286938</v>
      </c>
      <c r="L34" s="76">
        <v>10493580</v>
      </c>
      <c r="M34" s="76">
        <v>6793358</v>
      </c>
      <c r="N34" s="77">
        <v>0.102294767134881</v>
      </c>
    </row>
    <row r="35" spans="1:14" ht="14.25" hidden="1" customHeight="1">
      <c r="A35" s="73">
        <v>2025</v>
      </c>
      <c r="B35" s="73">
        <v>1</v>
      </c>
      <c r="C35" s="74">
        <v>45658</v>
      </c>
      <c r="D35" s="73" t="s">
        <v>120</v>
      </c>
      <c r="E35" s="75" t="s">
        <v>121</v>
      </c>
      <c r="F35" s="73" t="str">
        <f>VLOOKUP('표1'!$E35,구분!$C$3:$D$72,2,0)</f>
        <v>동일</v>
      </c>
      <c r="G35" s="76">
        <v>80863030</v>
      </c>
      <c r="H35" s="76">
        <v>51440988</v>
      </c>
      <c r="I35" s="76">
        <v>46764535</v>
      </c>
      <c r="J35" s="76">
        <v>25668569</v>
      </c>
      <c r="K35" s="76">
        <v>21095966</v>
      </c>
      <c r="L35" s="76">
        <v>9647220</v>
      </c>
      <c r="M35" s="76">
        <v>11448746</v>
      </c>
      <c r="N35" s="77">
        <v>0.14158195092930001</v>
      </c>
    </row>
    <row r="36" spans="1:14" ht="14.25" hidden="1" customHeight="1">
      <c r="A36" s="73">
        <v>2025</v>
      </c>
      <c r="B36" s="73">
        <v>1</v>
      </c>
      <c r="C36" s="74">
        <v>45658</v>
      </c>
      <c r="D36" s="73" t="s">
        <v>122</v>
      </c>
      <c r="E36" s="75" t="s">
        <v>123</v>
      </c>
      <c r="F36" s="73" t="str">
        <f>VLOOKUP('표1'!$E36,구분!$C$3:$D$72,2,0)</f>
        <v>동일</v>
      </c>
      <c r="G36" s="76">
        <v>37235670</v>
      </c>
      <c r="H36" s="76">
        <v>23467869</v>
      </c>
      <c r="I36" s="76">
        <v>21334426</v>
      </c>
      <c r="J36" s="76">
        <v>10928630</v>
      </c>
      <c r="K36" s="76">
        <v>10405796</v>
      </c>
      <c r="L36" s="76">
        <v>6396750</v>
      </c>
      <c r="M36" s="76">
        <v>4009046</v>
      </c>
      <c r="N36" s="77">
        <v>0.107666824945982</v>
      </c>
    </row>
    <row r="37" spans="1:14" ht="14.25" hidden="1" customHeight="1">
      <c r="A37" s="73">
        <v>2025</v>
      </c>
      <c r="B37" s="73">
        <v>1</v>
      </c>
      <c r="C37" s="74">
        <v>45658</v>
      </c>
      <c r="D37" s="73" t="s">
        <v>124</v>
      </c>
      <c r="E37" s="75" t="s">
        <v>125</v>
      </c>
      <c r="F37" s="73" t="str">
        <f>VLOOKUP('표1'!$E37,구분!$C$3:$D$72,2,0)</f>
        <v>동일</v>
      </c>
      <c r="G37" s="76">
        <v>65635340</v>
      </c>
      <c r="H37" s="76">
        <v>41350268</v>
      </c>
      <c r="I37" s="76">
        <v>37591153</v>
      </c>
      <c r="J37" s="76">
        <v>18704209</v>
      </c>
      <c r="K37" s="76">
        <v>18886944</v>
      </c>
      <c r="L37" s="76">
        <v>7758270</v>
      </c>
      <c r="M37" s="76">
        <v>11128674</v>
      </c>
      <c r="N37" s="77">
        <v>0.169553075024411</v>
      </c>
    </row>
    <row r="38" spans="1:14" ht="14.25" hidden="1" customHeight="1">
      <c r="A38" s="73">
        <v>2025</v>
      </c>
      <c r="B38" s="73">
        <v>1</v>
      </c>
      <c r="C38" s="74">
        <v>45658</v>
      </c>
      <c r="D38" s="73" t="s">
        <v>126</v>
      </c>
      <c r="E38" s="75" t="s">
        <v>127</v>
      </c>
      <c r="F38" s="73" t="str">
        <f>VLOOKUP('표1'!$E38,구분!$C$3:$D$72,2,0)</f>
        <v>동일</v>
      </c>
      <c r="G38" s="76">
        <v>56653530</v>
      </c>
      <c r="H38" s="76">
        <v>35779290</v>
      </c>
      <c r="I38" s="76">
        <v>32526627</v>
      </c>
      <c r="J38" s="76">
        <v>16037286</v>
      </c>
      <c r="K38" s="76">
        <v>16489341</v>
      </c>
      <c r="L38" s="76">
        <v>8478660</v>
      </c>
      <c r="M38" s="76">
        <v>8010681</v>
      </c>
      <c r="N38" s="77">
        <v>0.14139774296018801</v>
      </c>
    </row>
    <row r="39" spans="1:14" ht="14.25" customHeight="1">
      <c r="A39" s="73">
        <v>2025</v>
      </c>
      <c r="B39" s="73">
        <v>1</v>
      </c>
      <c r="C39" s="74">
        <v>45658</v>
      </c>
      <c r="D39" s="73" t="s">
        <v>128</v>
      </c>
      <c r="E39" s="75" t="s">
        <v>129</v>
      </c>
      <c r="F39" s="73" t="str">
        <f>VLOOKUP('표1'!$E39,구분!$C$3:$D$72,2,0)</f>
        <v>동일</v>
      </c>
      <c r="G39" s="76">
        <v>78506820</v>
      </c>
      <c r="H39" s="76">
        <v>49923535</v>
      </c>
      <c r="I39" s="76">
        <v>45385032</v>
      </c>
      <c r="J39" s="76">
        <v>24606445</v>
      </c>
      <c r="K39" s="76">
        <v>20778587</v>
      </c>
      <c r="L39" s="76">
        <v>11384120</v>
      </c>
      <c r="M39" s="76">
        <v>9394467</v>
      </c>
      <c r="N39" s="77">
        <v>0.11966434022142</v>
      </c>
    </row>
    <row r="40" spans="1:14" ht="14.25" hidden="1" customHeight="1">
      <c r="A40" s="73">
        <v>2025</v>
      </c>
      <c r="B40" s="73">
        <v>1</v>
      </c>
      <c r="C40" s="74">
        <v>45658</v>
      </c>
      <c r="D40" s="73" t="s">
        <v>130</v>
      </c>
      <c r="E40" s="75" t="s">
        <v>131</v>
      </c>
      <c r="F40" s="73" t="str">
        <f>VLOOKUP('표1'!$E40,구분!$C$3:$D$72,2,0)</f>
        <v>동일</v>
      </c>
      <c r="G40" s="76">
        <v>42226150</v>
      </c>
      <c r="H40" s="76">
        <v>26602491</v>
      </c>
      <c r="I40" s="76">
        <v>24184083</v>
      </c>
      <c r="J40" s="76">
        <v>12657772</v>
      </c>
      <c r="K40" s="76">
        <v>11526311</v>
      </c>
      <c r="L40" s="76">
        <v>5435790</v>
      </c>
      <c r="M40" s="76">
        <v>6090521</v>
      </c>
      <c r="N40" s="77">
        <v>0.144235757398501</v>
      </c>
    </row>
    <row r="41" spans="1:14" ht="14.25" hidden="1" customHeight="1">
      <c r="A41" s="73">
        <v>2025</v>
      </c>
      <c r="B41" s="73">
        <v>1</v>
      </c>
      <c r="C41" s="74">
        <v>45658</v>
      </c>
      <c r="D41" s="73" t="s">
        <v>132</v>
      </c>
      <c r="E41" s="75" t="s">
        <v>133</v>
      </c>
      <c r="F41" s="73" t="str">
        <f>VLOOKUP('표1'!$E41,구분!$C$3:$D$72,2,0)</f>
        <v>동일</v>
      </c>
      <c r="G41" s="76">
        <v>26328050</v>
      </c>
      <c r="H41" s="76">
        <v>16821858</v>
      </c>
      <c r="I41" s="76">
        <v>15292598</v>
      </c>
      <c r="J41" s="76">
        <v>7918951</v>
      </c>
      <c r="K41" s="76">
        <v>7373647</v>
      </c>
      <c r="L41" s="76">
        <v>5017050</v>
      </c>
      <c r="M41" s="76">
        <v>2356597</v>
      </c>
      <c r="N41" s="77">
        <v>8.9508990670337504E-2</v>
      </c>
    </row>
    <row r="42" spans="1:14" ht="14.25" hidden="1" customHeight="1">
      <c r="A42" s="73">
        <v>2025</v>
      </c>
      <c r="B42" s="73">
        <v>1</v>
      </c>
      <c r="C42" s="74">
        <v>45658</v>
      </c>
      <c r="D42" s="73" t="s">
        <v>134</v>
      </c>
      <c r="E42" s="75" t="s">
        <v>135</v>
      </c>
      <c r="F42" s="73" t="str">
        <f>VLOOKUP('표1'!$E42,구분!$C$3:$D$72,2,0)</f>
        <v>동일</v>
      </c>
      <c r="G42" s="76">
        <v>34721390</v>
      </c>
      <c r="H42" s="76">
        <v>21867794</v>
      </c>
      <c r="I42" s="76">
        <v>19879813</v>
      </c>
      <c r="J42" s="76">
        <v>10425854</v>
      </c>
      <c r="K42" s="76">
        <v>9453959</v>
      </c>
      <c r="L42" s="76">
        <v>6932320</v>
      </c>
      <c r="M42" s="76">
        <v>2521639</v>
      </c>
      <c r="N42" s="77">
        <v>7.2624936019921094E-2</v>
      </c>
    </row>
    <row r="43" spans="1:14" ht="14.25" hidden="1" customHeight="1">
      <c r="A43" s="73">
        <v>2025</v>
      </c>
      <c r="B43" s="73">
        <v>1</v>
      </c>
      <c r="C43" s="74">
        <v>45658</v>
      </c>
      <c r="D43" s="73" t="s">
        <v>136</v>
      </c>
      <c r="E43" s="75" t="s">
        <v>137</v>
      </c>
      <c r="F43" s="73" t="str">
        <f>VLOOKUP('표1'!$E43,구분!$C$3:$D$72,2,0)</f>
        <v>동일</v>
      </c>
      <c r="G43" s="76">
        <v>33282570</v>
      </c>
      <c r="H43" s="76">
        <v>20968028</v>
      </c>
      <c r="I43" s="76">
        <v>19061844</v>
      </c>
      <c r="J43" s="76">
        <v>10051197</v>
      </c>
      <c r="K43" s="76">
        <v>9010647</v>
      </c>
      <c r="L43" s="76">
        <v>6290140</v>
      </c>
      <c r="M43" s="76">
        <v>2720507</v>
      </c>
      <c r="N43" s="77">
        <v>8.1739680450266694E-2</v>
      </c>
    </row>
    <row r="44" spans="1:14" ht="14.25" hidden="1" customHeight="1">
      <c r="A44" s="73">
        <v>2025</v>
      </c>
      <c r="B44" s="73">
        <v>1</v>
      </c>
      <c r="C44" s="74">
        <v>45658</v>
      </c>
      <c r="D44" s="73" t="s">
        <v>138</v>
      </c>
      <c r="E44" s="75" t="s">
        <v>139</v>
      </c>
      <c r="F44" s="73" t="str">
        <f>VLOOKUP('표1'!$E44,구분!$C$3:$D$72,2,0)</f>
        <v>동일</v>
      </c>
      <c r="G44" s="76">
        <v>33355050</v>
      </c>
      <c r="H44" s="76">
        <v>21013682</v>
      </c>
      <c r="I44" s="76">
        <v>19103347</v>
      </c>
      <c r="J44" s="76">
        <v>9174526</v>
      </c>
      <c r="K44" s="76">
        <v>9928821</v>
      </c>
      <c r="L44" s="76">
        <v>4845120</v>
      </c>
      <c r="M44" s="76">
        <v>5083701</v>
      </c>
      <c r="N44" s="77">
        <v>0.15241174193194901</v>
      </c>
    </row>
    <row r="45" spans="1:14" ht="14.25" hidden="1" customHeight="1">
      <c r="A45" s="73">
        <v>2025</v>
      </c>
      <c r="B45" s="73">
        <v>1</v>
      </c>
      <c r="C45" s="74">
        <v>45658</v>
      </c>
      <c r="D45" s="73" t="s">
        <v>140</v>
      </c>
      <c r="E45" s="75" t="s">
        <v>141</v>
      </c>
      <c r="F45" s="73" t="str">
        <f>VLOOKUP('표1'!$E45,구분!$C$3:$D$72,2,0)</f>
        <v>동일</v>
      </c>
      <c r="G45" s="76">
        <v>70503660</v>
      </c>
      <c r="H45" s="76">
        <v>44417336</v>
      </c>
      <c r="I45" s="76">
        <v>40379396</v>
      </c>
      <c r="J45" s="76">
        <v>20806397</v>
      </c>
      <c r="K45" s="76">
        <v>19572999</v>
      </c>
      <c r="L45" s="76">
        <v>7154000</v>
      </c>
      <c r="M45" s="76">
        <v>12418999</v>
      </c>
      <c r="N45" s="77">
        <v>0.17614687469609899</v>
      </c>
    </row>
    <row r="46" spans="1:14" ht="14.25" hidden="1" customHeight="1">
      <c r="A46" s="73">
        <v>2025</v>
      </c>
      <c r="B46" s="73">
        <v>1</v>
      </c>
      <c r="C46" s="74">
        <v>45658</v>
      </c>
      <c r="D46" s="73" t="s">
        <v>142</v>
      </c>
      <c r="E46" s="75" t="s">
        <v>143</v>
      </c>
      <c r="F46" s="73" t="str">
        <f>VLOOKUP('표1'!$E46,구분!$C$3:$D$72,2,0)</f>
        <v>동일</v>
      </c>
      <c r="G46" s="76">
        <v>31534880</v>
      </c>
      <c r="H46" s="76">
        <v>20008749</v>
      </c>
      <c r="I46" s="76">
        <v>18189772</v>
      </c>
      <c r="J46" s="76">
        <v>9064827</v>
      </c>
      <c r="K46" s="76">
        <v>9124945</v>
      </c>
      <c r="L46" s="76">
        <v>5251870</v>
      </c>
      <c r="M46" s="76">
        <v>3873075</v>
      </c>
      <c r="N46" s="77">
        <v>0.122818758726268</v>
      </c>
    </row>
    <row r="47" spans="1:14" ht="14.25" hidden="1" customHeight="1">
      <c r="A47" s="73">
        <v>2025</v>
      </c>
      <c r="B47" s="73">
        <v>1</v>
      </c>
      <c r="C47" s="74">
        <v>45658</v>
      </c>
      <c r="D47" s="73" t="s">
        <v>144</v>
      </c>
      <c r="E47" s="75" t="s">
        <v>145</v>
      </c>
      <c r="F47" s="73" t="str">
        <f>VLOOKUP('표1'!$E47,구분!$C$3:$D$72,2,0)</f>
        <v>동일</v>
      </c>
      <c r="G47" s="76">
        <v>32263040</v>
      </c>
      <c r="H47" s="76">
        <v>20886918</v>
      </c>
      <c r="I47" s="76">
        <v>18988107</v>
      </c>
      <c r="J47" s="76">
        <v>10009179</v>
      </c>
      <c r="K47" s="76">
        <v>8978928</v>
      </c>
      <c r="L47" s="76">
        <v>6223720</v>
      </c>
      <c r="M47" s="76">
        <v>2755208</v>
      </c>
      <c r="N47" s="77">
        <v>8.5398284623125098E-2</v>
      </c>
    </row>
    <row r="48" spans="1:14" ht="14.25" hidden="1" customHeight="1">
      <c r="A48" s="73">
        <v>2025</v>
      </c>
      <c r="B48" s="73">
        <v>1</v>
      </c>
      <c r="C48" s="74">
        <v>45658</v>
      </c>
      <c r="D48" s="73" t="s">
        <v>146</v>
      </c>
      <c r="E48" s="75" t="s">
        <v>147</v>
      </c>
      <c r="F48" s="73" t="str">
        <f>VLOOKUP('표1'!$E48,구분!$C$3:$D$72,2,0)</f>
        <v>동일</v>
      </c>
      <c r="G48" s="76">
        <v>67614770</v>
      </c>
      <c r="H48" s="76">
        <v>42839325</v>
      </c>
      <c r="I48" s="76">
        <v>38944841</v>
      </c>
      <c r="J48" s="76">
        <v>21047313</v>
      </c>
      <c r="K48" s="76">
        <v>17897528</v>
      </c>
      <c r="L48" s="76">
        <v>8418740</v>
      </c>
      <c r="M48" s="76">
        <v>9478788</v>
      </c>
      <c r="N48" s="77">
        <v>0.14018812619034099</v>
      </c>
    </row>
    <row r="49" spans="1:14" ht="14.25" hidden="1" customHeight="1">
      <c r="A49" s="73">
        <v>2025</v>
      </c>
      <c r="B49" s="73">
        <v>1</v>
      </c>
      <c r="C49" s="74">
        <v>45658</v>
      </c>
      <c r="D49" s="73" t="s">
        <v>148</v>
      </c>
      <c r="E49" s="75" t="s">
        <v>149</v>
      </c>
      <c r="F49" s="73" t="str">
        <f>VLOOKUP('표1'!$E49,구분!$C$3:$D$72,2,0)</f>
        <v>동일</v>
      </c>
      <c r="G49" s="76">
        <v>33256970</v>
      </c>
      <c r="H49" s="76">
        <v>21124390</v>
      </c>
      <c r="I49" s="76">
        <v>19203991</v>
      </c>
      <c r="J49" s="76">
        <v>9207371</v>
      </c>
      <c r="K49" s="76">
        <v>9996620</v>
      </c>
      <c r="L49" s="76">
        <v>5284610</v>
      </c>
      <c r="M49" s="76">
        <v>4712010</v>
      </c>
      <c r="N49" s="77">
        <v>0.14168488317158501</v>
      </c>
    </row>
    <row r="50" spans="1:14" ht="14.25" hidden="1" customHeight="1">
      <c r="A50" s="73">
        <v>2025</v>
      </c>
      <c r="B50" s="73">
        <v>1</v>
      </c>
      <c r="C50" s="74">
        <v>45658</v>
      </c>
      <c r="D50" s="73" t="s">
        <v>150</v>
      </c>
      <c r="E50" s="75" t="s">
        <v>151</v>
      </c>
      <c r="F50" s="73" t="str">
        <f>VLOOKUP('표1'!$E50,구분!$C$3:$D$72,2,0)</f>
        <v>동일</v>
      </c>
      <c r="G50" s="76">
        <v>20983240</v>
      </c>
      <c r="H50" s="76">
        <v>13071400</v>
      </c>
      <c r="I50" s="76">
        <v>11883091</v>
      </c>
      <c r="J50" s="76">
        <v>5747731</v>
      </c>
      <c r="K50" s="76">
        <v>6135360</v>
      </c>
      <c r="L50" s="76">
        <v>5128445</v>
      </c>
      <c r="M50" s="76">
        <v>1006915</v>
      </c>
      <c r="N50" s="77">
        <v>4.7986626902752301E-2</v>
      </c>
    </row>
    <row r="51" spans="1:14" ht="15" hidden="1" customHeight="1">
      <c r="A51" s="73">
        <v>2025</v>
      </c>
      <c r="B51" s="73">
        <v>1</v>
      </c>
      <c r="C51" s="74">
        <v>45658</v>
      </c>
      <c r="D51" s="73" t="s">
        <v>152</v>
      </c>
      <c r="E51" s="73" t="s">
        <v>153</v>
      </c>
      <c r="F51" s="73" t="str">
        <f>VLOOKUP('표1'!$E51,구분!$C$3:$D$72,2,0)</f>
        <v>동일</v>
      </c>
      <c r="G51" s="76">
        <v>23325860</v>
      </c>
      <c r="H51" s="76">
        <v>14510799</v>
      </c>
      <c r="I51" s="76">
        <v>13191635</v>
      </c>
      <c r="J51" s="76">
        <v>7142441</v>
      </c>
      <c r="K51" s="76">
        <v>6049194</v>
      </c>
      <c r="L51" s="76">
        <v>6731470</v>
      </c>
      <c r="M51" s="76">
        <v>-682276</v>
      </c>
      <c r="N51" s="77">
        <v>-2.9249748796166399E-2</v>
      </c>
    </row>
    <row r="52" spans="1:14" ht="14.25" hidden="1" customHeight="1">
      <c r="A52" s="73">
        <v>2025</v>
      </c>
      <c r="B52" s="73">
        <v>1</v>
      </c>
      <c r="C52" s="74">
        <v>45658</v>
      </c>
      <c r="D52" s="73" t="s">
        <v>154</v>
      </c>
      <c r="E52" s="75" t="s">
        <v>155</v>
      </c>
      <c r="F52" s="73" t="str">
        <f>VLOOKUP('표1'!$E52,구분!$C$3:$D$72,2,0)</f>
        <v>동일</v>
      </c>
      <c r="G52" s="76">
        <v>55380770</v>
      </c>
      <c r="H52" s="76">
        <v>34886904</v>
      </c>
      <c r="I52" s="76">
        <v>31715367</v>
      </c>
      <c r="J52" s="76">
        <v>17660559</v>
      </c>
      <c r="K52" s="76">
        <v>14054808</v>
      </c>
      <c r="L52" s="76">
        <v>8733140</v>
      </c>
      <c r="M52" s="76">
        <v>5321668</v>
      </c>
      <c r="N52" s="77">
        <v>9.6092348891632803E-2</v>
      </c>
    </row>
    <row r="53" spans="1:14" ht="14.25" hidden="1" customHeight="1">
      <c r="A53" s="73">
        <v>2025</v>
      </c>
      <c r="B53" s="73">
        <v>1</v>
      </c>
      <c r="C53" s="74">
        <v>45658</v>
      </c>
      <c r="D53" s="73" t="s">
        <v>156</v>
      </c>
      <c r="E53" s="75" t="s">
        <v>157</v>
      </c>
      <c r="F53" s="73" t="str">
        <f>VLOOKUP('표1'!$E53,구분!$C$3:$D$72,2,0)</f>
        <v>동일</v>
      </c>
      <c r="G53" s="76">
        <v>89701520</v>
      </c>
      <c r="H53" s="76">
        <v>68621781</v>
      </c>
      <c r="I53" s="76">
        <v>62383437</v>
      </c>
      <c r="J53" s="76">
        <v>31808769</v>
      </c>
      <c r="K53" s="76">
        <v>30574668</v>
      </c>
      <c r="L53" s="76">
        <v>12104710</v>
      </c>
      <c r="M53" s="76">
        <v>18469958</v>
      </c>
      <c r="N53" s="77">
        <v>0.20590462985161501</v>
      </c>
    </row>
    <row r="54" spans="1:14" ht="14.25" hidden="1" customHeight="1">
      <c r="A54" s="73">
        <v>2025</v>
      </c>
      <c r="B54" s="73">
        <v>1</v>
      </c>
      <c r="C54" s="74">
        <v>45658</v>
      </c>
      <c r="D54" s="73" t="s">
        <v>158</v>
      </c>
      <c r="E54" s="75" t="s">
        <v>159</v>
      </c>
      <c r="F54" s="73" t="str">
        <f>VLOOKUP('표1'!$E54,구분!$C$3:$D$72,2,0)</f>
        <v>동일</v>
      </c>
      <c r="G54" s="76">
        <v>39777200</v>
      </c>
      <c r="H54" s="76">
        <v>30628473</v>
      </c>
      <c r="I54" s="76">
        <v>27844066</v>
      </c>
      <c r="J54" s="76">
        <v>12545159</v>
      </c>
      <c r="K54" s="76">
        <v>15298907</v>
      </c>
      <c r="L54" s="76">
        <v>6364990</v>
      </c>
      <c r="M54" s="76">
        <v>8933917</v>
      </c>
      <c r="N54" s="77">
        <v>0.224598950243767</v>
      </c>
    </row>
    <row r="55" spans="1:14" ht="14.25" hidden="1" customHeight="1">
      <c r="A55" s="73">
        <v>2025</v>
      </c>
      <c r="B55" s="73">
        <v>1</v>
      </c>
      <c r="C55" s="74">
        <v>45658</v>
      </c>
      <c r="D55" s="73" t="s">
        <v>160</v>
      </c>
      <c r="E55" s="75" t="s">
        <v>161</v>
      </c>
      <c r="F55" s="73" t="str">
        <f>VLOOKUP('표1'!$E55,구분!$C$3:$D$72,2,0)</f>
        <v>동일</v>
      </c>
      <c r="G55" s="76">
        <v>28357890</v>
      </c>
      <c r="H55" s="76">
        <v>21693814</v>
      </c>
      <c r="I55" s="76">
        <v>19721649</v>
      </c>
      <c r="J55" s="76">
        <v>8950362</v>
      </c>
      <c r="K55" s="76">
        <v>10771287</v>
      </c>
      <c r="L55" s="76">
        <v>7222170</v>
      </c>
      <c r="M55" s="76">
        <v>3549117</v>
      </c>
      <c r="N55" s="77">
        <v>0.12515448402222801</v>
      </c>
    </row>
    <row r="56" spans="1:14" ht="14.25" hidden="1" customHeight="1">
      <c r="A56" s="73">
        <v>2025</v>
      </c>
      <c r="B56" s="73">
        <v>1</v>
      </c>
      <c r="C56" s="74">
        <v>45658</v>
      </c>
      <c r="D56" s="73" t="s">
        <v>162</v>
      </c>
      <c r="E56" s="75" t="s">
        <v>163</v>
      </c>
      <c r="F56" s="73" t="str">
        <f>VLOOKUP('표1'!$E56,구분!$C$3:$D$72,2,0)</f>
        <v>동일</v>
      </c>
      <c r="G56" s="76">
        <v>17257160</v>
      </c>
      <c r="H56" s="76">
        <v>13288036</v>
      </c>
      <c r="I56" s="76">
        <v>12080033</v>
      </c>
      <c r="J56" s="76">
        <v>5617407</v>
      </c>
      <c r="K56" s="76">
        <v>6462626</v>
      </c>
      <c r="L56" s="76">
        <v>4674930</v>
      </c>
      <c r="M56" s="76">
        <v>1787696</v>
      </c>
      <c r="N56" s="77">
        <v>0.103591536919906</v>
      </c>
    </row>
    <row r="57" spans="1:14" ht="14.25" hidden="1" customHeight="1">
      <c r="A57" s="73">
        <v>2025</v>
      </c>
      <c r="B57" s="73">
        <v>1</v>
      </c>
      <c r="C57" s="74">
        <v>45658</v>
      </c>
      <c r="D57" s="73" t="s">
        <v>164</v>
      </c>
      <c r="E57" s="75" t="s">
        <v>165</v>
      </c>
      <c r="F57" s="73" t="str">
        <f>VLOOKUP('표1'!$E57,구분!$C$3:$D$72,2,0)</f>
        <v>동일</v>
      </c>
      <c r="G57" s="76">
        <v>37743850</v>
      </c>
      <c r="H57" s="76">
        <v>29062789</v>
      </c>
      <c r="I57" s="76">
        <v>26420717</v>
      </c>
      <c r="J57" s="76">
        <v>11700303</v>
      </c>
      <c r="K57" s="76">
        <v>14720414</v>
      </c>
      <c r="L57" s="76">
        <v>7969950</v>
      </c>
      <c r="M57" s="76">
        <v>6750464</v>
      </c>
      <c r="N57" s="77">
        <v>0.178849382686908</v>
      </c>
    </row>
    <row r="58" spans="1:14" ht="14.25" hidden="1" customHeight="1">
      <c r="A58" s="73">
        <v>2025</v>
      </c>
      <c r="B58" s="73">
        <v>1</v>
      </c>
      <c r="C58" s="74">
        <v>45658</v>
      </c>
      <c r="D58" s="73" t="s">
        <v>166</v>
      </c>
      <c r="E58" s="75" t="s">
        <v>167</v>
      </c>
      <c r="F58" s="73" t="str">
        <f>VLOOKUP('표1'!$E58,구분!$C$3:$D$72,2,0)</f>
        <v>동일</v>
      </c>
      <c r="G58" s="76">
        <v>22252680</v>
      </c>
      <c r="H58" s="76">
        <v>17134594</v>
      </c>
      <c r="I58" s="76">
        <v>15576904</v>
      </c>
      <c r="J58" s="76">
        <v>7595411</v>
      </c>
      <c r="K58" s="76">
        <v>7981493</v>
      </c>
      <c r="L58" s="76">
        <v>5295570</v>
      </c>
      <c r="M58" s="76">
        <v>2685923</v>
      </c>
      <c r="N58" s="77">
        <v>0.120701085728264</v>
      </c>
    </row>
    <row r="59" spans="1:14" ht="14.25" hidden="1" customHeight="1">
      <c r="A59" s="73">
        <v>2025</v>
      </c>
      <c r="B59" s="73">
        <v>1</v>
      </c>
      <c r="C59" s="74">
        <v>45658</v>
      </c>
      <c r="D59" s="73" t="s">
        <v>168</v>
      </c>
      <c r="E59" s="75" t="s">
        <v>169</v>
      </c>
      <c r="F59" s="73" t="str">
        <f>VLOOKUP('표1'!$E59,구분!$C$3:$D$72,2,0)</f>
        <v>동일</v>
      </c>
      <c r="G59" s="76">
        <v>31902360</v>
      </c>
      <c r="H59" s="76">
        <v>24564841</v>
      </c>
      <c r="I59" s="76">
        <v>22331674</v>
      </c>
      <c r="J59" s="76">
        <v>9883901</v>
      </c>
      <c r="K59" s="76">
        <v>12447773</v>
      </c>
      <c r="L59" s="76">
        <v>6043550</v>
      </c>
      <c r="M59" s="76">
        <v>6404223</v>
      </c>
      <c r="N59" s="77">
        <v>0.200744478977845</v>
      </c>
    </row>
    <row r="60" spans="1:14" ht="14.25" hidden="1" customHeight="1">
      <c r="A60" s="73">
        <v>2025</v>
      </c>
      <c r="B60" s="73">
        <v>1</v>
      </c>
      <c r="C60" s="74">
        <v>45658</v>
      </c>
      <c r="D60" s="73" t="s">
        <v>170</v>
      </c>
      <c r="E60" s="75" t="s">
        <v>171</v>
      </c>
      <c r="F60" s="73" t="e">
        <f>VLOOKUP('표1'!$E60,구분!$C$3:$D$72,2,0)</f>
        <v>#N/A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7"/>
    </row>
    <row r="61" spans="1:14" ht="15" hidden="1" customHeight="1">
      <c r="A61" s="73">
        <v>2025</v>
      </c>
      <c r="B61" s="73">
        <v>1</v>
      </c>
      <c r="C61" s="74">
        <v>45658</v>
      </c>
      <c r="D61" s="73" t="s">
        <v>172</v>
      </c>
      <c r="E61" s="73" t="s">
        <v>173</v>
      </c>
      <c r="F61" s="73" t="str">
        <f>VLOOKUP('표1'!$E61,구분!$C$3:$D$72,2,0)</f>
        <v>동일</v>
      </c>
      <c r="G61" s="76">
        <v>28231090</v>
      </c>
      <c r="H61" s="76">
        <v>22302591</v>
      </c>
      <c r="I61" s="76">
        <v>20275083</v>
      </c>
      <c r="J61" s="76">
        <v>9347634</v>
      </c>
      <c r="K61" s="76">
        <v>10927449</v>
      </c>
      <c r="L61" s="76">
        <v>7046720</v>
      </c>
      <c r="M61" s="76">
        <v>3880729</v>
      </c>
      <c r="N61" s="77">
        <v>0.13746294341708801</v>
      </c>
    </row>
    <row r="62" spans="1:14" ht="14.25" hidden="1" customHeight="1">
      <c r="A62" s="73">
        <v>2025</v>
      </c>
      <c r="B62" s="73">
        <v>1</v>
      </c>
      <c r="C62" s="74">
        <v>45658</v>
      </c>
      <c r="D62" s="73" t="s">
        <v>174</v>
      </c>
      <c r="E62" s="75" t="s">
        <v>175</v>
      </c>
      <c r="F62" s="73" t="str">
        <f>VLOOKUP('표1'!$E62,구분!$C$3:$D$72,2,0)</f>
        <v>동일</v>
      </c>
      <c r="G62" s="76">
        <v>20338740</v>
      </c>
      <c r="H62" s="76">
        <v>17084541</v>
      </c>
      <c r="I62" s="76">
        <v>15531401</v>
      </c>
      <c r="J62" s="76">
        <v>7743729</v>
      </c>
      <c r="K62" s="76">
        <v>7787672</v>
      </c>
      <c r="L62" s="76">
        <v>5506140</v>
      </c>
      <c r="M62" s="76">
        <v>2281532</v>
      </c>
      <c r="N62" s="77">
        <v>0.11217665937471601</v>
      </c>
    </row>
    <row r="63" spans="1:14" ht="14.25" hidden="1" customHeight="1">
      <c r="A63" s="73">
        <v>2025</v>
      </c>
      <c r="B63" s="73">
        <v>1</v>
      </c>
      <c r="C63" s="74">
        <v>45658</v>
      </c>
      <c r="D63" s="73" t="s">
        <v>176</v>
      </c>
      <c r="E63" s="75" t="s">
        <v>177</v>
      </c>
      <c r="F63" s="73" t="str">
        <f>VLOOKUP('표1'!$E63,구분!$C$3:$D$72,2,0)</f>
        <v>동일</v>
      </c>
      <c r="G63" s="76">
        <v>75411600</v>
      </c>
      <c r="H63" s="76">
        <v>58066987</v>
      </c>
      <c r="I63" s="76">
        <v>52788170</v>
      </c>
      <c r="J63" s="76">
        <v>23970067</v>
      </c>
      <c r="K63" s="76">
        <v>28818103</v>
      </c>
      <c r="L63" s="76">
        <v>12820610</v>
      </c>
      <c r="M63" s="76">
        <v>15997493</v>
      </c>
      <c r="N63" s="77">
        <v>0.21213570591261799</v>
      </c>
    </row>
    <row r="64" spans="1:14" ht="14.25" hidden="1" customHeight="1">
      <c r="A64" s="73">
        <v>2025</v>
      </c>
      <c r="B64" s="73">
        <v>1</v>
      </c>
      <c r="C64" s="74">
        <v>45658</v>
      </c>
      <c r="D64" s="73" t="s">
        <v>178</v>
      </c>
      <c r="E64" s="75" t="s">
        <v>179</v>
      </c>
      <c r="F64" s="73" t="str">
        <f>VLOOKUP('표1'!$E64,구분!$C$3:$D$72,2,0)</f>
        <v>동일</v>
      </c>
      <c r="G64" s="76">
        <v>67479060</v>
      </c>
      <c r="H64" s="76">
        <v>51958929</v>
      </c>
      <c r="I64" s="76">
        <v>47235390</v>
      </c>
      <c r="J64" s="76">
        <v>20747887</v>
      </c>
      <c r="K64" s="76">
        <v>26487503</v>
      </c>
      <c r="L64" s="76">
        <v>8772910</v>
      </c>
      <c r="M64" s="76">
        <v>17714593</v>
      </c>
      <c r="N64" s="77">
        <v>0.262519854307395</v>
      </c>
    </row>
    <row r="65" spans="1:14" ht="14.25" hidden="1" customHeight="1">
      <c r="A65" s="73">
        <v>2025</v>
      </c>
      <c r="B65" s="73">
        <v>2</v>
      </c>
      <c r="C65" s="74">
        <v>45689</v>
      </c>
      <c r="D65" s="73" t="s">
        <v>54</v>
      </c>
      <c r="E65" s="75" t="s">
        <v>55</v>
      </c>
      <c r="F65" s="73" t="str">
        <f>VLOOKUP('표1'!$E65,구분!$C$3:$D$72,2,0)</f>
        <v>동일</v>
      </c>
      <c r="G65" s="76">
        <v>60542840</v>
      </c>
      <c r="H65" s="76">
        <v>38747417</v>
      </c>
      <c r="I65" s="76">
        <v>35224925</v>
      </c>
      <c r="J65" s="76">
        <v>17132772</v>
      </c>
      <c r="K65" s="76">
        <v>18092153</v>
      </c>
      <c r="L65" s="76">
        <v>6290470</v>
      </c>
      <c r="M65" s="76">
        <v>11801683</v>
      </c>
      <c r="N65" s="77">
        <v>0.19493110243018899</v>
      </c>
    </row>
    <row r="66" spans="1:14" ht="14.25" hidden="1" customHeight="1">
      <c r="A66" s="73">
        <v>2025</v>
      </c>
      <c r="B66" s="73">
        <v>2</v>
      </c>
      <c r="C66" s="74">
        <v>45689</v>
      </c>
      <c r="D66" s="73" t="s">
        <v>56</v>
      </c>
      <c r="E66" s="75" t="s">
        <v>57</v>
      </c>
      <c r="F66" s="73" t="str">
        <f>VLOOKUP('표1'!$E66,구분!$C$3:$D$72,2,0)</f>
        <v>동일</v>
      </c>
      <c r="G66" s="76">
        <v>16724740</v>
      </c>
      <c r="H66" s="76">
        <v>10871089</v>
      </c>
      <c r="I66" s="76">
        <v>9882808</v>
      </c>
      <c r="J66" s="76">
        <v>5207762</v>
      </c>
      <c r="K66" s="76">
        <v>4675046</v>
      </c>
      <c r="L66" s="76">
        <v>5037780</v>
      </c>
      <c r="M66" s="76">
        <v>-362734</v>
      </c>
      <c r="N66" s="77">
        <v>-2.1688457828451701E-2</v>
      </c>
    </row>
    <row r="67" spans="1:14" ht="14.25" hidden="1" customHeight="1">
      <c r="A67" s="73">
        <v>2025</v>
      </c>
      <c r="B67" s="73">
        <v>2</v>
      </c>
      <c r="C67" s="74">
        <v>45689</v>
      </c>
      <c r="D67" s="73" t="s">
        <v>58</v>
      </c>
      <c r="E67" s="75" t="s">
        <v>59</v>
      </c>
      <c r="F67" s="73" t="str">
        <f>VLOOKUP('표1'!$E67,구분!$C$3:$D$72,2,0)</f>
        <v>동일</v>
      </c>
      <c r="G67" s="76">
        <v>50031740</v>
      </c>
      <c r="H67" s="76">
        <v>32020313</v>
      </c>
      <c r="I67" s="76">
        <v>29109375</v>
      </c>
      <c r="J67" s="76">
        <v>16963580</v>
      </c>
      <c r="K67" s="76">
        <v>12145795</v>
      </c>
      <c r="L67" s="76">
        <v>6362360</v>
      </c>
      <c r="M67" s="76">
        <v>5783435</v>
      </c>
      <c r="N67" s="77">
        <v>0.115595329175948</v>
      </c>
    </row>
    <row r="68" spans="1:14" ht="14.25" hidden="1" customHeight="1">
      <c r="A68" s="73">
        <v>2025</v>
      </c>
      <c r="B68" s="73">
        <v>2</v>
      </c>
      <c r="C68" s="74">
        <v>45689</v>
      </c>
      <c r="D68" s="73" t="s">
        <v>60</v>
      </c>
      <c r="E68" s="75" t="s">
        <v>61</v>
      </c>
      <c r="F68" s="73" t="str">
        <f>VLOOKUP('표1'!$E68,구분!$C$3:$D$72,2,0)</f>
        <v>동일</v>
      </c>
      <c r="G68" s="76">
        <v>36787360</v>
      </c>
      <c r="H68" s="76">
        <v>23543911</v>
      </c>
      <c r="I68" s="76">
        <v>21403555</v>
      </c>
      <c r="J68" s="76">
        <v>12933698</v>
      </c>
      <c r="K68" s="76">
        <v>8469857</v>
      </c>
      <c r="L68" s="76">
        <v>4874820</v>
      </c>
      <c r="M68" s="76">
        <v>3595037</v>
      </c>
      <c r="N68" s="77">
        <v>9.7724801522736396E-2</v>
      </c>
    </row>
    <row r="69" spans="1:14" ht="14.25" hidden="1" customHeight="1">
      <c r="A69" s="73">
        <v>2025</v>
      </c>
      <c r="B69" s="73">
        <v>2</v>
      </c>
      <c r="C69" s="74">
        <v>45689</v>
      </c>
      <c r="D69" s="73" t="s">
        <v>62</v>
      </c>
      <c r="E69" s="75" t="s">
        <v>63</v>
      </c>
      <c r="F69" s="73" t="str">
        <f>VLOOKUP('표1'!$E69,구분!$C$3:$D$72,2,0)</f>
        <v>동일</v>
      </c>
      <c r="G69" s="76">
        <v>49518250</v>
      </c>
      <c r="H69" s="76">
        <v>31691679</v>
      </c>
      <c r="I69" s="76">
        <v>28810617</v>
      </c>
      <c r="J69" s="76">
        <v>15388970</v>
      </c>
      <c r="K69" s="76">
        <v>13421647</v>
      </c>
      <c r="L69" s="76">
        <v>7422410</v>
      </c>
      <c r="M69" s="76">
        <v>5999237</v>
      </c>
      <c r="N69" s="77">
        <v>0.121152045412091</v>
      </c>
    </row>
    <row r="70" spans="1:14" ht="14.25" hidden="1" customHeight="1">
      <c r="A70" s="73">
        <v>2025</v>
      </c>
      <c r="B70" s="73">
        <v>2</v>
      </c>
      <c r="C70" s="74">
        <v>45689</v>
      </c>
      <c r="D70" s="73" t="s">
        <v>64</v>
      </c>
      <c r="E70" s="75" t="s">
        <v>65</v>
      </c>
      <c r="F70" s="73" t="str">
        <f>VLOOKUP('표1'!$E70,구분!$C$3:$D$72,2,0)</f>
        <v>동일</v>
      </c>
      <c r="G70" s="76">
        <v>16516310</v>
      </c>
      <c r="H70" s="76">
        <v>10570438</v>
      </c>
      <c r="I70" s="76">
        <v>9609489</v>
      </c>
      <c r="J70" s="76">
        <v>5290097</v>
      </c>
      <c r="K70" s="76">
        <v>4319392</v>
      </c>
      <c r="L70" s="76">
        <v>4758400</v>
      </c>
      <c r="M70" s="76">
        <v>-439008</v>
      </c>
      <c r="N70" s="77">
        <v>-2.6580265754936199E-2</v>
      </c>
    </row>
    <row r="71" spans="1:14" ht="14.25" hidden="1" customHeight="1">
      <c r="A71" s="73">
        <v>2025</v>
      </c>
      <c r="B71" s="73">
        <v>2</v>
      </c>
      <c r="C71" s="74">
        <v>45689</v>
      </c>
      <c r="D71" s="73" t="s">
        <v>66</v>
      </c>
      <c r="E71" s="75" t="s">
        <v>67</v>
      </c>
      <c r="F71" s="73" t="str">
        <f>VLOOKUP('표1'!$E71,구분!$C$3:$D$72,2,0)</f>
        <v>동일</v>
      </c>
      <c r="G71" s="76">
        <v>25583770</v>
      </c>
      <c r="H71" s="76">
        <v>16373613</v>
      </c>
      <c r="I71" s="76">
        <v>14885103</v>
      </c>
      <c r="J71" s="76">
        <v>9060571</v>
      </c>
      <c r="K71" s="76">
        <v>5824532</v>
      </c>
      <c r="L71" s="76">
        <v>5804030</v>
      </c>
      <c r="M71" s="76">
        <v>20502</v>
      </c>
      <c r="N71" s="77">
        <v>8.0135676926139496E-4</v>
      </c>
    </row>
    <row r="72" spans="1:14" ht="14.25" hidden="1" customHeight="1">
      <c r="A72" s="73">
        <v>2025</v>
      </c>
      <c r="B72" s="73">
        <v>2</v>
      </c>
      <c r="C72" s="74">
        <v>45689</v>
      </c>
      <c r="D72" s="73" t="s">
        <v>68</v>
      </c>
      <c r="E72" s="75" t="s">
        <v>69</v>
      </c>
      <c r="F72" s="73" t="str">
        <f>VLOOKUP('표1'!$E72,구분!$C$3:$D$72,2,0)</f>
        <v>동일</v>
      </c>
      <c r="G72" s="76">
        <v>38185800</v>
      </c>
      <c r="H72" s="76">
        <v>24438913</v>
      </c>
      <c r="I72" s="76">
        <v>22217194</v>
      </c>
      <c r="J72" s="76">
        <v>12162311</v>
      </c>
      <c r="K72" s="76">
        <v>10054883</v>
      </c>
      <c r="L72" s="76">
        <v>5180860</v>
      </c>
      <c r="M72" s="76">
        <v>4874023</v>
      </c>
      <c r="N72" s="77">
        <v>0.127639662816116</v>
      </c>
    </row>
    <row r="73" spans="1:14" ht="14.25" hidden="1" customHeight="1">
      <c r="A73" s="73">
        <v>2025</v>
      </c>
      <c r="B73" s="73">
        <v>2</v>
      </c>
      <c r="C73" s="74">
        <v>45689</v>
      </c>
      <c r="D73" s="73" t="s">
        <v>70</v>
      </c>
      <c r="E73" s="75" t="s">
        <v>71</v>
      </c>
      <c r="F73" s="73" t="str">
        <f>VLOOKUP('표1'!$E73,구분!$C$3:$D$72,2,0)</f>
        <v>동일</v>
      </c>
      <c r="G73" s="76">
        <v>22802040</v>
      </c>
      <c r="H73" s="76">
        <v>14593319</v>
      </c>
      <c r="I73" s="76">
        <v>13266654</v>
      </c>
      <c r="J73" s="76">
        <v>6857811</v>
      </c>
      <c r="K73" s="76">
        <v>6408843</v>
      </c>
      <c r="L73" s="76">
        <v>5349200</v>
      </c>
      <c r="M73" s="76">
        <v>1059643</v>
      </c>
      <c r="N73" s="77">
        <v>4.6471396259441501E-2</v>
      </c>
    </row>
    <row r="74" spans="1:14" ht="14.25" hidden="1" customHeight="1">
      <c r="A74" s="73">
        <v>2025</v>
      </c>
      <c r="B74" s="73">
        <v>2</v>
      </c>
      <c r="C74" s="74">
        <v>45689</v>
      </c>
      <c r="D74" s="73" t="s">
        <v>72</v>
      </c>
      <c r="E74" s="75" t="s">
        <v>73</v>
      </c>
      <c r="F74" s="73" t="str">
        <f>VLOOKUP('표1'!$E74,구분!$C$3:$D$72,2,0)</f>
        <v>동일</v>
      </c>
      <c r="G74" s="76">
        <v>16941350</v>
      </c>
      <c r="H74" s="76">
        <v>11350715</v>
      </c>
      <c r="I74" s="76">
        <v>10318832</v>
      </c>
      <c r="J74" s="76">
        <v>6586682</v>
      </c>
      <c r="K74" s="76">
        <v>3732150</v>
      </c>
      <c r="L74" s="76">
        <v>4767870</v>
      </c>
      <c r="M74" s="76">
        <v>-1035720</v>
      </c>
      <c r="N74" s="77">
        <v>-6.11356345166226E-2</v>
      </c>
    </row>
    <row r="75" spans="1:14" ht="14.25" hidden="1" customHeight="1">
      <c r="A75" s="73">
        <v>2025</v>
      </c>
      <c r="B75" s="73">
        <v>2</v>
      </c>
      <c r="C75" s="74">
        <v>45689</v>
      </c>
      <c r="D75" s="73" t="s">
        <v>74</v>
      </c>
      <c r="E75" s="75" t="s">
        <v>75</v>
      </c>
      <c r="F75" s="73" t="str">
        <f>VLOOKUP('표1'!$E75,구분!$C$3:$D$72,2,0)</f>
        <v>동일</v>
      </c>
      <c r="G75" s="76">
        <v>19653100</v>
      </c>
      <c r="H75" s="76">
        <v>12577983</v>
      </c>
      <c r="I75" s="76">
        <v>11434530</v>
      </c>
      <c r="J75" s="76">
        <v>6306084</v>
      </c>
      <c r="K75" s="76">
        <v>5128446</v>
      </c>
      <c r="L75" s="76">
        <v>5629130</v>
      </c>
      <c r="M75" s="76">
        <v>-500684</v>
      </c>
      <c r="N75" s="77">
        <v>-2.5476082653627202E-2</v>
      </c>
    </row>
    <row r="76" spans="1:14" ht="14.25" hidden="1" customHeight="1">
      <c r="A76" s="73">
        <v>2025</v>
      </c>
      <c r="B76" s="73">
        <v>2</v>
      </c>
      <c r="C76" s="74">
        <v>45689</v>
      </c>
      <c r="D76" s="73" t="s">
        <v>76</v>
      </c>
      <c r="E76" s="75" t="s">
        <v>77</v>
      </c>
      <c r="F76" s="73" t="str">
        <f>VLOOKUP('표1'!$E76,구분!$C$3:$D$72,2,0)</f>
        <v>동일</v>
      </c>
      <c r="G76" s="76">
        <v>38453320</v>
      </c>
      <c r="H76" s="76">
        <v>24610124</v>
      </c>
      <c r="I76" s="76">
        <v>22372840</v>
      </c>
      <c r="J76" s="76">
        <v>12876093</v>
      </c>
      <c r="K76" s="76">
        <v>9496747</v>
      </c>
      <c r="L76" s="76">
        <v>4568010</v>
      </c>
      <c r="M76" s="76">
        <v>4928737</v>
      </c>
      <c r="N76" s="77">
        <v>0.128174550337916</v>
      </c>
    </row>
    <row r="77" spans="1:14" ht="14.25" hidden="1" customHeight="1">
      <c r="A77" s="73">
        <v>2025</v>
      </c>
      <c r="B77" s="73">
        <v>2</v>
      </c>
      <c r="C77" s="74">
        <v>45689</v>
      </c>
      <c r="D77" s="73" t="s">
        <v>78</v>
      </c>
      <c r="E77" s="75" t="s">
        <v>79</v>
      </c>
      <c r="F77" s="73" t="str">
        <f>VLOOKUP('표1'!$E77,구분!$C$3:$D$72,2,0)</f>
        <v>동일</v>
      </c>
      <c r="G77" s="76">
        <v>49711530</v>
      </c>
      <c r="H77" s="76">
        <v>31815377</v>
      </c>
      <c r="I77" s="76">
        <v>28923070</v>
      </c>
      <c r="J77" s="76">
        <v>15167719</v>
      </c>
      <c r="K77" s="76">
        <v>13755351</v>
      </c>
      <c r="L77" s="76">
        <v>7174470</v>
      </c>
      <c r="M77" s="76">
        <v>6580881</v>
      </c>
      <c r="N77" s="77">
        <v>0.132381381140351</v>
      </c>
    </row>
    <row r="78" spans="1:14" ht="14.25" hidden="1" customHeight="1">
      <c r="A78" s="73">
        <v>2025</v>
      </c>
      <c r="B78" s="73">
        <v>2</v>
      </c>
      <c r="C78" s="74">
        <v>45689</v>
      </c>
      <c r="D78" s="73" t="s">
        <v>80</v>
      </c>
      <c r="E78" s="75" t="s">
        <v>81</v>
      </c>
      <c r="F78" s="73" t="str">
        <f>VLOOKUP('표1'!$E78,구분!$C$3:$D$72,2,0)</f>
        <v>동일</v>
      </c>
      <c r="G78" s="76">
        <v>64116760</v>
      </c>
      <c r="H78" s="76">
        <v>41029656</v>
      </c>
      <c r="I78" s="76">
        <v>37299687</v>
      </c>
      <c r="J78" s="76">
        <v>22483465</v>
      </c>
      <c r="K78" s="76">
        <v>14816222</v>
      </c>
      <c r="L78" s="76">
        <v>8503800</v>
      </c>
      <c r="M78" s="76">
        <v>6312422</v>
      </c>
      <c r="N78" s="77">
        <v>9.8451984671828002E-2</v>
      </c>
    </row>
    <row r="79" spans="1:14" ht="14.25" hidden="1" customHeight="1">
      <c r="A79" s="73">
        <v>2025</v>
      </c>
      <c r="B79" s="73">
        <v>2</v>
      </c>
      <c r="C79" s="74">
        <v>45689</v>
      </c>
      <c r="D79" s="73" t="s">
        <v>82</v>
      </c>
      <c r="E79" s="75" t="s">
        <v>83</v>
      </c>
      <c r="F79" s="73" t="str">
        <f>VLOOKUP('표1'!$E79,구분!$C$3:$D$72,2,0)</f>
        <v>동일</v>
      </c>
      <c r="G79" s="76">
        <v>34442300</v>
      </c>
      <c r="H79" s="76">
        <v>22387508</v>
      </c>
      <c r="I79" s="76">
        <v>20352280</v>
      </c>
      <c r="J79" s="76">
        <v>11005558</v>
      </c>
      <c r="K79" s="76">
        <v>9346722</v>
      </c>
      <c r="L79" s="76">
        <v>5978400</v>
      </c>
      <c r="M79" s="76">
        <v>3368322</v>
      </c>
      <c r="N79" s="77">
        <v>9.77960821431786E-2</v>
      </c>
    </row>
    <row r="80" spans="1:14" ht="14.25" hidden="1" customHeight="1">
      <c r="A80" s="73">
        <v>2025</v>
      </c>
      <c r="B80" s="73">
        <v>2</v>
      </c>
      <c r="C80" s="74">
        <v>45689</v>
      </c>
      <c r="D80" s="73" t="s">
        <v>84</v>
      </c>
      <c r="E80" s="75" t="s">
        <v>85</v>
      </c>
      <c r="F80" s="73" t="str">
        <f>VLOOKUP('표1'!$E80,구분!$C$3:$D$72,2,0)</f>
        <v>동일</v>
      </c>
      <c r="G80" s="76">
        <v>33057500</v>
      </c>
      <c r="H80" s="76">
        <v>21154820</v>
      </c>
      <c r="I80" s="76">
        <v>19231655</v>
      </c>
      <c r="J80" s="76">
        <v>10220326</v>
      </c>
      <c r="K80" s="76">
        <v>9011329</v>
      </c>
      <c r="L80" s="76">
        <v>4763530</v>
      </c>
      <c r="M80" s="76">
        <v>4247799</v>
      </c>
      <c r="N80" s="77">
        <v>0.12849727128350699</v>
      </c>
    </row>
    <row r="81" spans="1:14" ht="14.25" hidden="1" customHeight="1">
      <c r="A81" s="73">
        <v>2025</v>
      </c>
      <c r="B81" s="73">
        <v>2</v>
      </c>
      <c r="C81" s="74">
        <v>45689</v>
      </c>
      <c r="D81" s="73" t="s">
        <v>86</v>
      </c>
      <c r="E81" s="75" t="s">
        <v>87</v>
      </c>
      <c r="F81" s="73" t="str">
        <f>VLOOKUP('표1'!$E81,구분!$C$3:$D$72,2,0)</f>
        <v>동일</v>
      </c>
      <c r="G81" s="76">
        <v>26329520</v>
      </c>
      <c r="H81" s="76">
        <v>16850892</v>
      </c>
      <c r="I81" s="76">
        <v>15318993</v>
      </c>
      <c r="J81" s="76">
        <v>7943032</v>
      </c>
      <c r="K81" s="76">
        <v>7375961</v>
      </c>
      <c r="L81" s="76">
        <v>5123850</v>
      </c>
      <c r="M81" s="76">
        <v>2252111</v>
      </c>
      <c r="N81" s="77">
        <v>8.5535578592876998E-2</v>
      </c>
    </row>
    <row r="82" spans="1:14" ht="14.25" hidden="1" customHeight="1">
      <c r="A82" s="73">
        <v>2025</v>
      </c>
      <c r="B82" s="73">
        <v>2</v>
      </c>
      <c r="C82" s="74">
        <v>45689</v>
      </c>
      <c r="D82" s="73" t="s">
        <v>88</v>
      </c>
      <c r="E82" s="75" t="s">
        <v>89</v>
      </c>
      <c r="F82" s="73" t="str">
        <f>VLOOKUP('표1'!$E82,구분!$C$3:$D$72,2,0)</f>
        <v>동일</v>
      </c>
      <c r="G82" s="76">
        <v>24102240</v>
      </c>
      <c r="H82" s="76">
        <v>15421584</v>
      </c>
      <c r="I82" s="76">
        <v>14019622</v>
      </c>
      <c r="J82" s="76">
        <v>7819635</v>
      </c>
      <c r="K82" s="76">
        <v>6199987</v>
      </c>
      <c r="L82" s="76">
        <v>5674540</v>
      </c>
      <c r="M82" s="76">
        <v>525447</v>
      </c>
      <c r="N82" s="77">
        <v>2.18007462452376E-2</v>
      </c>
    </row>
    <row r="83" spans="1:14" ht="14.25" hidden="1" customHeight="1">
      <c r="A83" s="73">
        <v>2025</v>
      </c>
      <c r="B83" s="73">
        <v>2</v>
      </c>
      <c r="C83" s="74">
        <v>45689</v>
      </c>
      <c r="D83" s="73" t="s">
        <v>90</v>
      </c>
      <c r="E83" s="75" t="s">
        <v>91</v>
      </c>
      <c r="F83" s="73" t="str">
        <f>VLOOKUP('표1'!$E83,구분!$C$3:$D$72,2,0)</f>
        <v>동일</v>
      </c>
      <c r="G83" s="76">
        <v>24159020</v>
      </c>
      <c r="H83" s="76">
        <v>15944957</v>
      </c>
      <c r="I83" s="76">
        <v>14495415</v>
      </c>
      <c r="J83" s="76">
        <v>9491251</v>
      </c>
      <c r="K83" s="76">
        <v>5004164</v>
      </c>
      <c r="L83" s="76">
        <v>6425480</v>
      </c>
      <c r="M83" s="76">
        <v>-1421316</v>
      </c>
      <c r="N83" s="77">
        <v>-5.8831672205848902E-2</v>
      </c>
    </row>
    <row r="84" spans="1:14" ht="14.25" hidden="1" customHeight="1">
      <c r="A84" s="73">
        <v>2025</v>
      </c>
      <c r="B84" s="73">
        <v>2</v>
      </c>
      <c r="C84" s="74">
        <v>45689</v>
      </c>
      <c r="D84" s="73" t="s">
        <v>92</v>
      </c>
      <c r="E84" s="75" t="s">
        <v>93</v>
      </c>
      <c r="F84" s="73" t="str">
        <f>VLOOKUP('표1'!$E84,구분!$C$3:$D$72,2,0)</f>
        <v>동일</v>
      </c>
      <c r="G84" s="76">
        <v>32216040</v>
      </c>
      <c r="H84" s="76">
        <v>20618257</v>
      </c>
      <c r="I84" s="76">
        <v>18743870</v>
      </c>
      <c r="J84" s="76">
        <v>10013958</v>
      </c>
      <c r="K84" s="76">
        <v>8729912</v>
      </c>
      <c r="L84" s="76">
        <v>6108500</v>
      </c>
      <c r="M84" s="76">
        <v>2621412</v>
      </c>
      <c r="N84" s="77">
        <v>8.1369777291063705E-2</v>
      </c>
    </row>
    <row r="85" spans="1:14" ht="14.25" hidden="1" customHeight="1">
      <c r="A85" s="73">
        <v>2025</v>
      </c>
      <c r="B85" s="73">
        <v>2</v>
      </c>
      <c r="C85" s="74">
        <v>45689</v>
      </c>
      <c r="D85" s="73" t="s">
        <v>94</v>
      </c>
      <c r="E85" s="75" t="s">
        <v>95</v>
      </c>
      <c r="F85" s="73" t="str">
        <f>VLOOKUP('표1'!$E85,구분!$C$3:$D$72,2,0)</f>
        <v>폐점</v>
      </c>
      <c r="G85" s="76">
        <v>22519600</v>
      </c>
      <c r="H85" s="76">
        <v>14412544</v>
      </c>
      <c r="I85" s="76">
        <v>13102313</v>
      </c>
      <c r="J85" s="76">
        <v>7394783</v>
      </c>
      <c r="K85" s="76">
        <v>5707530</v>
      </c>
      <c r="L85" s="76">
        <v>6674750</v>
      </c>
      <c r="M85" s="76">
        <v>-967220</v>
      </c>
      <c r="N85" s="77">
        <v>-4.2950153320985902E-2</v>
      </c>
    </row>
    <row r="86" spans="1:14" ht="14.25" hidden="1" customHeight="1">
      <c r="A86" s="73">
        <v>2025</v>
      </c>
      <c r="B86" s="73">
        <v>2</v>
      </c>
      <c r="C86" s="74">
        <v>45689</v>
      </c>
      <c r="D86" s="73" t="s">
        <v>96</v>
      </c>
      <c r="E86" s="75" t="s">
        <v>97</v>
      </c>
      <c r="F86" s="73" t="str">
        <f>VLOOKUP('표1'!$E86,구분!$C$3:$D$72,2,0)</f>
        <v>동일</v>
      </c>
      <c r="G86" s="76">
        <v>57393980</v>
      </c>
      <c r="H86" s="76">
        <v>36732148</v>
      </c>
      <c r="I86" s="76">
        <v>33392862</v>
      </c>
      <c r="J86" s="76">
        <v>17241295</v>
      </c>
      <c r="K86" s="76">
        <v>16151567</v>
      </c>
      <c r="L86" s="76">
        <v>8919740</v>
      </c>
      <c r="M86" s="76">
        <v>7231827</v>
      </c>
      <c r="N86" s="77">
        <v>0.12600322922686</v>
      </c>
    </row>
    <row r="87" spans="1:14" ht="14.25" hidden="1" customHeight="1">
      <c r="A87" s="73">
        <v>2025</v>
      </c>
      <c r="B87" s="73">
        <v>2</v>
      </c>
      <c r="C87" s="74">
        <v>45689</v>
      </c>
      <c r="D87" s="73" t="s">
        <v>98</v>
      </c>
      <c r="E87" s="75" t="s">
        <v>99</v>
      </c>
      <c r="F87" s="73" t="str">
        <f>VLOOKUP('표1'!$E87,구분!$C$3:$D$72,2,0)</f>
        <v>동일</v>
      </c>
      <c r="G87" s="76">
        <v>55079650</v>
      </c>
      <c r="H87" s="76">
        <v>35250974</v>
      </c>
      <c r="I87" s="76">
        <v>32046340</v>
      </c>
      <c r="J87" s="76">
        <v>17151986</v>
      </c>
      <c r="K87" s="76">
        <v>14894354</v>
      </c>
      <c r="L87" s="76">
        <v>7609960</v>
      </c>
      <c r="M87" s="76">
        <v>7284394</v>
      </c>
      <c r="N87" s="77">
        <v>0.132252002327538</v>
      </c>
    </row>
    <row r="88" spans="1:14" ht="14.25" hidden="1" customHeight="1">
      <c r="A88" s="73">
        <v>2025</v>
      </c>
      <c r="B88" s="73">
        <v>2</v>
      </c>
      <c r="C88" s="74">
        <v>45689</v>
      </c>
      <c r="D88" s="73" t="s">
        <v>100</v>
      </c>
      <c r="E88" s="75" t="s">
        <v>101</v>
      </c>
      <c r="F88" s="73" t="str">
        <f>VLOOKUP('표1'!$E88,구분!$C$3:$D$72,2,0)</f>
        <v>동일</v>
      </c>
      <c r="G88" s="76">
        <v>80125540</v>
      </c>
      <c r="H88" s="76">
        <v>50824335</v>
      </c>
      <c r="I88" s="76">
        <v>46203941</v>
      </c>
      <c r="J88" s="76">
        <v>26622774</v>
      </c>
      <c r="K88" s="76">
        <v>19581167</v>
      </c>
      <c r="L88" s="76">
        <v>11619270</v>
      </c>
      <c r="M88" s="76">
        <v>7961897</v>
      </c>
      <c r="N88" s="77">
        <v>9.9367778477260901E-2</v>
      </c>
    </row>
    <row r="89" spans="1:14" ht="14.25" hidden="1" customHeight="1">
      <c r="A89" s="73">
        <v>2025</v>
      </c>
      <c r="B89" s="73">
        <v>2</v>
      </c>
      <c r="C89" s="74">
        <v>45689</v>
      </c>
      <c r="D89" s="73" t="s">
        <v>102</v>
      </c>
      <c r="E89" s="75" t="s">
        <v>103</v>
      </c>
      <c r="F89" s="73" t="str">
        <f>VLOOKUP('표1'!$E89,구분!$C$3:$D$72,2,0)</f>
        <v>동일</v>
      </c>
      <c r="G89" s="76">
        <v>36167950</v>
      </c>
      <c r="H89" s="76">
        <v>24061958</v>
      </c>
      <c r="I89" s="76">
        <v>21874507</v>
      </c>
      <c r="J89" s="76">
        <v>10184437</v>
      </c>
      <c r="K89" s="76">
        <v>11690070</v>
      </c>
      <c r="L89" s="76">
        <v>6633720</v>
      </c>
      <c r="M89" s="76">
        <v>5056350</v>
      </c>
      <c r="N89" s="77">
        <v>0.13980195926855901</v>
      </c>
    </row>
    <row r="90" spans="1:14" ht="14.25" hidden="1" customHeight="1">
      <c r="A90" s="73">
        <v>2025</v>
      </c>
      <c r="B90" s="73">
        <v>2</v>
      </c>
      <c r="C90" s="74">
        <v>45689</v>
      </c>
      <c r="D90" s="73" t="s">
        <v>104</v>
      </c>
      <c r="E90" s="75" t="s">
        <v>105</v>
      </c>
      <c r="F90" s="73" t="str">
        <f>VLOOKUP('표1'!$E90,구분!$C$3:$D$72,2,0)</f>
        <v>동일</v>
      </c>
      <c r="G90" s="76">
        <v>26285440</v>
      </c>
      <c r="H90" s="76">
        <v>17251577</v>
      </c>
      <c r="I90" s="76">
        <v>15683252</v>
      </c>
      <c r="J90" s="76">
        <v>8461160</v>
      </c>
      <c r="K90" s="76">
        <v>7222092</v>
      </c>
      <c r="L90" s="76">
        <v>4184320</v>
      </c>
      <c r="M90" s="76">
        <v>3037772</v>
      </c>
      <c r="N90" s="77">
        <v>0.11556861205982499</v>
      </c>
    </row>
    <row r="91" spans="1:14" ht="14.25" hidden="1" customHeight="1">
      <c r="A91" s="73">
        <v>2025</v>
      </c>
      <c r="B91" s="73">
        <v>2</v>
      </c>
      <c r="C91" s="74">
        <v>45689</v>
      </c>
      <c r="D91" s="73" t="s">
        <v>106</v>
      </c>
      <c r="E91" s="75" t="s">
        <v>107</v>
      </c>
      <c r="F91" s="73" t="str">
        <f>VLOOKUP('표1'!$E91,구분!$C$3:$D$72,2,0)</f>
        <v>폐점</v>
      </c>
      <c r="G91" s="76">
        <v>30952920</v>
      </c>
      <c r="H91" s="76">
        <v>19329985</v>
      </c>
      <c r="I91" s="76">
        <v>17572714</v>
      </c>
      <c r="J91" s="76">
        <v>10470576</v>
      </c>
      <c r="K91" s="76">
        <v>7102138</v>
      </c>
      <c r="L91" s="76">
        <v>5296370</v>
      </c>
      <c r="M91" s="76">
        <v>1805768</v>
      </c>
      <c r="N91" s="77">
        <v>5.8339169175755899E-2</v>
      </c>
    </row>
    <row r="92" spans="1:14" ht="14.25" hidden="1" customHeight="1">
      <c r="A92" s="73">
        <v>2025</v>
      </c>
      <c r="B92" s="73">
        <v>2</v>
      </c>
      <c r="C92" s="74">
        <v>45689</v>
      </c>
      <c r="D92" s="73" t="s">
        <v>108</v>
      </c>
      <c r="E92" s="75" t="s">
        <v>109</v>
      </c>
      <c r="F92" s="73" t="str">
        <f>VLOOKUP('표1'!$E92,구분!$C$3:$D$72,2,0)</f>
        <v>동일</v>
      </c>
      <c r="G92" s="76">
        <v>30107320</v>
      </c>
      <c r="H92" s="76">
        <v>18666537</v>
      </c>
      <c r="I92" s="76">
        <v>16969579</v>
      </c>
      <c r="J92" s="76">
        <v>8576885</v>
      </c>
      <c r="K92" s="76">
        <v>8392694</v>
      </c>
      <c r="L92" s="76">
        <v>6766040</v>
      </c>
      <c r="M92" s="76">
        <v>1626654</v>
      </c>
      <c r="N92" s="77">
        <v>5.4028524986916501E-2</v>
      </c>
    </row>
    <row r="93" spans="1:14" ht="14.25" hidden="1" customHeight="1">
      <c r="A93" s="73">
        <v>2025</v>
      </c>
      <c r="B93" s="73">
        <v>2</v>
      </c>
      <c r="C93" s="74">
        <v>45689</v>
      </c>
      <c r="D93" s="73" t="s">
        <v>110</v>
      </c>
      <c r="E93" s="75" t="s">
        <v>111</v>
      </c>
      <c r="F93" s="73" t="str">
        <f>VLOOKUP('표1'!$E93,구분!$C$3:$D$72,2,0)</f>
        <v>동일</v>
      </c>
      <c r="G93" s="76">
        <v>88987040</v>
      </c>
      <c r="H93" s="76">
        <v>56443171</v>
      </c>
      <c r="I93" s="76">
        <v>51311974</v>
      </c>
      <c r="J93" s="76">
        <v>29743497</v>
      </c>
      <c r="K93" s="76">
        <v>21568477</v>
      </c>
      <c r="L93" s="76">
        <v>12428390</v>
      </c>
      <c r="M93" s="76">
        <v>9140087</v>
      </c>
      <c r="N93" s="77">
        <v>0.102712559450945</v>
      </c>
    </row>
    <row r="94" spans="1:14" ht="14.25" hidden="1" customHeight="1">
      <c r="A94" s="73">
        <v>2025</v>
      </c>
      <c r="B94" s="73">
        <v>2</v>
      </c>
      <c r="C94" s="74">
        <v>45689</v>
      </c>
      <c r="D94" s="73" t="s">
        <v>112</v>
      </c>
      <c r="E94" s="75" t="s">
        <v>113</v>
      </c>
      <c r="F94" s="73" t="str">
        <f>VLOOKUP('표1'!$E94,구분!$C$3:$D$72,2,0)</f>
        <v>동일</v>
      </c>
      <c r="G94" s="76">
        <v>49405270</v>
      </c>
      <c r="H94" s="76">
        <v>34149137</v>
      </c>
      <c r="I94" s="76">
        <v>31044670</v>
      </c>
      <c r="J94" s="76">
        <v>14346685</v>
      </c>
      <c r="K94" s="76">
        <v>16697985</v>
      </c>
      <c r="L94" s="76">
        <v>8557650</v>
      </c>
      <c r="M94" s="76">
        <v>8140335</v>
      </c>
      <c r="N94" s="77">
        <v>0.16476653199142499</v>
      </c>
    </row>
    <row r="95" spans="1:14" ht="14.25" hidden="1" customHeight="1">
      <c r="A95" s="73">
        <v>2025</v>
      </c>
      <c r="B95" s="73">
        <v>2</v>
      </c>
      <c r="C95" s="74">
        <v>45689</v>
      </c>
      <c r="D95" s="73" t="s">
        <v>114</v>
      </c>
      <c r="E95" s="75" t="s">
        <v>115</v>
      </c>
      <c r="F95" s="73" t="str">
        <f>VLOOKUP('표1'!$E95,구분!$C$3:$D$72,2,0)</f>
        <v>폐점</v>
      </c>
      <c r="G95" s="76">
        <v>9707420</v>
      </c>
      <c r="H95" s="76">
        <v>6383022</v>
      </c>
      <c r="I95" s="76">
        <v>5802747</v>
      </c>
      <c r="J95" s="76">
        <v>3711787</v>
      </c>
      <c r="K95" s="76">
        <v>2090960</v>
      </c>
      <c r="L95" s="76">
        <v>3156730</v>
      </c>
      <c r="M95" s="76">
        <v>-1065770</v>
      </c>
      <c r="N95" s="77">
        <v>-0.109789184693021</v>
      </c>
    </row>
    <row r="96" spans="1:14" ht="14.25" hidden="1" customHeight="1">
      <c r="A96" s="73">
        <v>2025</v>
      </c>
      <c r="B96" s="73">
        <v>2</v>
      </c>
      <c r="C96" s="74">
        <v>45689</v>
      </c>
      <c r="D96" s="73" t="s">
        <v>116</v>
      </c>
      <c r="E96" s="75" t="s">
        <v>117</v>
      </c>
      <c r="F96" s="73" t="str">
        <f>VLOOKUP('표1'!$E96,구분!$C$3:$D$72,2,0)</f>
        <v>동일</v>
      </c>
      <c r="G96" s="76">
        <v>19848930</v>
      </c>
      <c r="H96" s="76">
        <v>13695772</v>
      </c>
      <c r="I96" s="76">
        <v>12450702</v>
      </c>
      <c r="J96" s="76">
        <v>6493955</v>
      </c>
      <c r="K96" s="76">
        <v>5956747</v>
      </c>
      <c r="L96" s="76">
        <v>5357830</v>
      </c>
      <c r="M96" s="76">
        <v>598917</v>
      </c>
      <c r="N96" s="77">
        <v>3.01737583931132E-2</v>
      </c>
    </row>
    <row r="97" spans="1:14" ht="14.25" hidden="1" customHeight="1">
      <c r="A97" s="73">
        <v>2025</v>
      </c>
      <c r="B97" s="73">
        <v>2</v>
      </c>
      <c r="C97" s="74">
        <v>45689</v>
      </c>
      <c r="D97" s="73" t="s">
        <v>118</v>
      </c>
      <c r="E97" s="75" t="s">
        <v>119</v>
      </c>
      <c r="F97" s="73" t="str">
        <f>VLOOKUP('표1'!$E97,구분!$C$3:$D$72,2,0)</f>
        <v>동일</v>
      </c>
      <c r="G97" s="76">
        <v>65352890</v>
      </c>
      <c r="H97" s="76">
        <v>42170412</v>
      </c>
      <c r="I97" s="76">
        <v>38336738</v>
      </c>
      <c r="J97" s="76">
        <v>19814231</v>
      </c>
      <c r="K97" s="76">
        <v>18522507</v>
      </c>
      <c r="L97" s="76">
        <v>9891210</v>
      </c>
      <c r="M97" s="76">
        <v>8631297</v>
      </c>
      <c r="N97" s="77">
        <v>0.13207215751006901</v>
      </c>
    </row>
    <row r="98" spans="1:14" ht="14.25" hidden="1" customHeight="1">
      <c r="A98" s="73">
        <v>2025</v>
      </c>
      <c r="B98" s="73">
        <v>2</v>
      </c>
      <c r="C98" s="74">
        <v>45689</v>
      </c>
      <c r="D98" s="73" t="s">
        <v>180</v>
      </c>
      <c r="E98" s="75" t="s">
        <v>181</v>
      </c>
      <c r="F98" s="73" t="str">
        <f>VLOOKUP('표1'!$E98,구분!$C$3:$D$72,2,0)</f>
        <v>동일</v>
      </c>
      <c r="G98" s="76">
        <v>5149520</v>
      </c>
      <c r="H98" s="76">
        <v>3192702</v>
      </c>
      <c r="I98" s="76">
        <v>2902456</v>
      </c>
      <c r="J98" s="76">
        <v>1598966</v>
      </c>
      <c r="K98" s="76">
        <v>1303490</v>
      </c>
      <c r="L98" s="76">
        <v>2832250</v>
      </c>
      <c r="M98" s="76">
        <v>-1528760</v>
      </c>
      <c r="N98" s="77">
        <v>-0.296874201161203</v>
      </c>
    </row>
    <row r="99" spans="1:14" ht="14.25" hidden="1" customHeight="1">
      <c r="A99" s="73">
        <v>2025</v>
      </c>
      <c r="B99" s="73">
        <v>2</v>
      </c>
      <c r="C99" s="74">
        <v>45689</v>
      </c>
      <c r="D99" s="73" t="s">
        <v>120</v>
      </c>
      <c r="E99" s="75" t="s">
        <v>121</v>
      </c>
      <c r="F99" s="73" t="str">
        <f>VLOOKUP('표1'!$E99,구분!$C$3:$D$72,2,0)</f>
        <v>동일</v>
      </c>
      <c r="G99" s="76">
        <v>60828060</v>
      </c>
      <c r="H99" s="76">
        <v>38236086</v>
      </c>
      <c r="I99" s="76">
        <v>34760078</v>
      </c>
      <c r="J99" s="76">
        <v>21168163</v>
      </c>
      <c r="K99" s="76">
        <v>13591915</v>
      </c>
      <c r="L99" s="76">
        <v>7216380</v>
      </c>
      <c r="M99" s="76">
        <v>6375535</v>
      </c>
      <c r="N99" s="77">
        <v>0.104812403713322</v>
      </c>
    </row>
    <row r="100" spans="1:14" ht="14.25" hidden="1" customHeight="1">
      <c r="A100" s="73">
        <v>2025</v>
      </c>
      <c r="B100" s="73">
        <v>2</v>
      </c>
      <c r="C100" s="74">
        <v>45689</v>
      </c>
      <c r="D100" s="73" t="s">
        <v>122</v>
      </c>
      <c r="E100" s="75" t="s">
        <v>123</v>
      </c>
      <c r="F100" s="73" t="str">
        <f>VLOOKUP('표1'!$E100,구분!$C$3:$D$72,2,0)</f>
        <v>동일</v>
      </c>
      <c r="G100" s="76">
        <v>52648020</v>
      </c>
      <c r="H100" s="76">
        <v>33315248</v>
      </c>
      <c r="I100" s="76">
        <v>30286589</v>
      </c>
      <c r="J100" s="76">
        <v>16225065</v>
      </c>
      <c r="K100" s="76">
        <v>14061524</v>
      </c>
      <c r="L100" s="76">
        <v>8925010</v>
      </c>
      <c r="M100" s="76">
        <v>5136514</v>
      </c>
      <c r="N100" s="77">
        <v>9.7563290906459404E-2</v>
      </c>
    </row>
    <row r="101" spans="1:14" ht="14.25" hidden="1" customHeight="1">
      <c r="A101" s="73">
        <v>2025</v>
      </c>
      <c r="B101" s="73">
        <v>2</v>
      </c>
      <c r="C101" s="74">
        <v>45689</v>
      </c>
      <c r="D101" s="73" t="s">
        <v>124</v>
      </c>
      <c r="E101" s="75" t="s">
        <v>125</v>
      </c>
      <c r="F101" s="73" t="str">
        <f>VLOOKUP('표1'!$E101,구분!$C$3:$D$72,2,0)</f>
        <v>동일</v>
      </c>
      <c r="G101" s="76">
        <v>78259900</v>
      </c>
      <c r="H101" s="76">
        <v>49303742</v>
      </c>
      <c r="I101" s="76">
        <v>44821584</v>
      </c>
      <c r="J101" s="76">
        <v>23395007</v>
      </c>
      <c r="K101" s="76">
        <v>21426577</v>
      </c>
      <c r="L101" s="76">
        <v>7399710</v>
      </c>
      <c r="M101" s="76">
        <v>14026867</v>
      </c>
      <c r="N101" s="77">
        <v>0.17923440531311199</v>
      </c>
    </row>
    <row r="102" spans="1:14" ht="14.25" hidden="1" customHeight="1">
      <c r="A102" s="73">
        <v>2025</v>
      </c>
      <c r="B102" s="73">
        <v>2</v>
      </c>
      <c r="C102" s="74">
        <v>45689</v>
      </c>
      <c r="D102" s="73" t="s">
        <v>126</v>
      </c>
      <c r="E102" s="75" t="s">
        <v>127</v>
      </c>
      <c r="F102" s="73" t="str">
        <f>VLOOKUP('표1'!$E102,구분!$C$3:$D$72,2,0)</f>
        <v>동일</v>
      </c>
      <c r="G102" s="76">
        <v>62104290</v>
      </c>
      <c r="H102" s="76">
        <v>39423253</v>
      </c>
      <c r="I102" s="76">
        <v>35839321</v>
      </c>
      <c r="J102" s="76">
        <v>19360656</v>
      </c>
      <c r="K102" s="76">
        <v>16478665</v>
      </c>
      <c r="L102" s="76">
        <v>9296710</v>
      </c>
      <c r="M102" s="76">
        <v>7181955</v>
      </c>
      <c r="N102" s="77">
        <v>0.115643458915494</v>
      </c>
    </row>
    <row r="103" spans="1:14" ht="14.25" customHeight="1">
      <c r="A103" s="73">
        <v>2025</v>
      </c>
      <c r="B103" s="73">
        <v>2</v>
      </c>
      <c r="C103" s="74">
        <v>45689</v>
      </c>
      <c r="D103" s="73" t="s">
        <v>128</v>
      </c>
      <c r="E103" s="75" t="s">
        <v>129</v>
      </c>
      <c r="F103" s="73" t="str">
        <f>VLOOKUP('표1'!$E103,구분!$C$3:$D$72,2,0)</f>
        <v>동일</v>
      </c>
      <c r="G103" s="76">
        <v>87464410</v>
      </c>
      <c r="H103" s="76">
        <v>55819452</v>
      </c>
      <c r="I103" s="76">
        <v>50744956</v>
      </c>
      <c r="J103" s="76">
        <v>30366424</v>
      </c>
      <c r="K103" s="76">
        <v>20378532</v>
      </c>
      <c r="L103" s="76">
        <v>12683410</v>
      </c>
      <c r="M103" s="76">
        <v>7695122</v>
      </c>
      <c r="N103" s="77">
        <v>8.7980040837597404E-2</v>
      </c>
    </row>
    <row r="104" spans="1:14" ht="14.25" hidden="1" customHeight="1">
      <c r="A104" s="73">
        <v>2025</v>
      </c>
      <c r="B104" s="73">
        <v>2</v>
      </c>
      <c r="C104" s="74">
        <v>45689</v>
      </c>
      <c r="D104" s="73" t="s">
        <v>130</v>
      </c>
      <c r="E104" s="75" t="s">
        <v>131</v>
      </c>
      <c r="F104" s="73" t="str">
        <f>VLOOKUP('표1'!$E104,구분!$C$3:$D$72,2,0)</f>
        <v>동일</v>
      </c>
      <c r="G104" s="76">
        <v>31302500</v>
      </c>
      <c r="H104" s="76">
        <v>19720578</v>
      </c>
      <c r="I104" s="76">
        <v>17927798</v>
      </c>
      <c r="J104" s="76">
        <v>9599872</v>
      </c>
      <c r="K104" s="76">
        <v>8327926</v>
      </c>
      <c r="L104" s="76">
        <v>4001080</v>
      </c>
      <c r="M104" s="76">
        <v>4326846</v>
      </c>
      <c r="N104" s="77">
        <v>0.13822685669892801</v>
      </c>
    </row>
    <row r="105" spans="1:14" ht="14.25" hidden="1" customHeight="1">
      <c r="A105" s="73">
        <v>2025</v>
      </c>
      <c r="B105" s="73">
        <v>2</v>
      </c>
      <c r="C105" s="74">
        <v>45689</v>
      </c>
      <c r="D105" s="73" t="s">
        <v>132</v>
      </c>
      <c r="E105" s="75" t="s">
        <v>133</v>
      </c>
      <c r="F105" s="73" t="str">
        <f>VLOOKUP('표1'!$E105,구분!$C$3:$D$72,2,0)</f>
        <v>동일</v>
      </c>
      <c r="G105" s="76">
        <v>20456550</v>
      </c>
      <c r="H105" s="76">
        <v>12874703</v>
      </c>
      <c r="I105" s="76">
        <v>11704275</v>
      </c>
      <c r="J105" s="76">
        <v>5965026</v>
      </c>
      <c r="K105" s="76">
        <v>5739249</v>
      </c>
      <c r="L105" s="76">
        <v>5028120</v>
      </c>
      <c r="M105" s="76">
        <v>711129</v>
      </c>
      <c r="N105" s="77">
        <v>3.4762922122520801E-2</v>
      </c>
    </row>
    <row r="106" spans="1:14" ht="14.25" hidden="1" customHeight="1">
      <c r="A106" s="73">
        <v>2025</v>
      </c>
      <c r="B106" s="73">
        <v>2</v>
      </c>
      <c r="C106" s="74">
        <v>45689</v>
      </c>
      <c r="D106" s="73" t="s">
        <v>134</v>
      </c>
      <c r="E106" s="75" t="s">
        <v>135</v>
      </c>
      <c r="F106" s="73" t="str">
        <f>VLOOKUP('표1'!$E106,구분!$C$3:$D$72,2,0)</f>
        <v>동일</v>
      </c>
      <c r="G106" s="76">
        <v>37434430</v>
      </c>
      <c r="H106" s="76">
        <v>23583691</v>
      </c>
      <c r="I106" s="76">
        <v>21439719</v>
      </c>
      <c r="J106" s="76">
        <v>12075736</v>
      </c>
      <c r="K106" s="76">
        <v>9363983</v>
      </c>
      <c r="L106" s="76">
        <v>6944360</v>
      </c>
      <c r="M106" s="76">
        <v>2419623</v>
      </c>
      <c r="N106" s="77">
        <v>6.4636301151348899E-2</v>
      </c>
    </row>
    <row r="107" spans="1:14" ht="14.25" hidden="1" customHeight="1">
      <c r="A107" s="73">
        <v>2025</v>
      </c>
      <c r="B107" s="73">
        <v>2</v>
      </c>
      <c r="C107" s="74">
        <v>45689</v>
      </c>
      <c r="D107" s="73" t="s">
        <v>136</v>
      </c>
      <c r="E107" s="75" t="s">
        <v>137</v>
      </c>
      <c r="F107" s="73" t="str">
        <f>VLOOKUP('표1'!$E107,구분!$C$3:$D$72,2,0)</f>
        <v>동일</v>
      </c>
      <c r="G107" s="76">
        <v>46627200</v>
      </c>
      <c r="H107" s="76">
        <v>29931320</v>
      </c>
      <c r="I107" s="76">
        <v>27210291</v>
      </c>
      <c r="J107" s="76">
        <v>15224617</v>
      </c>
      <c r="K107" s="76">
        <v>11985674</v>
      </c>
      <c r="L107" s="76">
        <v>6727310</v>
      </c>
      <c r="M107" s="76">
        <v>5258364</v>
      </c>
      <c r="N107" s="77">
        <v>0.112774601715113</v>
      </c>
    </row>
    <row r="108" spans="1:14" ht="14.25" hidden="1" customHeight="1">
      <c r="A108" s="73">
        <v>2025</v>
      </c>
      <c r="B108" s="73">
        <v>2</v>
      </c>
      <c r="C108" s="74">
        <v>45689</v>
      </c>
      <c r="D108" s="73" t="s">
        <v>138</v>
      </c>
      <c r="E108" s="75" t="s">
        <v>139</v>
      </c>
      <c r="F108" s="73" t="str">
        <f>VLOOKUP('표1'!$E108,구분!$C$3:$D$72,2,0)</f>
        <v>동일</v>
      </c>
      <c r="G108" s="76">
        <v>31006830</v>
      </c>
      <c r="H108" s="76">
        <v>19534302</v>
      </c>
      <c r="I108" s="76">
        <v>17758456</v>
      </c>
      <c r="J108" s="76">
        <v>8748202</v>
      </c>
      <c r="K108" s="76">
        <v>9010254</v>
      </c>
      <c r="L108" s="76">
        <v>4746390</v>
      </c>
      <c r="M108" s="76">
        <v>4263864</v>
      </c>
      <c r="N108" s="77">
        <v>0.13751371435378501</v>
      </c>
    </row>
    <row r="109" spans="1:14" ht="14.25" hidden="1" customHeight="1">
      <c r="A109" s="73">
        <v>2025</v>
      </c>
      <c r="B109" s="73">
        <v>2</v>
      </c>
      <c r="C109" s="74">
        <v>45689</v>
      </c>
      <c r="D109" s="73" t="s">
        <v>140</v>
      </c>
      <c r="E109" s="75" t="s">
        <v>141</v>
      </c>
      <c r="F109" s="73" t="str">
        <f>VLOOKUP('표1'!$E109,구분!$C$3:$D$72,2,0)</f>
        <v>동일</v>
      </c>
      <c r="G109" s="76">
        <v>80028690</v>
      </c>
      <c r="H109" s="76">
        <v>50418133</v>
      </c>
      <c r="I109" s="76">
        <v>45834666</v>
      </c>
      <c r="J109" s="76">
        <v>26005425</v>
      </c>
      <c r="K109" s="76">
        <v>19829241</v>
      </c>
      <c r="L109" s="76">
        <v>7603840</v>
      </c>
      <c r="M109" s="76">
        <v>12225401</v>
      </c>
      <c r="N109" s="77">
        <v>0.15276273251050801</v>
      </c>
    </row>
    <row r="110" spans="1:14" ht="14.25" hidden="1" customHeight="1">
      <c r="A110" s="73">
        <v>2025</v>
      </c>
      <c r="B110" s="73">
        <v>2</v>
      </c>
      <c r="C110" s="74">
        <v>45689</v>
      </c>
      <c r="D110" s="73" t="s">
        <v>142</v>
      </c>
      <c r="E110" s="75" t="s">
        <v>143</v>
      </c>
      <c r="F110" s="73" t="str">
        <f>VLOOKUP('표1'!$E110,구분!$C$3:$D$72,2,0)</f>
        <v>동일</v>
      </c>
      <c r="G110" s="76">
        <v>33516260</v>
      </c>
      <c r="H110" s="76">
        <v>21448041</v>
      </c>
      <c r="I110" s="76">
        <v>19498219</v>
      </c>
      <c r="J110" s="76">
        <v>10302418</v>
      </c>
      <c r="K110" s="76">
        <v>9195801</v>
      </c>
      <c r="L110" s="76">
        <v>6277910</v>
      </c>
      <c r="M110" s="76">
        <v>2917891</v>
      </c>
      <c r="N110" s="77">
        <v>8.7058970508913897E-2</v>
      </c>
    </row>
    <row r="111" spans="1:14" ht="14.25" hidden="1" customHeight="1">
      <c r="A111" s="73">
        <v>2025</v>
      </c>
      <c r="B111" s="73">
        <v>2</v>
      </c>
      <c r="C111" s="74">
        <v>45689</v>
      </c>
      <c r="D111" s="73" t="s">
        <v>144</v>
      </c>
      <c r="E111" s="75" t="s">
        <v>145</v>
      </c>
      <c r="F111" s="73" t="str">
        <f>VLOOKUP('표1'!$E111,구분!$C$3:$D$72,2,0)</f>
        <v>동일</v>
      </c>
      <c r="G111" s="76">
        <v>39926700</v>
      </c>
      <c r="H111" s="76">
        <v>25870599</v>
      </c>
      <c r="I111" s="76">
        <v>23518726</v>
      </c>
      <c r="J111" s="76">
        <v>13110410</v>
      </c>
      <c r="K111" s="76">
        <v>10408316</v>
      </c>
      <c r="L111" s="76">
        <v>5686260</v>
      </c>
      <c r="M111" s="76">
        <v>4722056</v>
      </c>
      <c r="N111" s="77">
        <v>0.11826813544912</v>
      </c>
    </row>
    <row r="112" spans="1:14" ht="14.25" hidden="1" customHeight="1">
      <c r="A112" s="73">
        <v>2025</v>
      </c>
      <c r="B112" s="73">
        <v>2</v>
      </c>
      <c r="C112" s="74">
        <v>45689</v>
      </c>
      <c r="D112" s="73" t="s">
        <v>146</v>
      </c>
      <c r="E112" s="75" t="s">
        <v>147</v>
      </c>
      <c r="F112" s="73" t="str">
        <f>VLOOKUP('표1'!$E112,구분!$C$3:$D$72,2,0)</f>
        <v>동일</v>
      </c>
      <c r="G112" s="76">
        <v>66348100</v>
      </c>
      <c r="H112" s="76">
        <v>41920464</v>
      </c>
      <c r="I112" s="76">
        <v>38109513</v>
      </c>
      <c r="J112" s="76">
        <v>21344016</v>
      </c>
      <c r="K112" s="76">
        <v>16765497</v>
      </c>
      <c r="L112" s="76">
        <v>7349850</v>
      </c>
      <c r="M112" s="76">
        <v>9415647</v>
      </c>
      <c r="N112" s="77">
        <v>0.141912831373811</v>
      </c>
    </row>
    <row r="113" spans="1:14" ht="14.25" hidden="1" customHeight="1">
      <c r="A113" s="73">
        <v>2025</v>
      </c>
      <c r="B113" s="73">
        <v>2</v>
      </c>
      <c r="C113" s="74">
        <v>45689</v>
      </c>
      <c r="D113" s="73" t="s">
        <v>148</v>
      </c>
      <c r="E113" s="75" t="s">
        <v>149</v>
      </c>
      <c r="F113" s="73" t="str">
        <f>VLOOKUP('표1'!$E113,구분!$C$3:$D$72,2,0)</f>
        <v>동일</v>
      </c>
      <c r="G113" s="76">
        <v>23541950</v>
      </c>
      <c r="H113" s="76">
        <v>14910574</v>
      </c>
      <c r="I113" s="76">
        <v>13555067</v>
      </c>
      <c r="J113" s="76">
        <v>6982771</v>
      </c>
      <c r="K113" s="76">
        <v>6572296</v>
      </c>
      <c r="L113" s="76">
        <v>5181910</v>
      </c>
      <c r="M113" s="76">
        <v>1390386</v>
      </c>
      <c r="N113" s="77">
        <v>5.9059945022705097E-2</v>
      </c>
    </row>
    <row r="114" spans="1:14" ht="14.25" hidden="1" customHeight="1">
      <c r="A114" s="73">
        <v>2025</v>
      </c>
      <c r="B114" s="73">
        <v>2</v>
      </c>
      <c r="C114" s="74">
        <v>45689</v>
      </c>
      <c r="D114" s="73" t="s">
        <v>150</v>
      </c>
      <c r="E114" s="75" t="s">
        <v>151</v>
      </c>
      <c r="F114" s="73" t="str">
        <f>VLOOKUP('표1'!$E114,구분!$C$3:$D$72,2,0)</f>
        <v>동일</v>
      </c>
      <c r="G114" s="76">
        <v>35544520</v>
      </c>
      <c r="H114" s="76">
        <v>22883991</v>
      </c>
      <c r="I114" s="76">
        <v>20803628</v>
      </c>
      <c r="J114" s="76">
        <v>11112637</v>
      </c>
      <c r="K114" s="76">
        <v>9690991</v>
      </c>
      <c r="L114" s="76">
        <v>5807890</v>
      </c>
      <c r="M114" s="76">
        <v>3883101</v>
      </c>
      <c r="N114" s="77">
        <v>0.10924612800561601</v>
      </c>
    </row>
    <row r="115" spans="1:14" ht="15" hidden="1" customHeight="1">
      <c r="A115" s="73">
        <v>2025</v>
      </c>
      <c r="B115" s="73">
        <v>2</v>
      </c>
      <c r="C115" s="74">
        <v>45689</v>
      </c>
      <c r="D115" s="73" t="s">
        <v>152</v>
      </c>
      <c r="E115" s="73" t="s">
        <v>153</v>
      </c>
      <c r="F115" s="73" t="str">
        <f>VLOOKUP('표1'!$E115,구분!$C$3:$D$72,2,0)</f>
        <v>동일</v>
      </c>
      <c r="G115" s="76">
        <v>26894080</v>
      </c>
      <c r="H115" s="76">
        <v>16791168</v>
      </c>
      <c r="I115" s="76">
        <v>15264698</v>
      </c>
      <c r="J115" s="76">
        <v>8488337</v>
      </c>
      <c r="K115" s="76">
        <v>6776361</v>
      </c>
      <c r="L115" s="76">
        <v>6699410</v>
      </c>
      <c r="M115" s="76">
        <v>76951</v>
      </c>
      <c r="N115" s="77">
        <v>2.8612684210867199E-3</v>
      </c>
    </row>
    <row r="116" spans="1:14" ht="14.25" hidden="1" customHeight="1">
      <c r="A116" s="73">
        <v>2025</v>
      </c>
      <c r="B116" s="73">
        <v>2</v>
      </c>
      <c r="C116" s="74">
        <v>45689</v>
      </c>
      <c r="D116" s="73" t="s">
        <v>154</v>
      </c>
      <c r="E116" s="75" t="s">
        <v>155</v>
      </c>
      <c r="F116" s="73" t="str">
        <f>VLOOKUP('표1'!$E116,구분!$C$3:$D$72,2,0)</f>
        <v>동일</v>
      </c>
      <c r="G116" s="76">
        <v>68532960</v>
      </c>
      <c r="H116" s="76">
        <v>43175786</v>
      </c>
      <c r="I116" s="76">
        <v>39250715</v>
      </c>
      <c r="J116" s="76">
        <v>22266648</v>
      </c>
      <c r="K116" s="76">
        <v>16984067</v>
      </c>
      <c r="L116" s="76">
        <v>10567210</v>
      </c>
      <c r="M116" s="76">
        <v>6416857</v>
      </c>
      <c r="N116" s="77">
        <v>9.3631685330015493E-2</v>
      </c>
    </row>
    <row r="117" spans="1:14" ht="14.25" hidden="1" customHeight="1">
      <c r="A117" s="73">
        <v>2025</v>
      </c>
      <c r="B117" s="73">
        <v>2</v>
      </c>
      <c r="C117" s="74">
        <v>45689</v>
      </c>
      <c r="D117" s="73" t="s">
        <v>156</v>
      </c>
      <c r="E117" s="75" t="s">
        <v>157</v>
      </c>
      <c r="F117" s="73" t="str">
        <f>VLOOKUP('표1'!$E117,구분!$C$3:$D$72,2,0)</f>
        <v>동일</v>
      </c>
      <c r="G117" s="76">
        <v>63045670</v>
      </c>
      <c r="H117" s="76">
        <v>48229996</v>
      </c>
      <c r="I117" s="76">
        <v>43845451</v>
      </c>
      <c r="J117" s="76">
        <v>21683485</v>
      </c>
      <c r="K117" s="76">
        <v>22161966</v>
      </c>
      <c r="L117" s="76">
        <v>8422240</v>
      </c>
      <c r="M117" s="76">
        <v>13739726</v>
      </c>
      <c r="N117" s="77">
        <v>0.21793290338719401</v>
      </c>
    </row>
    <row r="118" spans="1:14" ht="14.25" hidden="1" customHeight="1">
      <c r="A118" s="73">
        <v>2025</v>
      </c>
      <c r="B118" s="73">
        <v>2</v>
      </c>
      <c r="C118" s="74">
        <v>45689</v>
      </c>
      <c r="D118" s="73" t="s">
        <v>158</v>
      </c>
      <c r="E118" s="75" t="s">
        <v>159</v>
      </c>
      <c r="F118" s="73" t="str">
        <f>VLOOKUP('표1'!$E118,구분!$C$3:$D$72,2,0)</f>
        <v>동일</v>
      </c>
      <c r="G118" s="76">
        <v>42642140</v>
      </c>
      <c r="H118" s="76">
        <v>32834472</v>
      </c>
      <c r="I118" s="76">
        <v>29849520</v>
      </c>
      <c r="J118" s="76">
        <v>13862856</v>
      </c>
      <c r="K118" s="76">
        <v>15986664</v>
      </c>
      <c r="L118" s="76">
        <v>6823820</v>
      </c>
      <c r="M118" s="76">
        <v>9162844</v>
      </c>
      <c r="N118" s="77">
        <v>0.21487767733983301</v>
      </c>
    </row>
    <row r="119" spans="1:14" ht="14.25" hidden="1" customHeight="1">
      <c r="A119" s="73">
        <v>2025</v>
      </c>
      <c r="B119" s="73">
        <v>2</v>
      </c>
      <c r="C119" s="74">
        <v>45689</v>
      </c>
      <c r="D119" s="73" t="s">
        <v>160</v>
      </c>
      <c r="E119" s="75" t="s">
        <v>161</v>
      </c>
      <c r="F119" s="73" t="str">
        <f>VLOOKUP('표1'!$E119,구분!$C$3:$D$72,2,0)</f>
        <v>동일</v>
      </c>
      <c r="G119" s="76">
        <v>35096000</v>
      </c>
      <c r="H119" s="76">
        <v>26848472</v>
      </c>
      <c r="I119" s="76">
        <v>24407702</v>
      </c>
      <c r="J119" s="76">
        <v>11667625</v>
      </c>
      <c r="K119" s="76">
        <v>12740077</v>
      </c>
      <c r="L119" s="76">
        <v>6527810</v>
      </c>
      <c r="M119" s="76">
        <v>6212267</v>
      </c>
      <c r="N119" s="77">
        <v>0.177007830470191</v>
      </c>
    </row>
    <row r="120" spans="1:14" ht="14.25" hidden="1" customHeight="1">
      <c r="A120" s="73">
        <v>2025</v>
      </c>
      <c r="B120" s="73">
        <v>2</v>
      </c>
      <c r="C120" s="74">
        <v>45689</v>
      </c>
      <c r="D120" s="73" t="s">
        <v>162</v>
      </c>
      <c r="E120" s="75" t="s">
        <v>163</v>
      </c>
      <c r="F120" s="73" t="str">
        <f>VLOOKUP('표1'!$E120,구분!$C$3:$D$72,2,0)</f>
        <v>동일</v>
      </c>
      <c r="G120" s="76">
        <v>16458180</v>
      </c>
      <c r="H120" s="76">
        <v>12672805</v>
      </c>
      <c r="I120" s="76">
        <v>11520732</v>
      </c>
      <c r="J120" s="76">
        <v>6167651</v>
      </c>
      <c r="K120" s="76">
        <v>5353081</v>
      </c>
      <c r="L120" s="76">
        <v>4718370</v>
      </c>
      <c r="M120" s="76">
        <v>634711</v>
      </c>
      <c r="N120" s="77">
        <v>3.8565067229901301E-2</v>
      </c>
    </row>
    <row r="121" spans="1:14" ht="14.25" hidden="1" customHeight="1">
      <c r="A121" s="73">
        <v>2025</v>
      </c>
      <c r="B121" s="73">
        <v>2</v>
      </c>
      <c r="C121" s="74">
        <v>45689</v>
      </c>
      <c r="D121" s="73" t="s">
        <v>164</v>
      </c>
      <c r="E121" s="75" t="s">
        <v>165</v>
      </c>
      <c r="F121" s="73" t="str">
        <f>VLOOKUP('표1'!$E121,구분!$C$3:$D$72,2,0)</f>
        <v>동일</v>
      </c>
      <c r="G121" s="76">
        <v>36627680</v>
      </c>
      <c r="H121" s="76">
        <v>28203342</v>
      </c>
      <c r="I121" s="76">
        <v>25639402</v>
      </c>
      <c r="J121" s="76">
        <v>13581014</v>
      </c>
      <c r="K121" s="76">
        <v>12058388</v>
      </c>
      <c r="L121" s="76">
        <v>7628490</v>
      </c>
      <c r="M121" s="76">
        <v>4429898</v>
      </c>
      <c r="N121" s="77">
        <v>0.12094399148899999</v>
      </c>
    </row>
    <row r="122" spans="1:14" ht="14.25" hidden="1" customHeight="1">
      <c r="A122" s="73">
        <v>2025</v>
      </c>
      <c r="B122" s="73">
        <v>2</v>
      </c>
      <c r="C122" s="74">
        <v>45689</v>
      </c>
      <c r="D122" s="73" t="s">
        <v>166</v>
      </c>
      <c r="E122" s="75" t="s">
        <v>167</v>
      </c>
      <c r="F122" s="73" t="str">
        <f>VLOOKUP('표1'!$E122,구분!$C$3:$D$72,2,0)</f>
        <v>동일</v>
      </c>
      <c r="G122" s="76">
        <v>21468680</v>
      </c>
      <c r="H122" s="76">
        <v>16530894</v>
      </c>
      <c r="I122" s="76">
        <v>15028085</v>
      </c>
      <c r="J122" s="76">
        <v>7330634</v>
      </c>
      <c r="K122" s="76">
        <v>7697451</v>
      </c>
      <c r="L122" s="76">
        <v>5208110</v>
      </c>
      <c r="M122" s="76">
        <v>2489341</v>
      </c>
      <c r="N122" s="77">
        <v>0.11595223621319301</v>
      </c>
    </row>
    <row r="123" spans="1:14" ht="14.25" hidden="1" customHeight="1">
      <c r="A123" s="73">
        <v>2025</v>
      </c>
      <c r="B123" s="73">
        <v>2</v>
      </c>
      <c r="C123" s="74">
        <v>45689</v>
      </c>
      <c r="D123" s="73" t="s">
        <v>182</v>
      </c>
      <c r="E123" s="75" t="s">
        <v>183</v>
      </c>
      <c r="F123" s="73" t="str">
        <f>VLOOKUP('표1'!$E123,구분!$C$3:$D$72,2,0)</f>
        <v>행사</v>
      </c>
      <c r="G123" s="76">
        <v>15134680</v>
      </c>
      <c r="H123" s="76">
        <v>11578043</v>
      </c>
      <c r="I123" s="76">
        <v>10525494</v>
      </c>
      <c r="J123" s="76">
        <v>4796595</v>
      </c>
      <c r="K123" s="76">
        <v>5728899</v>
      </c>
      <c r="L123" s="76">
        <v>1610000</v>
      </c>
      <c r="M123" s="76">
        <v>4118899</v>
      </c>
      <c r="N123" s="77">
        <v>0.27214970097574798</v>
      </c>
    </row>
    <row r="124" spans="1:14" ht="14.25" hidden="1" customHeight="1">
      <c r="A124" s="73">
        <v>2025</v>
      </c>
      <c r="B124" s="73">
        <v>2</v>
      </c>
      <c r="C124" s="74">
        <v>45689</v>
      </c>
      <c r="D124" s="73" t="s">
        <v>168</v>
      </c>
      <c r="E124" s="75" t="s">
        <v>169</v>
      </c>
      <c r="F124" s="73" t="str">
        <f>VLOOKUP('표1'!$E124,구분!$C$3:$D$72,2,0)</f>
        <v>동일</v>
      </c>
      <c r="G124" s="76">
        <v>33683310</v>
      </c>
      <c r="H124" s="76">
        <v>25936164</v>
      </c>
      <c r="I124" s="76">
        <v>23578331</v>
      </c>
      <c r="J124" s="76">
        <v>10601213</v>
      </c>
      <c r="K124" s="76">
        <v>12977118</v>
      </c>
      <c r="L124" s="76">
        <v>5729820</v>
      </c>
      <c r="M124" s="76">
        <v>7247298</v>
      </c>
      <c r="N124" s="77">
        <v>0.21515990884182401</v>
      </c>
    </row>
    <row r="125" spans="1:14" ht="15" hidden="1" customHeight="1">
      <c r="A125" s="73">
        <v>2025</v>
      </c>
      <c r="B125" s="73">
        <v>2</v>
      </c>
      <c r="C125" s="74">
        <v>45689</v>
      </c>
      <c r="D125" s="73" t="s">
        <v>172</v>
      </c>
      <c r="E125" s="73" t="s">
        <v>173</v>
      </c>
      <c r="F125" s="73" t="str">
        <f>VLOOKUP('표1'!$E125,구분!$C$3:$D$72,2,0)</f>
        <v>동일</v>
      </c>
      <c r="G125" s="76">
        <v>34809390</v>
      </c>
      <c r="H125" s="76">
        <v>27499436</v>
      </c>
      <c r="I125" s="76">
        <v>24999487</v>
      </c>
      <c r="J125" s="76">
        <v>11656337</v>
      </c>
      <c r="K125" s="76">
        <v>13343150</v>
      </c>
      <c r="L125" s="76">
        <v>9338110</v>
      </c>
      <c r="M125" s="76">
        <v>4005040</v>
      </c>
      <c r="N125" s="77">
        <v>0.115056318790053</v>
      </c>
    </row>
    <row r="126" spans="1:14" ht="14.25" hidden="1" customHeight="1">
      <c r="A126" s="73">
        <v>2025</v>
      </c>
      <c r="B126" s="73">
        <v>2</v>
      </c>
      <c r="C126" s="74">
        <v>45689</v>
      </c>
      <c r="D126" s="73" t="s">
        <v>174</v>
      </c>
      <c r="E126" s="75" t="s">
        <v>175</v>
      </c>
      <c r="F126" s="73" t="str">
        <f>VLOOKUP('표1'!$E126,구분!$C$3:$D$72,2,0)</f>
        <v>동일</v>
      </c>
      <c r="G126" s="76">
        <v>18046280</v>
      </c>
      <c r="H126" s="76">
        <v>15158878</v>
      </c>
      <c r="I126" s="76">
        <v>13780798</v>
      </c>
      <c r="J126" s="76">
        <v>7122958</v>
      </c>
      <c r="K126" s="76">
        <v>6657840</v>
      </c>
      <c r="L126" s="76">
        <v>4766310</v>
      </c>
      <c r="M126" s="76">
        <v>1891530</v>
      </c>
      <c r="N126" s="77">
        <v>0.104815517758684</v>
      </c>
    </row>
    <row r="127" spans="1:14" ht="14.25" hidden="1" customHeight="1">
      <c r="A127" s="73">
        <v>2025</v>
      </c>
      <c r="B127" s="73">
        <v>2</v>
      </c>
      <c r="C127" s="74">
        <v>45689</v>
      </c>
      <c r="D127" s="73" t="s">
        <v>176</v>
      </c>
      <c r="E127" s="75" t="s">
        <v>177</v>
      </c>
      <c r="F127" s="73" t="str">
        <f>VLOOKUP('표1'!$E127,구분!$C$3:$D$72,2,0)</f>
        <v>동일</v>
      </c>
      <c r="G127" s="76">
        <v>63011770</v>
      </c>
      <c r="H127" s="76">
        <v>48519110</v>
      </c>
      <c r="I127" s="76">
        <v>44108282</v>
      </c>
      <c r="J127" s="76">
        <v>21822390</v>
      </c>
      <c r="K127" s="76">
        <v>22285892</v>
      </c>
      <c r="L127" s="76">
        <v>10713080</v>
      </c>
      <c r="M127" s="76">
        <v>11572812</v>
      </c>
      <c r="N127" s="77">
        <v>0.18366111312508501</v>
      </c>
    </row>
    <row r="128" spans="1:14" ht="14.25" hidden="1" customHeight="1">
      <c r="A128" s="73">
        <v>2025</v>
      </c>
      <c r="B128" s="73">
        <v>2</v>
      </c>
      <c r="C128" s="74">
        <v>45689</v>
      </c>
      <c r="D128" s="73" t="s">
        <v>178</v>
      </c>
      <c r="E128" s="75" t="s">
        <v>179</v>
      </c>
      <c r="F128" s="73" t="str">
        <f>VLOOKUP('표1'!$E128,구분!$C$3:$D$72,2,0)</f>
        <v>동일</v>
      </c>
      <c r="G128" s="76">
        <v>60038230</v>
      </c>
      <c r="H128" s="76">
        <v>46229472</v>
      </c>
      <c r="I128" s="76">
        <v>42026793</v>
      </c>
      <c r="J128" s="76">
        <v>19243124</v>
      </c>
      <c r="K128" s="76">
        <v>22783669</v>
      </c>
      <c r="L128" s="76">
        <v>7806040</v>
      </c>
      <c r="M128" s="76">
        <v>14977629</v>
      </c>
      <c r="N128" s="77">
        <v>0.24946819263780301</v>
      </c>
    </row>
    <row r="129" spans="1:14" ht="14.25" hidden="1" customHeight="1">
      <c r="A129" s="73">
        <v>2025</v>
      </c>
      <c r="B129" s="73">
        <v>3</v>
      </c>
      <c r="C129" s="74">
        <v>45717</v>
      </c>
      <c r="D129" s="73" t="s">
        <v>54</v>
      </c>
      <c r="E129" s="75" t="s">
        <v>55</v>
      </c>
      <c r="F129" s="73" t="str">
        <f>VLOOKUP('표1'!$E129,구분!$C$3:$D$72,2,0)</f>
        <v>동일</v>
      </c>
      <c r="G129" s="76">
        <v>55379790</v>
      </c>
      <c r="H129" s="76">
        <v>35443065</v>
      </c>
      <c r="I129" s="76">
        <v>32220968</v>
      </c>
      <c r="J129" s="76">
        <v>16229894</v>
      </c>
      <c r="K129" s="76">
        <v>15991074</v>
      </c>
      <c r="L129" s="76">
        <v>6410990</v>
      </c>
      <c r="M129" s="76">
        <v>9580084</v>
      </c>
      <c r="N129" s="77">
        <v>0.172988810539007</v>
      </c>
    </row>
    <row r="130" spans="1:14" ht="14.25" hidden="1" customHeight="1">
      <c r="A130" s="73">
        <v>2025</v>
      </c>
      <c r="B130" s="73">
        <v>3</v>
      </c>
      <c r="C130" s="74">
        <v>45717</v>
      </c>
      <c r="D130" s="73" t="s">
        <v>56</v>
      </c>
      <c r="E130" s="75" t="s">
        <v>57</v>
      </c>
      <c r="F130" s="73" t="str">
        <f>VLOOKUP('표1'!$E130,구분!$C$3:$D$72,2,0)</f>
        <v>동일</v>
      </c>
      <c r="G130" s="76">
        <v>16419040</v>
      </c>
      <c r="H130" s="76">
        <v>10672386</v>
      </c>
      <c r="I130" s="76">
        <v>9702169</v>
      </c>
      <c r="J130" s="76">
        <v>6420621</v>
      </c>
      <c r="K130" s="76">
        <v>3281548</v>
      </c>
      <c r="L130" s="76">
        <v>4806710</v>
      </c>
      <c r="M130" s="76">
        <v>-1525162</v>
      </c>
      <c r="N130" s="77">
        <v>-9.2889840088092895E-2</v>
      </c>
    </row>
    <row r="131" spans="1:14" ht="14.25" hidden="1" customHeight="1">
      <c r="A131" s="73">
        <v>2025</v>
      </c>
      <c r="B131" s="73">
        <v>3</v>
      </c>
      <c r="C131" s="74">
        <v>45717</v>
      </c>
      <c r="D131" s="73" t="s">
        <v>58</v>
      </c>
      <c r="E131" s="75" t="s">
        <v>59</v>
      </c>
      <c r="F131" s="73" t="str">
        <f>VLOOKUP('표1'!$E131,구분!$C$3:$D$72,2,0)</f>
        <v>동일</v>
      </c>
      <c r="G131" s="76">
        <v>50694340</v>
      </c>
      <c r="H131" s="76">
        <v>32444375</v>
      </c>
      <c r="I131" s="76">
        <v>29494886</v>
      </c>
      <c r="J131" s="76">
        <v>16559844</v>
      </c>
      <c r="K131" s="76">
        <v>12935042</v>
      </c>
      <c r="L131" s="76">
        <v>6523870</v>
      </c>
      <c r="M131" s="76">
        <v>6411172</v>
      </c>
      <c r="N131" s="77">
        <v>0.12646721507766001</v>
      </c>
    </row>
    <row r="132" spans="1:14" ht="14.25" hidden="1" customHeight="1">
      <c r="A132" s="73">
        <v>2025</v>
      </c>
      <c r="B132" s="73">
        <v>3</v>
      </c>
      <c r="C132" s="74">
        <v>45717</v>
      </c>
      <c r="D132" s="73" t="s">
        <v>60</v>
      </c>
      <c r="E132" s="75" t="s">
        <v>61</v>
      </c>
      <c r="F132" s="73" t="str">
        <f>VLOOKUP('표1'!$E132,구분!$C$3:$D$72,2,0)</f>
        <v>동일</v>
      </c>
      <c r="G132" s="76">
        <v>32060520</v>
      </c>
      <c r="H132" s="76">
        <v>20517232</v>
      </c>
      <c r="I132" s="76">
        <v>18652029</v>
      </c>
      <c r="J132" s="76">
        <v>9314166</v>
      </c>
      <c r="K132" s="76">
        <v>9337863</v>
      </c>
      <c r="L132" s="76">
        <v>5914650</v>
      </c>
      <c r="M132" s="76">
        <v>3423213</v>
      </c>
      <c r="N132" s="77">
        <v>0.10677347092311699</v>
      </c>
    </row>
    <row r="133" spans="1:14" ht="14.25" hidden="1" customHeight="1">
      <c r="A133" s="73">
        <v>2025</v>
      </c>
      <c r="B133" s="73">
        <v>3</v>
      </c>
      <c r="C133" s="74">
        <v>45717</v>
      </c>
      <c r="D133" s="73" t="s">
        <v>62</v>
      </c>
      <c r="E133" s="75" t="s">
        <v>63</v>
      </c>
      <c r="F133" s="73" t="str">
        <f>VLOOKUP('표1'!$E133,구분!$C$3:$D$72,2,0)</f>
        <v>동일</v>
      </c>
      <c r="G133" s="76">
        <v>52435810</v>
      </c>
      <c r="H133" s="76">
        <v>33558914</v>
      </c>
      <c r="I133" s="76">
        <v>30508104</v>
      </c>
      <c r="J133" s="76">
        <v>16158324</v>
      </c>
      <c r="K133" s="76">
        <v>14349780</v>
      </c>
      <c r="L133" s="76">
        <v>7743450</v>
      </c>
      <c r="M133" s="76">
        <v>6606330</v>
      </c>
      <c r="N133" s="77">
        <v>0.125988899570732</v>
      </c>
    </row>
    <row r="134" spans="1:14" ht="14.25" hidden="1" customHeight="1">
      <c r="A134" s="73">
        <v>2025</v>
      </c>
      <c r="B134" s="73">
        <v>3</v>
      </c>
      <c r="C134" s="74">
        <v>45717</v>
      </c>
      <c r="D134" s="73" t="s">
        <v>64</v>
      </c>
      <c r="E134" s="75" t="s">
        <v>65</v>
      </c>
      <c r="F134" s="73" t="str">
        <f>VLOOKUP('표1'!$E134,구분!$C$3:$D$72,2,0)</f>
        <v>동일</v>
      </c>
      <c r="G134" s="76">
        <v>20623040</v>
      </c>
      <c r="H134" s="76">
        <v>13198744</v>
      </c>
      <c r="I134" s="76">
        <v>11998858</v>
      </c>
      <c r="J134" s="76">
        <v>6198224</v>
      </c>
      <c r="K134" s="76">
        <v>5800634</v>
      </c>
      <c r="L134" s="76">
        <v>5121360</v>
      </c>
      <c r="M134" s="76">
        <v>679274</v>
      </c>
      <c r="N134" s="77">
        <v>3.2937627042375899E-2</v>
      </c>
    </row>
    <row r="135" spans="1:14" ht="14.25" hidden="1" customHeight="1">
      <c r="A135" s="73">
        <v>2025</v>
      </c>
      <c r="B135" s="73">
        <v>3</v>
      </c>
      <c r="C135" s="74">
        <v>45717</v>
      </c>
      <c r="D135" s="73" t="s">
        <v>66</v>
      </c>
      <c r="E135" s="75" t="s">
        <v>67</v>
      </c>
      <c r="F135" s="73" t="str">
        <f>VLOOKUP('표1'!$E135,구분!$C$3:$D$72,2,0)</f>
        <v>동일</v>
      </c>
      <c r="G135" s="76">
        <v>28229770</v>
      </c>
      <c r="H135" s="76">
        <v>18067053</v>
      </c>
      <c r="I135" s="76">
        <v>16424594</v>
      </c>
      <c r="J135" s="76">
        <v>9550943</v>
      </c>
      <c r="K135" s="76">
        <v>6873651</v>
      </c>
      <c r="L135" s="76">
        <v>6267460</v>
      </c>
      <c r="M135" s="76">
        <v>606191</v>
      </c>
      <c r="N135" s="77">
        <v>2.1473465777439901E-2</v>
      </c>
    </row>
    <row r="136" spans="1:14" ht="14.25" hidden="1" customHeight="1">
      <c r="A136" s="73">
        <v>2025</v>
      </c>
      <c r="B136" s="73">
        <v>3</v>
      </c>
      <c r="C136" s="74">
        <v>45717</v>
      </c>
      <c r="D136" s="73" t="s">
        <v>68</v>
      </c>
      <c r="E136" s="75" t="s">
        <v>69</v>
      </c>
      <c r="F136" s="73" t="str">
        <f>VLOOKUP('표1'!$E136,구분!$C$3:$D$72,2,0)</f>
        <v>동일</v>
      </c>
      <c r="G136" s="76">
        <v>45662630</v>
      </c>
      <c r="H136" s="76">
        <v>29224070</v>
      </c>
      <c r="I136" s="76">
        <v>26567336</v>
      </c>
      <c r="J136" s="76">
        <v>15631238</v>
      </c>
      <c r="K136" s="76">
        <v>10936098</v>
      </c>
      <c r="L136" s="76">
        <v>6276420</v>
      </c>
      <c r="M136" s="76">
        <v>4659678</v>
      </c>
      <c r="N136" s="77">
        <v>0.102045764775266</v>
      </c>
    </row>
    <row r="137" spans="1:14" ht="14.25" hidden="1" customHeight="1">
      <c r="A137" s="73">
        <v>2025</v>
      </c>
      <c r="B137" s="73">
        <v>3</v>
      </c>
      <c r="C137" s="74">
        <v>45717</v>
      </c>
      <c r="D137" s="73" t="s">
        <v>70</v>
      </c>
      <c r="E137" s="75" t="s">
        <v>71</v>
      </c>
      <c r="F137" s="73" t="str">
        <f>VLOOKUP('표1'!$E137,구분!$C$3:$D$72,2,0)</f>
        <v>동일</v>
      </c>
      <c r="G137" s="76">
        <v>15019550</v>
      </c>
      <c r="H137" s="76">
        <v>9612511</v>
      </c>
      <c r="I137" s="76">
        <v>8738646</v>
      </c>
      <c r="J137" s="76">
        <v>4412098</v>
      </c>
      <c r="K137" s="76">
        <v>4326548</v>
      </c>
      <c r="L137" s="76">
        <v>4783660</v>
      </c>
      <c r="M137" s="76">
        <v>-457112</v>
      </c>
      <c r="N137" s="77">
        <v>-3.0434467077908499E-2</v>
      </c>
    </row>
    <row r="138" spans="1:14" ht="14.25" hidden="1" customHeight="1">
      <c r="A138" s="73">
        <v>2025</v>
      </c>
      <c r="B138" s="73">
        <v>3</v>
      </c>
      <c r="C138" s="74">
        <v>45717</v>
      </c>
      <c r="D138" s="73" t="s">
        <v>72</v>
      </c>
      <c r="E138" s="75" t="s">
        <v>73</v>
      </c>
      <c r="F138" s="73" t="str">
        <f>VLOOKUP('표1'!$E138,구분!$C$3:$D$72,2,0)</f>
        <v>동일</v>
      </c>
      <c r="G138" s="76">
        <v>19657140</v>
      </c>
      <c r="H138" s="76">
        <v>12719946</v>
      </c>
      <c r="I138" s="76">
        <v>11563587</v>
      </c>
      <c r="J138" s="76">
        <v>7039555</v>
      </c>
      <c r="K138" s="76">
        <v>4524032</v>
      </c>
      <c r="L138" s="76">
        <v>4680930</v>
      </c>
      <c r="M138" s="76">
        <v>-156898</v>
      </c>
      <c r="N138" s="77">
        <v>-7.9817308112980802E-3</v>
      </c>
    </row>
    <row r="139" spans="1:14" ht="14.25" hidden="1" customHeight="1">
      <c r="A139" s="73">
        <v>2025</v>
      </c>
      <c r="B139" s="73">
        <v>3</v>
      </c>
      <c r="C139" s="74">
        <v>45717</v>
      </c>
      <c r="D139" s="73" t="s">
        <v>74</v>
      </c>
      <c r="E139" s="75" t="s">
        <v>75</v>
      </c>
      <c r="F139" s="73" t="str">
        <f>VLOOKUP('표1'!$E139,구분!$C$3:$D$72,2,0)</f>
        <v>동일</v>
      </c>
      <c r="G139" s="76">
        <v>26116640</v>
      </c>
      <c r="H139" s="76">
        <v>16714649</v>
      </c>
      <c r="I139" s="76">
        <v>15195135</v>
      </c>
      <c r="J139" s="76">
        <v>8547722</v>
      </c>
      <c r="K139" s="76">
        <v>6647413</v>
      </c>
      <c r="L139" s="76">
        <v>5557620</v>
      </c>
      <c r="M139" s="76">
        <v>1089793</v>
      </c>
      <c r="N139" s="77">
        <v>4.1727917526910102E-2</v>
      </c>
    </row>
    <row r="140" spans="1:14" ht="14.25" hidden="1" customHeight="1">
      <c r="A140" s="73">
        <v>2025</v>
      </c>
      <c r="B140" s="73">
        <v>3</v>
      </c>
      <c r="C140" s="74">
        <v>45717</v>
      </c>
      <c r="D140" s="73" t="s">
        <v>76</v>
      </c>
      <c r="E140" s="75" t="s">
        <v>77</v>
      </c>
      <c r="F140" s="73" t="str">
        <f>VLOOKUP('표1'!$E140,구분!$C$3:$D$72,2,0)</f>
        <v>동일</v>
      </c>
      <c r="G140" s="76">
        <v>30611860</v>
      </c>
      <c r="H140" s="76">
        <v>19591591</v>
      </c>
      <c r="I140" s="76">
        <v>17810537</v>
      </c>
      <c r="J140" s="76">
        <v>10031183</v>
      </c>
      <c r="K140" s="76">
        <v>7779354</v>
      </c>
      <c r="L140" s="76">
        <v>4459480</v>
      </c>
      <c r="M140" s="76">
        <v>3319874</v>
      </c>
      <c r="N140" s="77">
        <v>0.108450580918637</v>
      </c>
    </row>
    <row r="141" spans="1:14" ht="14.25" hidden="1" customHeight="1">
      <c r="A141" s="73">
        <v>2025</v>
      </c>
      <c r="B141" s="73">
        <v>3</v>
      </c>
      <c r="C141" s="74">
        <v>45717</v>
      </c>
      <c r="D141" s="73" t="s">
        <v>78</v>
      </c>
      <c r="E141" s="75" t="s">
        <v>79</v>
      </c>
      <c r="F141" s="73" t="str">
        <f>VLOOKUP('표1'!$E141,구분!$C$3:$D$72,2,0)</f>
        <v>동일</v>
      </c>
      <c r="G141" s="76">
        <v>56677500</v>
      </c>
      <c r="H141" s="76">
        <v>36273599</v>
      </c>
      <c r="I141" s="76">
        <v>32975999</v>
      </c>
      <c r="J141" s="76">
        <v>17598135</v>
      </c>
      <c r="K141" s="76">
        <v>15377864</v>
      </c>
      <c r="L141" s="76">
        <v>7338150</v>
      </c>
      <c r="M141" s="76">
        <v>8039714</v>
      </c>
      <c r="N141" s="77">
        <v>0.141850187464161</v>
      </c>
    </row>
    <row r="142" spans="1:14" ht="14.25" hidden="1" customHeight="1">
      <c r="A142" s="73">
        <v>2025</v>
      </c>
      <c r="B142" s="73">
        <v>3</v>
      </c>
      <c r="C142" s="74">
        <v>45717</v>
      </c>
      <c r="D142" s="73" t="s">
        <v>80</v>
      </c>
      <c r="E142" s="75" t="s">
        <v>81</v>
      </c>
      <c r="F142" s="73" t="str">
        <f>VLOOKUP('표1'!$E142,구분!$C$3:$D$72,2,0)</f>
        <v>동일</v>
      </c>
      <c r="G142" s="76">
        <v>41176000</v>
      </c>
      <c r="H142" s="76">
        <v>26352640</v>
      </c>
      <c r="I142" s="76">
        <v>23956945</v>
      </c>
      <c r="J142" s="76">
        <v>11810840</v>
      </c>
      <c r="K142" s="76">
        <v>12146105</v>
      </c>
      <c r="L142" s="76">
        <v>5339490</v>
      </c>
      <c r="M142" s="76">
        <v>6806615</v>
      </c>
      <c r="N142" s="77">
        <v>0.165305396347387</v>
      </c>
    </row>
    <row r="143" spans="1:14" ht="14.25" hidden="1" customHeight="1">
      <c r="A143" s="73">
        <v>2025</v>
      </c>
      <c r="B143" s="73">
        <v>3</v>
      </c>
      <c r="C143" s="74">
        <v>45717</v>
      </c>
      <c r="D143" s="73" t="s">
        <v>82</v>
      </c>
      <c r="E143" s="75" t="s">
        <v>83</v>
      </c>
      <c r="F143" s="73" t="str">
        <f>VLOOKUP('표1'!$E143,구분!$C$3:$D$72,2,0)</f>
        <v>동일</v>
      </c>
      <c r="G143" s="76">
        <v>33108280</v>
      </c>
      <c r="H143" s="76">
        <v>21520389</v>
      </c>
      <c r="I143" s="76">
        <v>19563990</v>
      </c>
      <c r="J143" s="76">
        <v>9463623</v>
      </c>
      <c r="K143" s="76">
        <v>10100367</v>
      </c>
      <c r="L143" s="76">
        <v>5291940</v>
      </c>
      <c r="M143" s="76">
        <v>4808427</v>
      </c>
      <c r="N143" s="77">
        <v>0.14523336760472</v>
      </c>
    </row>
    <row r="144" spans="1:14" ht="14.25" hidden="1" customHeight="1">
      <c r="A144" s="73">
        <v>2025</v>
      </c>
      <c r="B144" s="73">
        <v>3</v>
      </c>
      <c r="C144" s="74">
        <v>45717</v>
      </c>
      <c r="D144" s="73" t="s">
        <v>84</v>
      </c>
      <c r="E144" s="75" t="s">
        <v>85</v>
      </c>
      <c r="F144" s="73" t="str">
        <f>VLOOKUP('표1'!$E144,구분!$C$3:$D$72,2,0)</f>
        <v>동일</v>
      </c>
      <c r="G144" s="76">
        <v>54436270</v>
      </c>
      <c r="H144" s="76">
        <v>34839212</v>
      </c>
      <c r="I144" s="76">
        <v>31672011</v>
      </c>
      <c r="J144" s="76">
        <v>17328379</v>
      </c>
      <c r="K144" s="76">
        <v>14343632</v>
      </c>
      <c r="L144" s="76">
        <v>7836320</v>
      </c>
      <c r="M144" s="76">
        <v>6507312</v>
      </c>
      <c r="N144" s="77">
        <v>0.11954000522078401</v>
      </c>
    </row>
    <row r="145" spans="1:14" ht="14.25" hidden="1" customHeight="1">
      <c r="A145" s="73">
        <v>2025</v>
      </c>
      <c r="B145" s="73">
        <v>3</v>
      </c>
      <c r="C145" s="74">
        <v>45717</v>
      </c>
      <c r="D145" s="73" t="s">
        <v>86</v>
      </c>
      <c r="E145" s="75" t="s">
        <v>87</v>
      </c>
      <c r="F145" s="73" t="str">
        <f>VLOOKUP('표1'!$E145,구분!$C$3:$D$72,2,0)</f>
        <v>동일</v>
      </c>
      <c r="G145" s="76">
        <v>27969380</v>
      </c>
      <c r="H145" s="76">
        <v>17900403</v>
      </c>
      <c r="I145" s="76">
        <v>16273094</v>
      </c>
      <c r="J145" s="76">
        <v>8811076</v>
      </c>
      <c r="K145" s="76">
        <v>7462018</v>
      </c>
      <c r="L145" s="76">
        <v>5618580</v>
      </c>
      <c r="M145" s="76">
        <v>1843438</v>
      </c>
      <c r="N145" s="77">
        <v>6.59091477894755E-2</v>
      </c>
    </row>
    <row r="146" spans="1:14" ht="14.25" hidden="1" customHeight="1">
      <c r="A146" s="73">
        <v>2025</v>
      </c>
      <c r="B146" s="73">
        <v>3</v>
      </c>
      <c r="C146" s="74">
        <v>45717</v>
      </c>
      <c r="D146" s="73" t="s">
        <v>88</v>
      </c>
      <c r="E146" s="75" t="s">
        <v>89</v>
      </c>
      <c r="F146" s="73" t="str">
        <f>VLOOKUP('표1'!$E146,구분!$C$3:$D$72,2,0)</f>
        <v>동일</v>
      </c>
      <c r="G146" s="76">
        <v>22508920</v>
      </c>
      <c r="H146" s="76">
        <v>14405709</v>
      </c>
      <c r="I146" s="76">
        <v>13096099</v>
      </c>
      <c r="J146" s="76">
        <v>6757805</v>
      </c>
      <c r="K146" s="76">
        <v>6338294</v>
      </c>
      <c r="L146" s="76">
        <v>5429300</v>
      </c>
      <c r="M146" s="76">
        <v>908994</v>
      </c>
      <c r="N146" s="77">
        <v>4.03837234305333E-2</v>
      </c>
    </row>
    <row r="147" spans="1:14" ht="14.25" hidden="1" customHeight="1">
      <c r="A147" s="73">
        <v>2025</v>
      </c>
      <c r="B147" s="73">
        <v>3</v>
      </c>
      <c r="C147" s="74">
        <v>45717</v>
      </c>
      <c r="D147" s="73" t="s">
        <v>90</v>
      </c>
      <c r="E147" s="75" t="s">
        <v>91</v>
      </c>
      <c r="F147" s="73" t="str">
        <f>VLOOKUP('표1'!$E147,구분!$C$3:$D$72,2,0)</f>
        <v>동일</v>
      </c>
      <c r="G147" s="76">
        <v>22673760</v>
      </c>
      <c r="H147" s="76">
        <v>14511207</v>
      </c>
      <c r="I147" s="76">
        <v>13192006</v>
      </c>
      <c r="J147" s="76">
        <v>8050351</v>
      </c>
      <c r="K147" s="76">
        <v>5141655</v>
      </c>
      <c r="L147" s="76">
        <v>5713710</v>
      </c>
      <c r="M147" s="76">
        <v>-572055</v>
      </c>
      <c r="N147" s="77">
        <v>-2.52298251370748E-2</v>
      </c>
    </row>
    <row r="148" spans="1:14" ht="14.25" hidden="1" customHeight="1">
      <c r="A148" s="73">
        <v>2025</v>
      </c>
      <c r="B148" s="73">
        <v>3</v>
      </c>
      <c r="C148" s="74">
        <v>45717</v>
      </c>
      <c r="D148" s="73" t="s">
        <v>92</v>
      </c>
      <c r="E148" s="75" t="s">
        <v>93</v>
      </c>
      <c r="F148" s="73" t="str">
        <f>VLOOKUP('표1'!$E148,구분!$C$3:$D$72,2,0)</f>
        <v>동일</v>
      </c>
      <c r="G148" s="76">
        <v>24048690</v>
      </c>
      <c r="H148" s="76">
        <v>15391160</v>
      </c>
      <c r="I148" s="76">
        <v>13991964</v>
      </c>
      <c r="J148" s="76">
        <v>6445634</v>
      </c>
      <c r="K148" s="76">
        <v>7546330</v>
      </c>
      <c r="L148" s="76">
        <v>5342660</v>
      </c>
      <c r="M148" s="76">
        <v>2203670</v>
      </c>
      <c r="N148" s="77">
        <v>9.1633681501986197E-2</v>
      </c>
    </row>
    <row r="149" spans="1:14" ht="14.25" hidden="1" customHeight="1">
      <c r="A149" s="73">
        <v>2025</v>
      </c>
      <c r="B149" s="73">
        <v>3</v>
      </c>
      <c r="C149" s="74">
        <v>45717</v>
      </c>
      <c r="D149" s="73" t="s">
        <v>94</v>
      </c>
      <c r="E149" s="75" t="s">
        <v>95</v>
      </c>
      <c r="F149" s="73" t="str">
        <f>VLOOKUP('표1'!$E149,구분!$C$3:$D$72,2,0)</f>
        <v>폐점</v>
      </c>
      <c r="G149" s="76">
        <v>38595250</v>
      </c>
      <c r="H149" s="76">
        <v>24700960</v>
      </c>
      <c r="I149" s="76">
        <v>22455418</v>
      </c>
      <c r="J149" s="76">
        <v>12933835</v>
      </c>
      <c r="K149" s="76">
        <v>9521583</v>
      </c>
      <c r="L149" s="76">
        <v>5932790</v>
      </c>
      <c r="M149" s="76">
        <v>3588793</v>
      </c>
      <c r="N149" s="77">
        <v>9.2985354415375004E-2</v>
      </c>
    </row>
    <row r="150" spans="1:14" ht="14.25" hidden="1" customHeight="1">
      <c r="A150" s="73">
        <v>2025</v>
      </c>
      <c r="B150" s="73">
        <v>3</v>
      </c>
      <c r="C150" s="74">
        <v>45717</v>
      </c>
      <c r="D150" s="73" t="s">
        <v>96</v>
      </c>
      <c r="E150" s="75" t="s">
        <v>97</v>
      </c>
      <c r="F150" s="73" t="str">
        <f>VLOOKUP('표1'!$E150,구분!$C$3:$D$72,2,0)</f>
        <v>동일</v>
      </c>
      <c r="G150" s="76">
        <v>47172840</v>
      </c>
      <c r="H150" s="76">
        <v>30190617</v>
      </c>
      <c r="I150" s="76">
        <v>27446015</v>
      </c>
      <c r="J150" s="76">
        <v>14914770</v>
      </c>
      <c r="K150" s="76">
        <v>12531245</v>
      </c>
      <c r="L150" s="76">
        <v>8605200</v>
      </c>
      <c r="M150" s="76">
        <v>3926045</v>
      </c>
      <c r="N150" s="77">
        <v>8.3226810172972399E-2</v>
      </c>
    </row>
    <row r="151" spans="1:14" ht="14.25" hidden="1" customHeight="1">
      <c r="A151" s="73">
        <v>2025</v>
      </c>
      <c r="B151" s="73">
        <v>3</v>
      </c>
      <c r="C151" s="74">
        <v>45717</v>
      </c>
      <c r="D151" s="73" t="s">
        <v>98</v>
      </c>
      <c r="E151" s="75" t="s">
        <v>99</v>
      </c>
      <c r="F151" s="73" t="str">
        <f>VLOOKUP('표1'!$E151,구분!$C$3:$D$72,2,0)</f>
        <v>동일</v>
      </c>
      <c r="G151" s="76">
        <v>44362350</v>
      </c>
      <c r="H151" s="76">
        <v>28391904</v>
      </c>
      <c r="I151" s="76">
        <v>25810822</v>
      </c>
      <c r="J151" s="76">
        <v>13515931</v>
      </c>
      <c r="K151" s="76">
        <v>12294891</v>
      </c>
      <c r="L151" s="76">
        <v>7080100</v>
      </c>
      <c r="M151" s="76">
        <v>5214791</v>
      </c>
      <c r="N151" s="77">
        <v>0.117549926908741</v>
      </c>
    </row>
    <row r="152" spans="1:14" ht="14.25" hidden="1" customHeight="1">
      <c r="A152" s="73">
        <v>2025</v>
      </c>
      <c r="B152" s="73">
        <v>3</v>
      </c>
      <c r="C152" s="74">
        <v>45717</v>
      </c>
      <c r="D152" s="73" t="s">
        <v>100</v>
      </c>
      <c r="E152" s="75" t="s">
        <v>101</v>
      </c>
      <c r="F152" s="73" t="str">
        <f>VLOOKUP('표1'!$E152,구분!$C$3:$D$72,2,0)</f>
        <v>동일</v>
      </c>
      <c r="G152" s="76">
        <v>123787490</v>
      </c>
      <c r="H152" s="76">
        <v>80508927</v>
      </c>
      <c r="I152" s="76">
        <v>73189934</v>
      </c>
      <c r="J152" s="76">
        <v>38703022</v>
      </c>
      <c r="K152" s="76">
        <v>34486912</v>
      </c>
      <c r="L152" s="76">
        <v>17924720</v>
      </c>
      <c r="M152" s="76">
        <v>16562192</v>
      </c>
      <c r="N152" s="77">
        <v>0.13379536171223799</v>
      </c>
    </row>
    <row r="153" spans="1:14" ht="14.25" hidden="1" customHeight="1">
      <c r="A153" s="73">
        <v>2025</v>
      </c>
      <c r="B153" s="73">
        <v>3</v>
      </c>
      <c r="C153" s="74">
        <v>45717</v>
      </c>
      <c r="D153" s="73" t="s">
        <v>102</v>
      </c>
      <c r="E153" s="75" t="s">
        <v>103</v>
      </c>
      <c r="F153" s="73" t="str">
        <f>VLOOKUP('표1'!$E153,구분!$C$3:$D$72,2,0)</f>
        <v>동일</v>
      </c>
      <c r="G153" s="76">
        <v>61035240</v>
      </c>
      <c r="H153" s="76">
        <v>40884845</v>
      </c>
      <c r="I153" s="76">
        <v>37168041</v>
      </c>
      <c r="J153" s="76">
        <v>16654081</v>
      </c>
      <c r="K153" s="76">
        <v>20513960</v>
      </c>
      <c r="L153" s="76">
        <v>7162170</v>
      </c>
      <c r="M153" s="76">
        <v>13351790</v>
      </c>
      <c r="N153" s="77">
        <v>0.218755427192553</v>
      </c>
    </row>
    <row r="154" spans="1:14" ht="14.25" hidden="1" customHeight="1">
      <c r="A154" s="73">
        <v>2025</v>
      </c>
      <c r="B154" s="73">
        <v>3</v>
      </c>
      <c r="C154" s="74">
        <v>45717</v>
      </c>
      <c r="D154" s="73" t="s">
        <v>104</v>
      </c>
      <c r="E154" s="75" t="s">
        <v>105</v>
      </c>
      <c r="F154" s="73" t="str">
        <f>VLOOKUP('표1'!$E154,구분!$C$3:$D$72,2,0)</f>
        <v>동일</v>
      </c>
      <c r="G154" s="76">
        <v>22478320</v>
      </c>
      <c r="H154" s="76">
        <v>15152546</v>
      </c>
      <c r="I154" s="76">
        <v>13775042</v>
      </c>
      <c r="J154" s="76">
        <v>6587855</v>
      </c>
      <c r="K154" s="76">
        <v>7187187</v>
      </c>
      <c r="L154" s="76">
        <v>3618100</v>
      </c>
      <c r="M154" s="76">
        <v>3569087</v>
      </c>
      <c r="N154" s="77">
        <v>0.15877908135483401</v>
      </c>
    </row>
    <row r="155" spans="1:14" ht="14.25" hidden="1" customHeight="1">
      <c r="A155" s="73">
        <v>2025</v>
      </c>
      <c r="B155" s="73">
        <v>3</v>
      </c>
      <c r="C155" s="74">
        <v>45717</v>
      </c>
      <c r="D155" s="73" t="s">
        <v>106</v>
      </c>
      <c r="E155" s="75" t="s">
        <v>107</v>
      </c>
      <c r="F155" s="73" t="str">
        <f>VLOOKUP('표1'!$E155,구분!$C$3:$D$72,2,0)</f>
        <v>폐점</v>
      </c>
      <c r="G155" s="76">
        <v>47356510</v>
      </c>
      <c r="H155" s="76">
        <v>29539778</v>
      </c>
      <c r="I155" s="76">
        <v>26854344</v>
      </c>
      <c r="J155" s="76">
        <v>15171674</v>
      </c>
      <c r="K155" s="76">
        <v>11682670</v>
      </c>
      <c r="L155" s="76">
        <v>7063000</v>
      </c>
      <c r="M155" s="76">
        <v>4619670</v>
      </c>
      <c r="N155" s="77">
        <v>9.7550896381511196E-2</v>
      </c>
    </row>
    <row r="156" spans="1:14" ht="14.25" hidden="1" customHeight="1">
      <c r="A156" s="73">
        <v>2025</v>
      </c>
      <c r="B156" s="73">
        <v>3</v>
      </c>
      <c r="C156" s="74">
        <v>45717</v>
      </c>
      <c r="D156" s="73" t="s">
        <v>108</v>
      </c>
      <c r="E156" s="75" t="s">
        <v>109</v>
      </c>
      <c r="F156" s="73" t="str">
        <f>VLOOKUP('표1'!$E156,구분!$C$3:$D$72,2,0)</f>
        <v>동일</v>
      </c>
      <c r="G156" s="76">
        <v>30957950</v>
      </c>
      <c r="H156" s="76">
        <v>19193932</v>
      </c>
      <c r="I156" s="76">
        <v>17449029</v>
      </c>
      <c r="J156" s="76">
        <v>9359596</v>
      </c>
      <c r="K156" s="76">
        <v>8089433</v>
      </c>
      <c r="L156" s="76">
        <v>6145900</v>
      </c>
      <c r="M156" s="76">
        <v>1943533</v>
      </c>
      <c r="N156" s="77">
        <v>6.2779770624346906E-2</v>
      </c>
    </row>
    <row r="157" spans="1:14" ht="14.25" hidden="1" customHeight="1">
      <c r="A157" s="73">
        <v>2025</v>
      </c>
      <c r="B157" s="73">
        <v>3</v>
      </c>
      <c r="C157" s="74">
        <v>45717</v>
      </c>
      <c r="D157" s="73" t="s">
        <v>110</v>
      </c>
      <c r="E157" s="75" t="s">
        <v>111</v>
      </c>
      <c r="F157" s="73" t="str">
        <f>VLOOKUP('표1'!$E157,구분!$C$3:$D$72,2,0)</f>
        <v>동일</v>
      </c>
      <c r="G157" s="76">
        <v>116004790</v>
      </c>
      <c r="H157" s="76">
        <v>74294211</v>
      </c>
      <c r="I157" s="76">
        <v>67540192</v>
      </c>
      <c r="J157" s="76">
        <v>37773086</v>
      </c>
      <c r="K157" s="76">
        <v>29767106</v>
      </c>
      <c r="L157" s="76">
        <v>16210320</v>
      </c>
      <c r="M157" s="76">
        <v>13556786</v>
      </c>
      <c r="N157" s="77">
        <v>0.11686401914955399</v>
      </c>
    </row>
    <row r="158" spans="1:14" ht="14.25" hidden="1" customHeight="1">
      <c r="A158" s="73">
        <v>2025</v>
      </c>
      <c r="B158" s="73">
        <v>3</v>
      </c>
      <c r="C158" s="74">
        <v>45717</v>
      </c>
      <c r="D158" s="73" t="s">
        <v>112</v>
      </c>
      <c r="E158" s="75" t="s">
        <v>113</v>
      </c>
      <c r="F158" s="73" t="str">
        <f>VLOOKUP('표1'!$E158,구분!$C$3:$D$72,2,0)</f>
        <v>동일</v>
      </c>
      <c r="G158" s="76">
        <v>75516620</v>
      </c>
      <c r="H158" s="76">
        <v>51427534</v>
      </c>
      <c r="I158" s="76">
        <v>46752304</v>
      </c>
      <c r="J158" s="76">
        <v>24198047</v>
      </c>
      <c r="K158" s="76">
        <v>22554257</v>
      </c>
      <c r="L158" s="76">
        <v>9386010</v>
      </c>
      <c r="M158" s="76">
        <v>13168247</v>
      </c>
      <c r="N158" s="77">
        <v>0.17437548184757201</v>
      </c>
    </row>
    <row r="159" spans="1:14" ht="14.25" hidden="1" customHeight="1">
      <c r="A159" s="73">
        <v>2025</v>
      </c>
      <c r="B159" s="73">
        <v>3</v>
      </c>
      <c r="C159" s="74">
        <v>45717</v>
      </c>
      <c r="D159" s="73" t="s">
        <v>114</v>
      </c>
      <c r="E159" s="75" t="s">
        <v>115</v>
      </c>
      <c r="F159" s="73" t="str">
        <f>VLOOKUP('표1'!$E159,구분!$C$3:$D$72,2,0)</f>
        <v>폐점</v>
      </c>
      <c r="G159" s="76">
        <v>7413000</v>
      </c>
      <c r="H159" s="76">
        <v>4621140</v>
      </c>
      <c r="I159" s="76">
        <v>4201036</v>
      </c>
      <c r="J159" s="76">
        <v>2223436</v>
      </c>
      <c r="K159" s="76">
        <v>1977600</v>
      </c>
      <c r="L159" s="76">
        <v>3142660</v>
      </c>
      <c r="M159" s="76">
        <v>-1165060</v>
      </c>
      <c r="N159" s="77">
        <v>-0.15716444084716</v>
      </c>
    </row>
    <row r="160" spans="1:14" ht="14.25" hidden="1" customHeight="1">
      <c r="A160" s="73">
        <v>2025</v>
      </c>
      <c r="B160" s="73">
        <v>3</v>
      </c>
      <c r="C160" s="74">
        <v>45717</v>
      </c>
      <c r="D160" s="73" t="s">
        <v>116</v>
      </c>
      <c r="E160" s="75" t="s">
        <v>117</v>
      </c>
      <c r="F160" s="73" t="str">
        <f>VLOOKUP('표1'!$E160,구분!$C$3:$D$72,2,0)</f>
        <v>동일</v>
      </c>
      <c r="G160" s="76">
        <v>14772570</v>
      </c>
      <c r="H160" s="76">
        <v>10193084</v>
      </c>
      <c r="I160" s="76">
        <v>9266440</v>
      </c>
      <c r="J160" s="76">
        <v>4399221</v>
      </c>
      <c r="K160" s="76">
        <v>4867219</v>
      </c>
      <c r="L160" s="76">
        <v>4785290</v>
      </c>
      <c r="M160" s="76">
        <v>81929</v>
      </c>
      <c r="N160" s="77">
        <v>5.54602212072781E-3</v>
      </c>
    </row>
    <row r="161" spans="1:14" ht="14.25" hidden="1" customHeight="1">
      <c r="A161" s="73">
        <v>2025</v>
      </c>
      <c r="B161" s="73">
        <v>3</v>
      </c>
      <c r="C161" s="74">
        <v>45717</v>
      </c>
      <c r="D161" s="73" t="s">
        <v>118</v>
      </c>
      <c r="E161" s="75" t="s">
        <v>119</v>
      </c>
      <c r="F161" s="73" t="str">
        <f>VLOOKUP('표1'!$E161,구분!$C$3:$D$72,2,0)</f>
        <v>동일</v>
      </c>
      <c r="G161" s="76">
        <v>84845080</v>
      </c>
      <c r="H161" s="76">
        <v>54772221</v>
      </c>
      <c r="I161" s="76">
        <v>49792928</v>
      </c>
      <c r="J161" s="76">
        <v>24821897</v>
      </c>
      <c r="K161" s="76">
        <v>24971031</v>
      </c>
      <c r="L161" s="76">
        <v>12453040</v>
      </c>
      <c r="M161" s="76">
        <v>12517991</v>
      </c>
      <c r="N161" s="77">
        <v>0.147539385901929</v>
      </c>
    </row>
    <row r="162" spans="1:14" ht="14.25" hidden="1" customHeight="1">
      <c r="A162" s="73">
        <v>2025</v>
      </c>
      <c r="B162" s="73">
        <v>3</v>
      </c>
      <c r="C162" s="74">
        <v>45717</v>
      </c>
      <c r="D162" s="73" t="s">
        <v>180</v>
      </c>
      <c r="E162" s="75" t="s">
        <v>181</v>
      </c>
      <c r="F162" s="73" t="str">
        <f>VLOOKUP('표1'!$E162,구분!$C$3:$D$72,2,0)</f>
        <v>동일</v>
      </c>
      <c r="G162" s="76">
        <v>21326980</v>
      </c>
      <c r="H162" s="76">
        <v>13456196</v>
      </c>
      <c r="I162" s="76">
        <v>12232905</v>
      </c>
      <c r="J162" s="76">
        <v>7377005</v>
      </c>
      <c r="K162" s="76">
        <v>4855900</v>
      </c>
      <c r="L162" s="76">
        <v>6374690</v>
      </c>
      <c r="M162" s="76">
        <v>-1518790</v>
      </c>
      <c r="N162" s="77">
        <v>-7.1214489815248097E-2</v>
      </c>
    </row>
    <row r="163" spans="1:14" ht="14.25" hidden="1" customHeight="1">
      <c r="A163" s="73">
        <v>2025</v>
      </c>
      <c r="B163" s="73">
        <v>3</v>
      </c>
      <c r="C163" s="74">
        <v>45717</v>
      </c>
      <c r="D163" s="73" t="s">
        <v>120</v>
      </c>
      <c r="E163" s="75" t="s">
        <v>121</v>
      </c>
      <c r="F163" s="73" t="str">
        <f>VLOOKUP('표1'!$E163,구분!$C$3:$D$72,2,0)</f>
        <v>동일</v>
      </c>
      <c r="G163" s="76">
        <v>78323150</v>
      </c>
      <c r="H163" s="76">
        <v>49992131</v>
      </c>
      <c r="I163" s="76">
        <v>45447392</v>
      </c>
      <c r="J163" s="76">
        <v>25377147</v>
      </c>
      <c r="K163" s="76">
        <v>20070245</v>
      </c>
      <c r="L163" s="76">
        <v>9284910</v>
      </c>
      <c r="M163" s="76">
        <v>10785335</v>
      </c>
      <c r="N163" s="77">
        <v>0.13770302905335099</v>
      </c>
    </row>
    <row r="164" spans="1:14" ht="14.25" hidden="1" customHeight="1">
      <c r="A164" s="73">
        <v>2025</v>
      </c>
      <c r="B164" s="73">
        <v>3</v>
      </c>
      <c r="C164" s="74">
        <v>45717</v>
      </c>
      <c r="D164" s="73" t="s">
        <v>122</v>
      </c>
      <c r="E164" s="75" t="s">
        <v>123</v>
      </c>
      <c r="F164" s="73" t="str">
        <f>VLOOKUP('표1'!$E164,구분!$C$3:$D$72,2,0)</f>
        <v>동일</v>
      </c>
      <c r="G164" s="76">
        <v>60153560</v>
      </c>
      <c r="H164" s="76">
        <v>38278531</v>
      </c>
      <c r="I164" s="76">
        <v>34798665</v>
      </c>
      <c r="J164" s="76">
        <v>18041725</v>
      </c>
      <c r="K164" s="76">
        <v>16756940</v>
      </c>
      <c r="L164" s="76">
        <v>10127720</v>
      </c>
      <c r="M164" s="76">
        <v>6629220</v>
      </c>
      <c r="N164" s="77">
        <v>0.110204948801035</v>
      </c>
    </row>
    <row r="165" spans="1:14" ht="14.25" hidden="1" customHeight="1">
      <c r="A165" s="73">
        <v>2025</v>
      </c>
      <c r="B165" s="73">
        <v>3</v>
      </c>
      <c r="C165" s="74">
        <v>45717</v>
      </c>
      <c r="D165" s="73" t="s">
        <v>124</v>
      </c>
      <c r="E165" s="75" t="s">
        <v>125</v>
      </c>
      <c r="F165" s="73" t="str">
        <f>VLOOKUP('표1'!$E165,구분!$C$3:$D$72,2,0)</f>
        <v>동일</v>
      </c>
      <c r="G165" s="76">
        <v>77984720</v>
      </c>
      <c r="H165" s="76">
        <v>49130378</v>
      </c>
      <c r="I165" s="76">
        <v>44663980</v>
      </c>
      <c r="J165" s="76">
        <v>22699569</v>
      </c>
      <c r="K165" s="76">
        <v>21964411</v>
      </c>
      <c r="L165" s="76">
        <v>8000320</v>
      </c>
      <c r="M165" s="76">
        <v>13964091</v>
      </c>
      <c r="N165" s="77">
        <v>0.17906188545653601</v>
      </c>
    </row>
    <row r="166" spans="1:14" ht="14.25" hidden="1" customHeight="1">
      <c r="A166" s="73">
        <v>2025</v>
      </c>
      <c r="B166" s="73">
        <v>3</v>
      </c>
      <c r="C166" s="74">
        <v>45717</v>
      </c>
      <c r="D166" s="73" t="s">
        <v>126</v>
      </c>
      <c r="E166" s="75" t="s">
        <v>127</v>
      </c>
      <c r="F166" s="73" t="str">
        <f>VLOOKUP('표1'!$E166,구분!$C$3:$D$72,2,0)</f>
        <v>동일</v>
      </c>
      <c r="G166" s="76">
        <v>83221160</v>
      </c>
      <c r="H166" s="76">
        <v>52677780</v>
      </c>
      <c r="I166" s="76">
        <v>47888891</v>
      </c>
      <c r="J166" s="76">
        <v>28720712</v>
      </c>
      <c r="K166" s="76">
        <v>19168179</v>
      </c>
      <c r="L166" s="76">
        <v>12484700</v>
      </c>
      <c r="M166" s="76">
        <v>6683479</v>
      </c>
      <c r="N166" s="77">
        <v>8.0309851484886799E-2</v>
      </c>
    </row>
    <row r="167" spans="1:14" ht="14.25" customHeight="1">
      <c r="A167" s="73">
        <v>2025</v>
      </c>
      <c r="B167" s="73">
        <v>3</v>
      </c>
      <c r="C167" s="74">
        <v>45717</v>
      </c>
      <c r="D167" s="73" t="s">
        <v>128</v>
      </c>
      <c r="E167" s="75" t="s">
        <v>129</v>
      </c>
      <c r="F167" s="73" t="str">
        <f>VLOOKUP('표1'!$E167,구분!$C$3:$D$72,2,0)</f>
        <v>동일</v>
      </c>
      <c r="G167" s="76">
        <v>102481670</v>
      </c>
      <c r="H167" s="76">
        <v>65604927</v>
      </c>
      <c r="I167" s="76">
        <v>59640843</v>
      </c>
      <c r="J167" s="76">
        <v>30887566</v>
      </c>
      <c r="K167" s="76">
        <v>28753277</v>
      </c>
      <c r="L167" s="76">
        <v>14853950</v>
      </c>
      <c r="M167" s="76">
        <v>13899327</v>
      </c>
      <c r="N167" s="77">
        <v>0.135627444400545</v>
      </c>
    </row>
    <row r="168" spans="1:14" ht="14.25" hidden="1" customHeight="1">
      <c r="A168" s="73">
        <v>2025</v>
      </c>
      <c r="B168" s="73">
        <v>3</v>
      </c>
      <c r="C168" s="74">
        <v>45717</v>
      </c>
      <c r="D168" s="73" t="s">
        <v>130</v>
      </c>
      <c r="E168" s="75" t="s">
        <v>131</v>
      </c>
      <c r="F168" s="73" t="str">
        <f>VLOOKUP('표1'!$E168,구분!$C$3:$D$72,2,0)</f>
        <v>동일</v>
      </c>
      <c r="G168" s="76">
        <v>44006400</v>
      </c>
      <c r="H168" s="76">
        <v>27747606</v>
      </c>
      <c r="I168" s="76">
        <v>25225096</v>
      </c>
      <c r="J168" s="76">
        <v>12746461</v>
      </c>
      <c r="K168" s="76">
        <v>12478635</v>
      </c>
      <c r="L168" s="76">
        <v>5658110</v>
      </c>
      <c r="M168" s="76">
        <v>6820525</v>
      </c>
      <c r="N168" s="77">
        <v>0.154989387907214</v>
      </c>
    </row>
    <row r="169" spans="1:14" ht="14.25" hidden="1" customHeight="1">
      <c r="A169" s="73">
        <v>2025</v>
      </c>
      <c r="B169" s="73">
        <v>3</v>
      </c>
      <c r="C169" s="74">
        <v>45717</v>
      </c>
      <c r="D169" s="73" t="s">
        <v>132</v>
      </c>
      <c r="E169" s="75" t="s">
        <v>133</v>
      </c>
      <c r="F169" s="73" t="str">
        <f>VLOOKUP('표1'!$E169,구분!$C$3:$D$72,2,0)</f>
        <v>동일</v>
      </c>
      <c r="G169" s="76">
        <v>30334850</v>
      </c>
      <c r="H169" s="76">
        <v>19358245</v>
      </c>
      <c r="I169" s="76">
        <v>17598405</v>
      </c>
      <c r="J169" s="76">
        <v>8358929</v>
      </c>
      <c r="K169" s="76">
        <v>9239476</v>
      </c>
      <c r="L169" s="76">
        <v>5656250</v>
      </c>
      <c r="M169" s="76">
        <v>3583226</v>
      </c>
      <c r="N169" s="77">
        <v>0.11812242354915201</v>
      </c>
    </row>
    <row r="170" spans="1:14" ht="14.25" hidden="1" customHeight="1">
      <c r="A170" s="73">
        <v>2025</v>
      </c>
      <c r="B170" s="73">
        <v>3</v>
      </c>
      <c r="C170" s="74">
        <v>45717</v>
      </c>
      <c r="D170" s="73" t="s">
        <v>134</v>
      </c>
      <c r="E170" s="75" t="s">
        <v>135</v>
      </c>
      <c r="F170" s="73" t="str">
        <f>VLOOKUP('표1'!$E170,구분!$C$3:$D$72,2,0)</f>
        <v>동일</v>
      </c>
      <c r="G170" s="76">
        <v>44644210</v>
      </c>
      <c r="H170" s="76">
        <v>28125855</v>
      </c>
      <c r="I170" s="76">
        <v>25568959</v>
      </c>
      <c r="J170" s="76">
        <v>13438465</v>
      </c>
      <c r="K170" s="76">
        <v>12130494</v>
      </c>
      <c r="L170" s="76">
        <v>6768920</v>
      </c>
      <c r="M170" s="76">
        <v>5361574</v>
      </c>
      <c r="N170" s="77">
        <v>0.120095618222385</v>
      </c>
    </row>
    <row r="171" spans="1:14" ht="14.25" hidden="1" customHeight="1">
      <c r="A171" s="73">
        <v>2025</v>
      </c>
      <c r="B171" s="73">
        <v>3</v>
      </c>
      <c r="C171" s="74">
        <v>45717</v>
      </c>
      <c r="D171" s="73" t="s">
        <v>136</v>
      </c>
      <c r="E171" s="75" t="s">
        <v>137</v>
      </c>
      <c r="F171" s="73" t="str">
        <f>VLOOKUP('표1'!$E171,구분!$C$3:$D$72,2,0)</f>
        <v>동일</v>
      </c>
      <c r="G171" s="76">
        <v>51262710</v>
      </c>
      <c r="H171" s="76">
        <v>32954746</v>
      </c>
      <c r="I171" s="76">
        <v>29958860</v>
      </c>
      <c r="J171" s="76">
        <v>17821682</v>
      </c>
      <c r="K171" s="76">
        <v>12137178</v>
      </c>
      <c r="L171" s="76">
        <v>6606230</v>
      </c>
      <c r="M171" s="76">
        <v>5530948</v>
      </c>
      <c r="N171" s="77">
        <v>0.107894178829016</v>
      </c>
    </row>
    <row r="172" spans="1:14" ht="14.25" hidden="1" customHeight="1">
      <c r="A172" s="73">
        <v>2025</v>
      </c>
      <c r="B172" s="73">
        <v>3</v>
      </c>
      <c r="C172" s="74">
        <v>45717</v>
      </c>
      <c r="D172" s="73" t="s">
        <v>138</v>
      </c>
      <c r="E172" s="75" t="s">
        <v>139</v>
      </c>
      <c r="F172" s="73" t="str">
        <f>VLOOKUP('표1'!$E172,구분!$C$3:$D$72,2,0)</f>
        <v>동일</v>
      </c>
      <c r="G172" s="76">
        <v>38386380</v>
      </c>
      <c r="H172" s="76">
        <v>24183420</v>
      </c>
      <c r="I172" s="76">
        <v>21984927</v>
      </c>
      <c r="J172" s="76">
        <v>10768392</v>
      </c>
      <c r="K172" s="76">
        <v>11216535</v>
      </c>
      <c r="L172" s="76">
        <v>4944350</v>
      </c>
      <c r="M172" s="76">
        <v>6272185</v>
      </c>
      <c r="N172" s="77">
        <v>0.16339610559787099</v>
      </c>
    </row>
    <row r="173" spans="1:14" ht="14.25" hidden="1" customHeight="1">
      <c r="A173" s="73">
        <v>2025</v>
      </c>
      <c r="B173" s="73">
        <v>3</v>
      </c>
      <c r="C173" s="74">
        <v>45717</v>
      </c>
      <c r="D173" s="73" t="s">
        <v>140</v>
      </c>
      <c r="E173" s="75" t="s">
        <v>141</v>
      </c>
      <c r="F173" s="73" t="str">
        <f>VLOOKUP('표1'!$E173,구분!$C$3:$D$72,2,0)</f>
        <v>동일</v>
      </c>
      <c r="G173" s="76">
        <v>59085600</v>
      </c>
      <c r="H173" s="76">
        <v>37241328</v>
      </c>
      <c r="I173" s="76">
        <v>33855753</v>
      </c>
      <c r="J173" s="76">
        <v>17212628</v>
      </c>
      <c r="K173" s="76">
        <v>16643125</v>
      </c>
      <c r="L173" s="76">
        <v>7179870</v>
      </c>
      <c r="M173" s="76">
        <v>9463255</v>
      </c>
      <c r="N173" s="77">
        <v>0.16016178222781899</v>
      </c>
    </row>
    <row r="174" spans="1:14" ht="14.25" hidden="1" customHeight="1">
      <c r="A174" s="73">
        <v>2025</v>
      </c>
      <c r="B174" s="73">
        <v>3</v>
      </c>
      <c r="C174" s="74">
        <v>45717</v>
      </c>
      <c r="D174" s="73" t="s">
        <v>142</v>
      </c>
      <c r="E174" s="75" t="s">
        <v>143</v>
      </c>
      <c r="F174" s="73" t="str">
        <f>VLOOKUP('표1'!$E174,구분!$C$3:$D$72,2,0)</f>
        <v>동일</v>
      </c>
      <c r="G174" s="76">
        <v>49338520</v>
      </c>
      <c r="H174" s="76">
        <v>31852065</v>
      </c>
      <c r="I174" s="76">
        <v>28956423</v>
      </c>
      <c r="J174" s="76">
        <v>14915116</v>
      </c>
      <c r="K174" s="76">
        <v>14041307</v>
      </c>
      <c r="L174" s="76">
        <v>7000370</v>
      </c>
      <c r="M174" s="76">
        <v>7040937</v>
      </c>
      <c r="N174" s="77">
        <v>0.14270669245855</v>
      </c>
    </row>
    <row r="175" spans="1:14" ht="14.25" hidden="1" customHeight="1">
      <c r="A175" s="73">
        <v>2025</v>
      </c>
      <c r="B175" s="73">
        <v>3</v>
      </c>
      <c r="C175" s="74">
        <v>45717</v>
      </c>
      <c r="D175" s="73" t="s">
        <v>144</v>
      </c>
      <c r="E175" s="75" t="s">
        <v>145</v>
      </c>
      <c r="F175" s="73" t="str">
        <f>VLOOKUP('표1'!$E175,구분!$C$3:$D$72,2,0)</f>
        <v>동일</v>
      </c>
      <c r="G175" s="76">
        <v>40735450</v>
      </c>
      <c r="H175" s="76">
        <v>26286063</v>
      </c>
      <c r="I175" s="76">
        <v>23896421</v>
      </c>
      <c r="J175" s="76">
        <v>14400580</v>
      </c>
      <c r="K175" s="76">
        <v>9495841</v>
      </c>
      <c r="L175" s="76">
        <v>7238220</v>
      </c>
      <c r="M175" s="76">
        <v>2257621</v>
      </c>
      <c r="N175" s="77">
        <v>5.5421530877896301E-2</v>
      </c>
    </row>
    <row r="176" spans="1:14" ht="14.25" hidden="1" customHeight="1">
      <c r="A176" s="73">
        <v>2025</v>
      </c>
      <c r="B176" s="73">
        <v>3</v>
      </c>
      <c r="C176" s="74">
        <v>45717</v>
      </c>
      <c r="D176" s="73" t="s">
        <v>146</v>
      </c>
      <c r="E176" s="75" t="s">
        <v>147</v>
      </c>
      <c r="F176" s="73" t="str">
        <f>VLOOKUP('표1'!$E176,구분!$C$3:$D$72,2,0)</f>
        <v>동일</v>
      </c>
      <c r="G176" s="76">
        <v>82092380</v>
      </c>
      <c r="H176" s="76">
        <v>51822005</v>
      </c>
      <c r="I176" s="76">
        <v>47110914</v>
      </c>
      <c r="J176" s="76">
        <v>25825190</v>
      </c>
      <c r="K176" s="76">
        <v>21285724</v>
      </c>
      <c r="L176" s="76">
        <v>9417210</v>
      </c>
      <c r="M176" s="76">
        <v>11868514</v>
      </c>
      <c r="N176" s="77">
        <v>0.14457509941848401</v>
      </c>
    </row>
    <row r="177" spans="1:14" ht="14.25" hidden="1" customHeight="1">
      <c r="A177" s="73">
        <v>2025</v>
      </c>
      <c r="B177" s="73">
        <v>3</v>
      </c>
      <c r="C177" s="74">
        <v>45717</v>
      </c>
      <c r="D177" s="73" t="s">
        <v>148</v>
      </c>
      <c r="E177" s="75" t="s">
        <v>149</v>
      </c>
      <c r="F177" s="73" t="str">
        <f>VLOOKUP('표1'!$E177,구분!$C$3:$D$72,2,0)</f>
        <v>동일</v>
      </c>
      <c r="G177" s="76">
        <v>49376090</v>
      </c>
      <c r="H177" s="76">
        <v>31483423</v>
      </c>
      <c r="I177" s="76">
        <v>28621294</v>
      </c>
      <c r="J177" s="76">
        <v>14588019</v>
      </c>
      <c r="K177" s="76">
        <v>14033275</v>
      </c>
      <c r="L177" s="76">
        <v>5073240</v>
      </c>
      <c r="M177" s="76">
        <v>8960035</v>
      </c>
      <c r="N177" s="77">
        <v>0.181465057277723</v>
      </c>
    </row>
    <row r="178" spans="1:14" ht="14.25" hidden="1" customHeight="1">
      <c r="A178" s="73">
        <v>2025</v>
      </c>
      <c r="B178" s="73">
        <v>3</v>
      </c>
      <c r="C178" s="74">
        <v>45717</v>
      </c>
      <c r="D178" s="73" t="s">
        <v>150</v>
      </c>
      <c r="E178" s="75" t="s">
        <v>151</v>
      </c>
      <c r="F178" s="73" t="str">
        <f>VLOOKUP('표1'!$E178,구분!$C$3:$D$72,2,0)</f>
        <v>동일</v>
      </c>
      <c r="G178" s="76">
        <v>21297040</v>
      </c>
      <c r="H178" s="76">
        <v>13432683</v>
      </c>
      <c r="I178" s="76">
        <v>12211530</v>
      </c>
      <c r="J178" s="76">
        <v>6355553</v>
      </c>
      <c r="K178" s="76">
        <v>5855977</v>
      </c>
      <c r="L178" s="76">
        <v>5132645</v>
      </c>
      <c r="M178" s="76">
        <v>723332</v>
      </c>
      <c r="N178" s="77">
        <v>3.3963968701753902E-2</v>
      </c>
    </row>
    <row r="179" spans="1:14" ht="15" hidden="1" customHeight="1">
      <c r="A179" s="73">
        <v>2025</v>
      </c>
      <c r="B179" s="73">
        <v>3</v>
      </c>
      <c r="C179" s="74">
        <v>45717</v>
      </c>
      <c r="D179" s="73" t="s">
        <v>152</v>
      </c>
      <c r="E179" s="73" t="s">
        <v>153</v>
      </c>
      <c r="F179" s="73" t="str">
        <f>VLOOKUP('표1'!$E179,구분!$C$3:$D$72,2,0)</f>
        <v>동일</v>
      </c>
      <c r="G179" s="76">
        <v>27403680</v>
      </c>
      <c r="H179" s="76">
        <v>17060753</v>
      </c>
      <c r="I179" s="76">
        <v>15509775</v>
      </c>
      <c r="J179" s="76">
        <v>7437246</v>
      </c>
      <c r="K179" s="76">
        <v>8072529</v>
      </c>
      <c r="L179" s="76">
        <v>6776270</v>
      </c>
      <c r="M179" s="76">
        <v>1296259</v>
      </c>
      <c r="N179" s="77">
        <v>4.7302369608753302E-2</v>
      </c>
    </row>
    <row r="180" spans="1:14" ht="14.25" hidden="1" customHeight="1">
      <c r="A180" s="73">
        <v>2025</v>
      </c>
      <c r="B180" s="73">
        <v>3</v>
      </c>
      <c r="C180" s="74">
        <v>45717</v>
      </c>
      <c r="D180" s="73" t="s">
        <v>154</v>
      </c>
      <c r="E180" s="75" t="s">
        <v>155</v>
      </c>
      <c r="F180" s="73" t="str">
        <f>VLOOKUP('표1'!$E180,구분!$C$3:$D$72,2,0)</f>
        <v>동일</v>
      </c>
      <c r="G180" s="76">
        <v>62911050</v>
      </c>
      <c r="H180" s="76">
        <v>39633976</v>
      </c>
      <c r="I180" s="76">
        <v>36030887</v>
      </c>
      <c r="J180" s="76">
        <v>18939623</v>
      </c>
      <c r="K180" s="76">
        <v>17091264</v>
      </c>
      <c r="L180" s="76">
        <v>9814060</v>
      </c>
      <c r="M180" s="76">
        <v>7277204</v>
      </c>
      <c r="N180" s="77">
        <v>0.115674495974873</v>
      </c>
    </row>
    <row r="181" spans="1:14" ht="14.25" hidden="1" customHeight="1">
      <c r="A181" s="73">
        <v>2025</v>
      </c>
      <c r="B181" s="73">
        <v>3</v>
      </c>
      <c r="C181" s="74">
        <v>45717</v>
      </c>
      <c r="D181" s="73" t="s">
        <v>156</v>
      </c>
      <c r="E181" s="75" t="s">
        <v>157</v>
      </c>
      <c r="F181" s="73" t="str">
        <f>VLOOKUP('표1'!$E181,구분!$C$3:$D$72,2,0)</f>
        <v>동일</v>
      </c>
      <c r="G181" s="76">
        <v>61264890</v>
      </c>
      <c r="H181" s="76">
        <v>46867700</v>
      </c>
      <c r="I181" s="76">
        <v>42607000</v>
      </c>
      <c r="J181" s="76">
        <v>20877405</v>
      </c>
      <c r="K181" s="76">
        <v>21729595</v>
      </c>
      <c r="L181" s="76">
        <v>8272300</v>
      </c>
      <c r="M181" s="76">
        <v>13457295</v>
      </c>
      <c r="N181" s="77">
        <v>0.21965753957935799</v>
      </c>
    </row>
    <row r="182" spans="1:14" ht="14.25" hidden="1" customHeight="1">
      <c r="A182" s="73">
        <v>2025</v>
      </c>
      <c r="B182" s="73">
        <v>3</v>
      </c>
      <c r="C182" s="74">
        <v>45717</v>
      </c>
      <c r="D182" s="73" t="s">
        <v>158</v>
      </c>
      <c r="E182" s="75" t="s">
        <v>159</v>
      </c>
      <c r="F182" s="73" t="str">
        <f>VLOOKUP('표1'!$E182,구분!$C$3:$D$72,2,0)</f>
        <v>동일</v>
      </c>
      <c r="G182" s="76">
        <v>38834380</v>
      </c>
      <c r="H182" s="76">
        <v>29902488</v>
      </c>
      <c r="I182" s="76">
        <v>27184080</v>
      </c>
      <c r="J182" s="76">
        <v>12600151</v>
      </c>
      <c r="K182" s="76">
        <v>14583929</v>
      </c>
      <c r="L182" s="76">
        <v>6215040</v>
      </c>
      <c r="M182" s="76">
        <v>8368889</v>
      </c>
      <c r="N182" s="77">
        <v>0.215502062862855</v>
      </c>
    </row>
    <row r="183" spans="1:14" ht="14.25" hidden="1" customHeight="1">
      <c r="A183" s="73">
        <v>2025</v>
      </c>
      <c r="B183" s="73">
        <v>3</v>
      </c>
      <c r="C183" s="74">
        <v>45717</v>
      </c>
      <c r="D183" s="73" t="s">
        <v>160</v>
      </c>
      <c r="E183" s="75" t="s">
        <v>161</v>
      </c>
      <c r="F183" s="73" t="str">
        <f>VLOOKUP('표1'!$E183,구분!$C$3:$D$72,2,0)</f>
        <v>동일</v>
      </c>
      <c r="G183" s="76">
        <v>40761330</v>
      </c>
      <c r="H183" s="76">
        <v>31182448</v>
      </c>
      <c r="I183" s="76">
        <v>28347680</v>
      </c>
      <c r="J183" s="76">
        <v>13219778</v>
      </c>
      <c r="K183" s="76">
        <v>15127902</v>
      </c>
      <c r="L183" s="76">
        <v>6835770</v>
      </c>
      <c r="M183" s="76">
        <v>8292132</v>
      </c>
      <c r="N183" s="77">
        <v>0.203431340439578</v>
      </c>
    </row>
    <row r="184" spans="1:14" ht="14.25" hidden="1" customHeight="1">
      <c r="A184" s="73">
        <v>2025</v>
      </c>
      <c r="B184" s="73">
        <v>3</v>
      </c>
      <c r="C184" s="74">
        <v>45717</v>
      </c>
      <c r="D184" s="73" t="s">
        <v>162</v>
      </c>
      <c r="E184" s="75" t="s">
        <v>163</v>
      </c>
      <c r="F184" s="73" t="str">
        <f>VLOOKUP('표1'!$E184,구분!$C$3:$D$72,2,0)</f>
        <v>동일</v>
      </c>
      <c r="G184" s="76">
        <v>21958300</v>
      </c>
      <c r="H184" s="76">
        <v>16907898</v>
      </c>
      <c r="I184" s="76">
        <v>15370816</v>
      </c>
      <c r="J184" s="76">
        <v>7025210</v>
      </c>
      <c r="K184" s="76">
        <v>8345606</v>
      </c>
      <c r="L184" s="76">
        <v>4723530</v>
      </c>
      <c r="M184" s="76">
        <v>3622076</v>
      </c>
      <c r="N184" s="77">
        <v>0.16495247810622901</v>
      </c>
    </row>
    <row r="185" spans="1:14" ht="14.25" hidden="1" customHeight="1">
      <c r="A185" s="73">
        <v>2025</v>
      </c>
      <c r="B185" s="73">
        <v>3</v>
      </c>
      <c r="C185" s="74">
        <v>45717</v>
      </c>
      <c r="D185" s="73" t="s">
        <v>164</v>
      </c>
      <c r="E185" s="75" t="s">
        <v>165</v>
      </c>
      <c r="F185" s="73" t="str">
        <f>VLOOKUP('표1'!$E185,구분!$C$3:$D$72,2,0)</f>
        <v>동일</v>
      </c>
      <c r="G185" s="76">
        <v>43380920</v>
      </c>
      <c r="H185" s="76">
        <v>33403353</v>
      </c>
      <c r="I185" s="76">
        <v>30366685</v>
      </c>
      <c r="J185" s="76">
        <v>13909633</v>
      </c>
      <c r="K185" s="76">
        <v>16457052</v>
      </c>
      <c r="L185" s="76">
        <v>7888350</v>
      </c>
      <c r="M185" s="76">
        <v>8568702</v>
      </c>
      <c r="N185" s="77">
        <v>0.197522366976081</v>
      </c>
    </row>
    <row r="186" spans="1:14" ht="14.25" hidden="1" customHeight="1">
      <c r="A186" s="73">
        <v>2025</v>
      </c>
      <c r="B186" s="73">
        <v>3</v>
      </c>
      <c r="C186" s="74">
        <v>45717</v>
      </c>
      <c r="D186" s="73" t="s">
        <v>166</v>
      </c>
      <c r="E186" s="75" t="s">
        <v>167</v>
      </c>
      <c r="F186" s="73" t="str">
        <f>VLOOKUP('표1'!$E186,구분!$C$3:$D$72,2,0)</f>
        <v>동일</v>
      </c>
      <c r="G186" s="76">
        <v>22704590</v>
      </c>
      <c r="H186" s="76">
        <v>17482549</v>
      </c>
      <c r="I186" s="76">
        <v>15893226</v>
      </c>
      <c r="J186" s="76">
        <v>7189801</v>
      </c>
      <c r="K186" s="76">
        <v>8703425</v>
      </c>
      <c r="L186" s="76">
        <v>5290070</v>
      </c>
      <c r="M186" s="76">
        <v>3413355</v>
      </c>
      <c r="N186" s="77">
        <v>0.15033766300118201</v>
      </c>
    </row>
    <row r="187" spans="1:14" ht="14.25" hidden="1" customHeight="1">
      <c r="A187" s="73">
        <v>2025</v>
      </c>
      <c r="B187" s="73">
        <v>3</v>
      </c>
      <c r="C187" s="74">
        <v>45717</v>
      </c>
      <c r="D187" s="73" t="s">
        <v>182</v>
      </c>
      <c r="E187" s="75" t="s">
        <v>183</v>
      </c>
      <c r="F187" s="73" t="str">
        <f>VLOOKUP('표1'!$E187,구분!$C$3:$D$72,2,0)</f>
        <v>행사</v>
      </c>
      <c r="G187" s="76">
        <v>36646760</v>
      </c>
      <c r="H187" s="76">
        <v>28034812</v>
      </c>
      <c r="I187" s="76">
        <v>25486193</v>
      </c>
      <c r="J187" s="76">
        <v>11358751</v>
      </c>
      <c r="K187" s="76">
        <v>14127442</v>
      </c>
      <c r="L187" s="76">
        <v>6377030</v>
      </c>
      <c r="M187" s="76">
        <v>7750412</v>
      </c>
      <c r="N187" s="77">
        <v>0.21148969240391199</v>
      </c>
    </row>
    <row r="188" spans="1:14" ht="14.25" hidden="1" customHeight="1">
      <c r="A188" s="73">
        <v>2025</v>
      </c>
      <c r="B188" s="73">
        <v>3</v>
      </c>
      <c r="C188" s="74">
        <v>45717</v>
      </c>
      <c r="D188" s="73" t="s">
        <v>168</v>
      </c>
      <c r="E188" s="75" t="s">
        <v>169</v>
      </c>
      <c r="F188" s="73" t="str">
        <f>VLOOKUP('표1'!$E188,구분!$C$3:$D$72,2,0)</f>
        <v>동일</v>
      </c>
      <c r="G188" s="76">
        <v>37738480</v>
      </c>
      <c r="H188" s="76">
        <v>29058646</v>
      </c>
      <c r="I188" s="76">
        <v>26416951</v>
      </c>
      <c r="J188" s="76">
        <v>11759383</v>
      </c>
      <c r="K188" s="76">
        <v>14657568</v>
      </c>
      <c r="L188" s="76">
        <v>7346450</v>
      </c>
      <c r="M188" s="76">
        <v>7311118</v>
      </c>
      <c r="N188" s="77">
        <v>0.19373112006630899</v>
      </c>
    </row>
    <row r="189" spans="1:14" ht="15" hidden="1" customHeight="1">
      <c r="A189" s="73">
        <v>2025</v>
      </c>
      <c r="B189" s="73">
        <v>3</v>
      </c>
      <c r="C189" s="74">
        <v>45717</v>
      </c>
      <c r="D189" s="73" t="s">
        <v>172</v>
      </c>
      <c r="E189" s="73" t="s">
        <v>173</v>
      </c>
      <c r="F189" s="73" t="str">
        <f>VLOOKUP('표1'!$E189,구분!$C$3:$D$72,2,0)</f>
        <v>동일</v>
      </c>
      <c r="G189" s="76">
        <v>41545280</v>
      </c>
      <c r="H189" s="76">
        <v>32820797</v>
      </c>
      <c r="I189" s="76">
        <v>29837088</v>
      </c>
      <c r="J189" s="76">
        <v>14707053</v>
      </c>
      <c r="K189" s="76">
        <v>15130035</v>
      </c>
      <c r="L189" s="76">
        <v>9298820</v>
      </c>
      <c r="M189" s="76">
        <v>5831215</v>
      </c>
      <c r="N189" s="77">
        <v>0.140358062335842</v>
      </c>
    </row>
    <row r="190" spans="1:14" ht="14.25" hidden="1" customHeight="1">
      <c r="A190" s="73">
        <v>2025</v>
      </c>
      <c r="B190" s="73">
        <v>3</v>
      </c>
      <c r="C190" s="74">
        <v>45717</v>
      </c>
      <c r="D190" s="73" t="s">
        <v>174</v>
      </c>
      <c r="E190" s="75" t="s">
        <v>175</v>
      </c>
      <c r="F190" s="73" t="str">
        <f>VLOOKUP('표1'!$E190,구분!$C$3:$D$72,2,0)</f>
        <v>동일</v>
      </c>
      <c r="G190" s="76">
        <v>21429210</v>
      </c>
      <c r="H190" s="76">
        <v>18000537</v>
      </c>
      <c r="I190" s="76">
        <v>16364125</v>
      </c>
      <c r="J190" s="76">
        <v>8219300</v>
      </c>
      <c r="K190" s="76">
        <v>8144825</v>
      </c>
      <c r="L190" s="76">
        <v>5104270</v>
      </c>
      <c r="M190" s="76">
        <v>3040555</v>
      </c>
      <c r="N190" s="77">
        <v>0.14188833839418299</v>
      </c>
    </row>
    <row r="191" spans="1:14" ht="14.25" hidden="1" customHeight="1">
      <c r="A191" s="73">
        <v>2025</v>
      </c>
      <c r="B191" s="73">
        <v>3</v>
      </c>
      <c r="C191" s="74">
        <v>45717</v>
      </c>
      <c r="D191" s="73" t="s">
        <v>176</v>
      </c>
      <c r="E191" s="75" t="s">
        <v>177</v>
      </c>
      <c r="F191" s="73" t="str">
        <f>VLOOKUP('표1'!$E191,구분!$C$3:$D$72,2,0)</f>
        <v>동일</v>
      </c>
      <c r="G191" s="76">
        <v>82350040</v>
      </c>
      <c r="H191" s="76">
        <v>63409578</v>
      </c>
      <c r="I191" s="76">
        <v>57645071</v>
      </c>
      <c r="J191" s="76">
        <v>25929757</v>
      </c>
      <c r="K191" s="76">
        <v>31715314</v>
      </c>
      <c r="L191" s="76">
        <v>13971370</v>
      </c>
      <c r="M191" s="76">
        <v>17743944</v>
      </c>
      <c r="N191" s="77">
        <v>0.21546976783496399</v>
      </c>
    </row>
    <row r="192" spans="1:14" ht="14.25" hidden="1" customHeight="1">
      <c r="A192" s="73">
        <v>2025</v>
      </c>
      <c r="B192" s="73">
        <v>3</v>
      </c>
      <c r="C192" s="74">
        <v>45717</v>
      </c>
      <c r="D192" s="73" t="s">
        <v>178</v>
      </c>
      <c r="E192" s="75" t="s">
        <v>179</v>
      </c>
      <c r="F192" s="73" t="str">
        <f>VLOOKUP('표1'!$E192,구분!$C$3:$D$72,2,0)</f>
        <v>동일</v>
      </c>
      <c r="G192" s="76">
        <v>109010960</v>
      </c>
      <c r="H192" s="76">
        <v>83938509</v>
      </c>
      <c r="I192" s="76">
        <v>76307735</v>
      </c>
      <c r="J192" s="76">
        <v>35124376</v>
      </c>
      <c r="K192" s="76">
        <v>41183359</v>
      </c>
      <c r="L192" s="76">
        <v>14172960</v>
      </c>
      <c r="M192" s="76">
        <v>27010399</v>
      </c>
      <c r="N192" s="77">
        <v>0.247776911605952</v>
      </c>
    </row>
    <row r="193" spans="1:14" ht="14.25" hidden="1" customHeight="1">
      <c r="A193" s="73">
        <v>2025</v>
      </c>
      <c r="B193" s="73">
        <v>4</v>
      </c>
      <c r="C193" s="74">
        <v>45748</v>
      </c>
      <c r="D193" s="73" t="s">
        <v>54</v>
      </c>
      <c r="E193" s="75" t="s">
        <v>55</v>
      </c>
      <c r="F193" s="73" t="str">
        <f>VLOOKUP('표1'!$E193,구분!$C$3:$D$72,2,0)</f>
        <v>동일</v>
      </c>
      <c r="G193" s="76">
        <v>60139490</v>
      </c>
      <c r="H193" s="76">
        <v>38730904</v>
      </c>
      <c r="I193" s="76">
        <v>35209913</v>
      </c>
      <c r="J193" s="76">
        <v>16993470</v>
      </c>
      <c r="K193" s="76">
        <v>18216443</v>
      </c>
      <c r="L193" s="76">
        <v>6313990</v>
      </c>
      <c r="M193" s="76">
        <v>11902453</v>
      </c>
      <c r="N193" s="77">
        <v>0.19791409937131199</v>
      </c>
    </row>
    <row r="194" spans="1:14" ht="14.25" hidden="1" customHeight="1">
      <c r="A194" s="78">
        <v>2025</v>
      </c>
      <c r="B194" s="78">
        <v>4</v>
      </c>
      <c r="C194" s="79">
        <v>45748</v>
      </c>
      <c r="D194" s="78" t="s">
        <v>56</v>
      </c>
      <c r="E194" s="80" t="s">
        <v>57</v>
      </c>
      <c r="F194" s="78" t="str">
        <f>VLOOKUP('표1'!$E194,구분!$C$3:$D$72,2,0)</f>
        <v>동일</v>
      </c>
      <c r="G194" s="81">
        <v>23966680</v>
      </c>
      <c r="H194" s="81">
        <v>15649258</v>
      </c>
      <c r="I194" s="81">
        <v>14226598</v>
      </c>
      <c r="J194" s="81">
        <v>7170591</v>
      </c>
      <c r="K194" s="81">
        <v>7056007</v>
      </c>
      <c r="L194" s="81">
        <v>4748190</v>
      </c>
      <c r="M194" s="81">
        <v>2307817</v>
      </c>
      <c r="N194" s="82">
        <v>9.6292728070804995E-2</v>
      </c>
    </row>
    <row r="195" spans="1:14" ht="14.25" hidden="1" customHeight="1">
      <c r="A195" s="78">
        <v>2025</v>
      </c>
      <c r="B195" s="78">
        <v>4</v>
      </c>
      <c r="C195" s="79">
        <v>45748</v>
      </c>
      <c r="D195" s="78" t="s">
        <v>58</v>
      </c>
      <c r="E195" s="80" t="s">
        <v>59</v>
      </c>
      <c r="F195" s="78" t="str">
        <f>VLOOKUP('표1'!$E195,구분!$C$3:$D$72,2,0)</f>
        <v>동일</v>
      </c>
      <c r="G195" s="81">
        <v>59064170</v>
      </c>
      <c r="H195" s="81">
        <v>38046498</v>
      </c>
      <c r="I195" s="81">
        <v>34587725</v>
      </c>
      <c r="J195" s="81">
        <v>17495326</v>
      </c>
      <c r="K195" s="81">
        <v>17092399</v>
      </c>
      <c r="L195" s="81">
        <v>7649970</v>
      </c>
      <c r="M195" s="81">
        <v>9442429</v>
      </c>
      <c r="N195" s="82">
        <v>0.15986729348774401</v>
      </c>
    </row>
    <row r="196" spans="1:14" ht="14.25" hidden="1" customHeight="1">
      <c r="A196" s="78">
        <v>2025</v>
      </c>
      <c r="B196" s="78">
        <v>4</v>
      </c>
      <c r="C196" s="79">
        <v>45748</v>
      </c>
      <c r="D196" s="78" t="s">
        <v>60</v>
      </c>
      <c r="E196" s="80" t="s">
        <v>61</v>
      </c>
      <c r="F196" s="78" t="str">
        <f>VLOOKUP('표1'!$E196,구분!$C$3:$D$72,2,0)</f>
        <v>동일</v>
      </c>
      <c r="G196" s="81">
        <v>34004700</v>
      </c>
      <c r="H196" s="81">
        <v>21812512</v>
      </c>
      <c r="I196" s="81">
        <v>19829556</v>
      </c>
      <c r="J196" s="81">
        <v>9733950</v>
      </c>
      <c r="K196" s="81">
        <v>10095606</v>
      </c>
      <c r="L196" s="81">
        <v>5593050</v>
      </c>
      <c r="M196" s="81">
        <v>4502556</v>
      </c>
      <c r="N196" s="82">
        <v>0.13240981393748499</v>
      </c>
    </row>
    <row r="197" spans="1:14" ht="14.25" hidden="1" customHeight="1">
      <c r="A197" s="78">
        <v>2025</v>
      </c>
      <c r="B197" s="78">
        <v>4</v>
      </c>
      <c r="C197" s="79">
        <v>45748</v>
      </c>
      <c r="D197" s="78" t="s">
        <v>62</v>
      </c>
      <c r="E197" s="80" t="s">
        <v>63</v>
      </c>
      <c r="F197" s="78" t="str">
        <f>VLOOKUP('표1'!$E197,구분!$C$3:$D$72,2,0)</f>
        <v>동일</v>
      </c>
      <c r="G197" s="81">
        <v>65543710</v>
      </c>
      <c r="H197" s="81">
        <v>42338177</v>
      </c>
      <c r="I197" s="81">
        <v>38489252</v>
      </c>
      <c r="J197" s="81">
        <v>18635825</v>
      </c>
      <c r="K197" s="81">
        <v>19853427</v>
      </c>
      <c r="L197" s="81">
        <v>9533190</v>
      </c>
      <c r="M197" s="81">
        <v>10320237</v>
      </c>
      <c r="N197" s="82">
        <v>0.15745579552942601</v>
      </c>
    </row>
    <row r="198" spans="1:14" ht="14.25" hidden="1" customHeight="1">
      <c r="A198" s="78">
        <v>2025</v>
      </c>
      <c r="B198" s="78">
        <v>4</v>
      </c>
      <c r="C198" s="79">
        <v>45748</v>
      </c>
      <c r="D198" s="78" t="s">
        <v>64</v>
      </c>
      <c r="E198" s="80" t="s">
        <v>65</v>
      </c>
      <c r="F198" s="78" t="str">
        <f>VLOOKUP('표1'!$E198,구분!$C$3:$D$72,2,0)</f>
        <v>동일</v>
      </c>
      <c r="G198" s="81">
        <v>16499130</v>
      </c>
      <c r="H198" s="81">
        <v>10565883</v>
      </c>
      <c r="I198" s="81">
        <v>9605348</v>
      </c>
      <c r="J198" s="81">
        <v>4684627</v>
      </c>
      <c r="K198" s="81">
        <v>4920721</v>
      </c>
      <c r="L198" s="81">
        <v>5048660</v>
      </c>
      <c r="M198" s="81">
        <v>-127939</v>
      </c>
      <c r="N198" s="82">
        <v>-7.7542876503185303E-3</v>
      </c>
    </row>
    <row r="199" spans="1:14" ht="14.25" hidden="1" customHeight="1">
      <c r="A199" s="78">
        <v>2025</v>
      </c>
      <c r="B199" s="78">
        <v>4</v>
      </c>
      <c r="C199" s="79">
        <v>45748</v>
      </c>
      <c r="D199" s="78" t="s">
        <v>66</v>
      </c>
      <c r="E199" s="80" t="s">
        <v>67</v>
      </c>
      <c r="F199" s="78" t="str">
        <f>VLOOKUP('표1'!$E199,구분!$C$3:$D$72,2,0)</f>
        <v>동일</v>
      </c>
      <c r="G199" s="81">
        <v>28589950</v>
      </c>
      <c r="H199" s="81">
        <v>18587786</v>
      </c>
      <c r="I199" s="81">
        <v>16897987</v>
      </c>
      <c r="J199" s="81">
        <v>8861461</v>
      </c>
      <c r="K199" s="81">
        <v>8036526</v>
      </c>
      <c r="L199" s="81">
        <v>6776890</v>
      </c>
      <c r="M199" s="81">
        <v>1259636</v>
      </c>
      <c r="N199" s="82">
        <v>4.4058698948406701E-2</v>
      </c>
    </row>
    <row r="200" spans="1:14" ht="14.25" hidden="1" customHeight="1">
      <c r="A200" s="78">
        <v>2025</v>
      </c>
      <c r="B200" s="78">
        <v>4</v>
      </c>
      <c r="C200" s="79">
        <v>45748</v>
      </c>
      <c r="D200" s="78" t="s">
        <v>68</v>
      </c>
      <c r="E200" s="80" t="s">
        <v>69</v>
      </c>
      <c r="F200" s="78" t="str">
        <f>VLOOKUP('표1'!$E200,구분!$C$3:$D$72,2,0)</f>
        <v>동일</v>
      </c>
      <c r="G200" s="81">
        <v>100635370</v>
      </c>
      <c r="H200" s="81">
        <v>64572123</v>
      </c>
      <c r="I200" s="81">
        <v>58701930</v>
      </c>
      <c r="J200" s="81">
        <v>30387747</v>
      </c>
      <c r="K200" s="81">
        <v>28314183</v>
      </c>
      <c r="L200" s="81">
        <v>13338790</v>
      </c>
      <c r="M200" s="81">
        <v>14975393</v>
      </c>
      <c r="N200" s="82">
        <v>0.14880844577805999</v>
      </c>
    </row>
    <row r="201" spans="1:14" ht="14.25" hidden="1" customHeight="1">
      <c r="A201" s="78">
        <v>2025</v>
      </c>
      <c r="B201" s="78">
        <v>4</v>
      </c>
      <c r="C201" s="79">
        <v>45748</v>
      </c>
      <c r="D201" s="78" t="s">
        <v>70</v>
      </c>
      <c r="E201" s="80" t="s">
        <v>71</v>
      </c>
      <c r="F201" s="78" t="str">
        <f>VLOOKUP('표1'!$E201,구분!$C$3:$D$72,2,0)</f>
        <v>동일</v>
      </c>
      <c r="G201" s="81">
        <v>28779250</v>
      </c>
      <c r="H201" s="81">
        <v>18617113</v>
      </c>
      <c r="I201" s="81">
        <v>16924648</v>
      </c>
      <c r="J201" s="81">
        <v>8027633</v>
      </c>
      <c r="K201" s="81">
        <v>8897015</v>
      </c>
      <c r="L201" s="81">
        <v>5250460</v>
      </c>
      <c r="M201" s="81">
        <v>3646555</v>
      </c>
      <c r="N201" s="82">
        <v>0.12670778425428</v>
      </c>
    </row>
    <row r="202" spans="1:14" ht="14.25" hidden="1" customHeight="1">
      <c r="A202" s="78">
        <v>2025</v>
      </c>
      <c r="B202" s="78">
        <v>4</v>
      </c>
      <c r="C202" s="79">
        <v>45748</v>
      </c>
      <c r="D202" s="78" t="s">
        <v>72</v>
      </c>
      <c r="E202" s="80" t="s">
        <v>73</v>
      </c>
      <c r="F202" s="78" t="str">
        <f>VLOOKUP('표1'!$E202,구분!$C$3:$D$72,2,0)</f>
        <v>동일</v>
      </c>
      <c r="G202" s="81">
        <v>20304110</v>
      </c>
      <c r="H202" s="81">
        <v>13336277</v>
      </c>
      <c r="I202" s="81">
        <v>12123888</v>
      </c>
      <c r="J202" s="81">
        <v>6562692</v>
      </c>
      <c r="K202" s="81">
        <v>5561196</v>
      </c>
      <c r="L202" s="81">
        <v>4810960</v>
      </c>
      <c r="M202" s="81">
        <v>750236</v>
      </c>
      <c r="N202" s="82">
        <v>3.6949957422413499E-2</v>
      </c>
    </row>
    <row r="203" spans="1:14" ht="14.25" hidden="1" customHeight="1">
      <c r="A203" s="78">
        <v>2025</v>
      </c>
      <c r="B203" s="78">
        <v>4</v>
      </c>
      <c r="C203" s="79">
        <v>45748</v>
      </c>
      <c r="D203" s="78" t="s">
        <v>74</v>
      </c>
      <c r="E203" s="80" t="s">
        <v>75</v>
      </c>
      <c r="F203" s="78" t="str">
        <f>VLOOKUP('표1'!$E203,구분!$C$3:$D$72,2,0)</f>
        <v>동일</v>
      </c>
      <c r="G203" s="81">
        <v>38318710</v>
      </c>
      <c r="H203" s="81">
        <v>24665320</v>
      </c>
      <c r="I203" s="81">
        <v>22423018</v>
      </c>
      <c r="J203" s="81">
        <v>11503398</v>
      </c>
      <c r="K203" s="81">
        <v>10919620</v>
      </c>
      <c r="L203" s="81">
        <v>6039720</v>
      </c>
      <c r="M203" s="81">
        <v>4879900</v>
      </c>
      <c r="N203" s="82">
        <v>0.12735032050922401</v>
      </c>
    </row>
    <row r="204" spans="1:14" ht="14.25" hidden="1" customHeight="1">
      <c r="A204" s="78">
        <v>2025</v>
      </c>
      <c r="B204" s="78">
        <v>4</v>
      </c>
      <c r="C204" s="79">
        <v>45748</v>
      </c>
      <c r="D204" s="78" t="s">
        <v>76</v>
      </c>
      <c r="E204" s="80" t="s">
        <v>77</v>
      </c>
      <c r="F204" s="78" t="str">
        <f>VLOOKUP('표1'!$E204,구분!$C$3:$D$72,2,0)</f>
        <v>동일</v>
      </c>
      <c r="G204" s="81">
        <v>36137620</v>
      </c>
      <c r="H204" s="81">
        <v>23265212</v>
      </c>
      <c r="I204" s="81">
        <v>21150193</v>
      </c>
      <c r="J204" s="81">
        <v>10568910</v>
      </c>
      <c r="K204" s="81">
        <v>10581283</v>
      </c>
      <c r="L204" s="81">
        <v>5822090</v>
      </c>
      <c r="M204" s="81">
        <v>4759193</v>
      </c>
      <c r="N204" s="82">
        <v>0.131696359638515</v>
      </c>
    </row>
    <row r="205" spans="1:14" ht="14.25" hidden="1" customHeight="1">
      <c r="A205" s="78">
        <v>2025</v>
      </c>
      <c r="B205" s="78">
        <v>4</v>
      </c>
      <c r="C205" s="79">
        <v>45748</v>
      </c>
      <c r="D205" s="78" t="s">
        <v>78</v>
      </c>
      <c r="E205" s="80" t="s">
        <v>79</v>
      </c>
      <c r="F205" s="78" t="str">
        <f>VLOOKUP('표1'!$E205,구분!$C$3:$D$72,2,0)</f>
        <v>동일</v>
      </c>
      <c r="G205" s="81">
        <v>66617570</v>
      </c>
      <c r="H205" s="81">
        <v>42635243</v>
      </c>
      <c r="I205" s="81">
        <v>38759312</v>
      </c>
      <c r="J205" s="81">
        <v>19042626</v>
      </c>
      <c r="K205" s="81">
        <v>19716686</v>
      </c>
      <c r="L205" s="81">
        <v>6721800</v>
      </c>
      <c r="M205" s="81">
        <v>12994886</v>
      </c>
      <c r="N205" s="82">
        <v>0.195066947053157</v>
      </c>
    </row>
    <row r="206" spans="1:14" ht="14.25" hidden="1" customHeight="1">
      <c r="A206" s="78">
        <v>2025</v>
      </c>
      <c r="B206" s="78">
        <v>4</v>
      </c>
      <c r="C206" s="79">
        <v>45748</v>
      </c>
      <c r="D206" s="78" t="s">
        <v>80</v>
      </c>
      <c r="E206" s="80" t="s">
        <v>81</v>
      </c>
      <c r="F206" s="78" t="str">
        <f>VLOOKUP('표1'!$E206,구분!$C$3:$D$72,2,0)</f>
        <v>동일</v>
      </c>
      <c r="G206" s="81">
        <v>79056500</v>
      </c>
      <c r="H206" s="81">
        <v>51174388</v>
      </c>
      <c r="I206" s="81">
        <v>46522171</v>
      </c>
      <c r="J206" s="81">
        <v>23656372</v>
      </c>
      <c r="K206" s="81">
        <v>22865799</v>
      </c>
      <c r="L206" s="81">
        <v>10391510</v>
      </c>
      <c r="M206" s="81">
        <v>12474289</v>
      </c>
      <c r="N206" s="82">
        <v>0.157789542921834</v>
      </c>
    </row>
    <row r="207" spans="1:14" ht="14.25" hidden="1" customHeight="1">
      <c r="A207" s="78">
        <v>2025</v>
      </c>
      <c r="B207" s="78">
        <v>4</v>
      </c>
      <c r="C207" s="79">
        <v>45748</v>
      </c>
      <c r="D207" s="78" t="s">
        <v>82</v>
      </c>
      <c r="E207" s="80" t="s">
        <v>83</v>
      </c>
      <c r="F207" s="78" t="str">
        <f>VLOOKUP('표1'!$E207,구분!$C$3:$D$72,2,0)</f>
        <v>동일</v>
      </c>
      <c r="G207" s="81">
        <v>34098950</v>
      </c>
      <c r="H207" s="81">
        <v>22505319</v>
      </c>
      <c r="I207" s="81">
        <v>20459381</v>
      </c>
      <c r="J207" s="81">
        <v>10782520</v>
      </c>
      <c r="K207" s="81">
        <v>9676861</v>
      </c>
      <c r="L207" s="81">
        <v>5976410</v>
      </c>
      <c r="M207" s="81">
        <v>3700451</v>
      </c>
      <c r="N207" s="82">
        <v>0.108520966188108</v>
      </c>
    </row>
    <row r="208" spans="1:14" ht="14.25" hidden="1" customHeight="1">
      <c r="A208" s="78">
        <v>2025</v>
      </c>
      <c r="B208" s="78">
        <v>4</v>
      </c>
      <c r="C208" s="79">
        <v>45748</v>
      </c>
      <c r="D208" s="78" t="s">
        <v>84</v>
      </c>
      <c r="E208" s="80" t="s">
        <v>85</v>
      </c>
      <c r="F208" s="78" t="str">
        <f>VLOOKUP('표1'!$E208,구분!$C$3:$D$72,2,0)</f>
        <v>동일</v>
      </c>
      <c r="G208" s="81">
        <v>47415050</v>
      </c>
      <c r="H208" s="81">
        <v>30430050</v>
      </c>
      <c r="I208" s="81">
        <v>27663682</v>
      </c>
      <c r="J208" s="81">
        <v>13825541</v>
      </c>
      <c r="K208" s="81">
        <v>13838141</v>
      </c>
      <c r="L208" s="81">
        <v>6968710</v>
      </c>
      <c r="M208" s="81">
        <v>6869431</v>
      </c>
      <c r="N208" s="82">
        <v>0.14487870412453399</v>
      </c>
    </row>
    <row r="209" spans="1:14" ht="14.25" hidden="1" customHeight="1">
      <c r="A209" s="78">
        <v>2025</v>
      </c>
      <c r="B209" s="78">
        <v>4</v>
      </c>
      <c r="C209" s="79">
        <v>45748</v>
      </c>
      <c r="D209" s="78" t="s">
        <v>86</v>
      </c>
      <c r="E209" s="80" t="s">
        <v>87</v>
      </c>
      <c r="F209" s="78" t="str">
        <f>VLOOKUP('표1'!$E209,구분!$C$3:$D$72,2,0)</f>
        <v>동일</v>
      </c>
      <c r="G209" s="81">
        <v>25672860</v>
      </c>
      <c r="H209" s="81">
        <v>16534173</v>
      </c>
      <c r="I209" s="81">
        <v>15031066</v>
      </c>
      <c r="J209" s="81">
        <v>7479890</v>
      </c>
      <c r="K209" s="81">
        <v>7551176</v>
      </c>
      <c r="L209" s="81">
        <v>5712560</v>
      </c>
      <c r="M209" s="81">
        <v>1838616</v>
      </c>
      <c r="N209" s="82">
        <v>7.1617108495119E-2</v>
      </c>
    </row>
    <row r="210" spans="1:14" ht="14.25" hidden="1" customHeight="1">
      <c r="A210" s="78">
        <v>2025</v>
      </c>
      <c r="B210" s="78">
        <v>4</v>
      </c>
      <c r="C210" s="79">
        <v>45748</v>
      </c>
      <c r="D210" s="78" t="s">
        <v>88</v>
      </c>
      <c r="E210" s="80" t="s">
        <v>89</v>
      </c>
      <c r="F210" s="78" t="str">
        <f>VLOOKUP('표1'!$E210,구분!$C$3:$D$72,2,0)</f>
        <v>동일</v>
      </c>
      <c r="G210" s="81">
        <v>35439680</v>
      </c>
      <c r="H210" s="81">
        <v>22829760</v>
      </c>
      <c r="I210" s="81">
        <v>20754327</v>
      </c>
      <c r="J210" s="81">
        <v>11216392</v>
      </c>
      <c r="K210" s="81">
        <v>9537935</v>
      </c>
      <c r="L210" s="81">
        <v>5904670</v>
      </c>
      <c r="M210" s="81">
        <v>3633265</v>
      </c>
      <c r="N210" s="82">
        <v>0.102519689794039</v>
      </c>
    </row>
    <row r="211" spans="1:14" ht="14.25" hidden="1" customHeight="1">
      <c r="A211" s="78">
        <v>2025</v>
      </c>
      <c r="B211" s="78">
        <v>4</v>
      </c>
      <c r="C211" s="79">
        <v>45748</v>
      </c>
      <c r="D211" s="78" t="s">
        <v>90</v>
      </c>
      <c r="E211" s="80" t="s">
        <v>91</v>
      </c>
      <c r="F211" s="78" t="str">
        <f>VLOOKUP('표1'!$E211,구분!$C$3:$D$72,2,0)</f>
        <v>동일</v>
      </c>
      <c r="G211" s="81">
        <v>20961750</v>
      </c>
      <c r="H211" s="81">
        <v>13395520</v>
      </c>
      <c r="I211" s="81">
        <v>12177745</v>
      </c>
      <c r="J211" s="81">
        <v>6358972</v>
      </c>
      <c r="K211" s="81">
        <v>5818773</v>
      </c>
      <c r="L211" s="81">
        <v>5577940</v>
      </c>
      <c r="M211" s="81">
        <v>240833</v>
      </c>
      <c r="N211" s="82">
        <v>1.14891647882453E-2</v>
      </c>
    </row>
    <row r="212" spans="1:14" ht="14.25" hidden="1" customHeight="1">
      <c r="A212" s="78">
        <v>2025</v>
      </c>
      <c r="B212" s="78">
        <v>4</v>
      </c>
      <c r="C212" s="79">
        <v>45748</v>
      </c>
      <c r="D212" s="78" t="s">
        <v>92</v>
      </c>
      <c r="E212" s="80" t="s">
        <v>93</v>
      </c>
      <c r="F212" s="78" t="str">
        <f>VLOOKUP('표1'!$E212,구분!$C$3:$D$72,2,0)</f>
        <v>동일</v>
      </c>
      <c r="G212" s="81">
        <v>31194860</v>
      </c>
      <c r="H212" s="81">
        <v>20098333</v>
      </c>
      <c r="I212" s="81">
        <v>18271212</v>
      </c>
      <c r="J212" s="81">
        <v>8859462</v>
      </c>
      <c r="K212" s="81">
        <v>9411750</v>
      </c>
      <c r="L212" s="81">
        <v>5359490</v>
      </c>
      <c r="M212" s="81">
        <v>4052260</v>
      </c>
      <c r="N212" s="82">
        <v>0.12990152864927099</v>
      </c>
    </row>
    <row r="213" spans="1:14" ht="14.25" hidden="1" customHeight="1">
      <c r="A213" s="78">
        <v>2025</v>
      </c>
      <c r="B213" s="78">
        <v>4</v>
      </c>
      <c r="C213" s="79">
        <v>45748</v>
      </c>
      <c r="D213" s="78" t="s">
        <v>94</v>
      </c>
      <c r="E213" s="80" t="s">
        <v>95</v>
      </c>
      <c r="F213" s="78" t="str">
        <f>VLOOKUP('표1'!$E213,구분!$C$3:$D$72,2,0)</f>
        <v>폐점</v>
      </c>
      <c r="G213" s="81">
        <v>41111050</v>
      </c>
      <c r="H213" s="81">
        <v>26434158</v>
      </c>
      <c r="I213" s="81">
        <v>24031053</v>
      </c>
      <c r="J213" s="81">
        <v>11929095</v>
      </c>
      <c r="K213" s="81">
        <v>12101958</v>
      </c>
      <c r="L213" s="81">
        <v>6143840</v>
      </c>
      <c r="M213" s="81">
        <v>5958118</v>
      </c>
      <c r="N213" s="82">
        <v>0.144927410027231</v>
      </c>
    </row>
    <row r="214" spans="1:14" ht="14.25" hidden="1" customHeight="1">
      <c r="A214" s="78">
        <v>2025</v>
      </c>
      <c r="B214" s="78">
        <v>4</v>
      </c>
      <c r="C214" s="79">
        <v>45748</v>
      </c>
      <c r="D214" s="78" t="s">
        <v>96</v>
      </c>
      <c r="E214" s="80" t="s">
        <v>97</v>
      </c>
      <c r="F214" s="78" t="str">
        <f>VLOOKUP('표1'!$E214,구분!$C$3:$D$72,2,0)</f>
        <v>동일</v>
      </c>
      <c r="G214" s="81">
        <v>80312220</v>
      </c>
      <c r="H214" s="81">
        <v>51587665</v>
      </c>
      <c r="I214" s="81">
        <v>46897877</v>
      </c>
      <c r="J214" s="81">
        <v>23436563</v>
      </c>
      <c r="K214" s="81">
        <v>23461314</v>
      </c>
      <c r="L214" s="81">
        <v>9844600</v>
      </c>
      <c r="M214" s="81">
        <v>13616714</v>
      </c>
      <c r="N214" s="82">
        <v>0.16954722456931201</v>
      </c>
    </row>
    <row r="215" spans="1:14" ht="14.25" hidden="1" customHeight="1">
      <c r="A215" s="78">
        <v>2025</v>
      </c>
      <c r="B215" s="78">
        <v>4</v>
      </c>
      <c r="C215" s="79">
        <v>45748</v>
      </c>
      <c r="D215" s="78" t="s">
        <v>98</v>
      </c>
      <c r="E215" s="80" t="s">
        <v>99</v>
      </c>
      <c r="F215" s="78" t="str">
        <f>VLOOKUP('표1'!$E215,구분!$C$3:$D$72,2,0)</f>
        <v>동일</v>
      </c>
      <c r="G215" s="81">
        <v>57309800</v>
      </c>
      <c r="H215" s="81">
        <v>36829148</v>
      </c>
      <c r="I215" s="81">
        <v>33481044</v>
      </c>
      <c r="J215" s="81">
        <v>17133383</v>
      </c>
      <c r="K215" s="81">
        <v>16347661</v>
      </c>
      <c r="L215" s="81">
        <v>8018340</v>
      </c>
      <c r="M215" s="81">
        <v>8329321</v>
      </c>
      <c r="N215" s="82">
        <v>0.14533851103999701</v>
      </c>
    </row>
    <row r="216" spans="1:14" ht="14.25" hidden="1" customHeight="1">
      <c r="A216" s="78">
        <v>2025</v>
      </c>
      <c r="B216" s="78">
        <v>4</v>
      </c>
      <c r="C216" s="79">
        <v>45748</v>
      </c>
      <c r="D216" s="78" t="s">
        <v>100</v>
      </c>
      <c r="E216" s="80" t="s">
        <v>101</v>
      </c>
      <c r="F216" s="78" t="str">
        <f>VLOOKUP('표1'!$E216,구분!$C$3:$D$72,2,0)</f>
        <v>동일</v>
      </c>
      <c r="G216" s="81">
        <v>85044900</v>
      </c>
      <c r="H216" s="81">
        <v>54893849</v>
      </c>
      <c r="I216" s="81">
        <v>49903499</v>
      </c>
      <c r="J216" s="81">
        <v>25073970</v>
      </c>
      <c r="K216" s="81">
        <v>24829529</v>
      </c>
      <c r="L216" s="81">
        <v>12323510</v>
      </c>
      <c r="M216" s="81">
        <v>12506019</v>
      </c>
      <c r="N216" s="82">
        <v>0.14705195726022399</v>
      </c>
    </row>
    <row r="217" spans="1:14" ht="14.25" hidden="1" customHeight="1">
      <c r="A217" s="78">
        <v>2025</v>
      </c>
      <c r="B217" s="78">
        <v>4</v>
      </c>
      <c r="C217" s="79">
        <v>45748</v>
      </c>
      <c r="D217" s="78" t="s">
        <v>102</v>
      </c>
      <c r="E217" s="80" t="s">
        <v>103</v>
      </c>
      <c r="F217" s="78" t="str">
        <f>VLOOKUP('표1'!$E217,구분!$C$3:$D$72,2,0)</f>
        <v>동일</v>
      </c>
      <c r="G217" s="81">
        <v>62029730</v>
      </c>
      <c r="H217" s="81">
        <v>42420195</v>
      </c>
      <c r="I217" s="81">
        <v>38563814</v>
      </c>
      <c r="J217" s="81">
        <v>17815796</v>
      </c>
      <c r="K217" s="81">
        <v>20748018</v>
      </c>
      <c r="L217" s="81">
        <v>8318620</v>
      </c>
      <c r="M217" s="81">
        <v>12429398</v>
      </c>
      <c r="N217" s="82">
        <v>0.20037807677060701</v>
      </c>
    </row>
    <row r="218" spans="1:14" ht="14.25" hidden="1" customHeight="1">
      <c r="A218" s="78">
        <v>2025</v>
      </c>
      <c r="B218" s="78">
        <v>4</v>
      </c>
      <c r="C218" s="79">
        <v>45748</v>
      </c>
      <c r="D218" s="78" t="s">
        <v>104</v>
      </c>
      <c r="E218" s="80" t="s">
        <v>105</v>
      </c>
      <c r="F218" s="78" t="str">
        <f>VLOOKUP('표1'!$E218,구분!$C$3:$D$72,2,0)</f>
        <v>동일</v>
      </c>
      <c r="G218" s="81">
        <v>40241230</v>
      </c>
      <c r="H218" s="81">
        <v>27373715</v>
      </c>
      <c r="I218" s="81">
        <v>24885195</v>
      </c>
      <c r="J218" s="81">
        <v>12528231</v>
      </c>
      <c r="K218" s="81">
        <v>12356964</v>
      </c>
      <c r="L218" s="81">
        <v>6569780</v>
      </c>
      <c r="M218" s="81">
        <v>5787184</v>
      </c>
      <c r="N218" s="82">
        <v>0.14381230394796601</v>
      </c>
    </row>
    <row r="219" spans="1:14" ht="14.25" hidden="1" customHeight="1">
      <c r="A219" s="78">
        <v>2025</v>
      </c>
      <c r="B219" s="78">
        <v>4</v>
      </c>
      <c r="C219" s="79">
        <v>45748</v>
      </c>
      <c r="D219" s="78" t="s">
        <v>106</v>
      </c>
      <c r="E219" s="80" t="s">
        <v>107</v>
      </c>
      <c r="F219" s="78" t="str">
        <f>VLOOKUP('표1'!$E219,구분!$C$3:$D$72,2,0)</f>
        <v>폐점</v>
      </c>
      <c r="G219" s="81">
        <v>31711600</v>
      </c>
      <c r="H219" s="81">
        <v>19884066</v>
      </c>
      <c r="I219" s="81">
        <v>18076424</v>
      </c>
      <c r="J219" s="81">
        <v>8881547</v>
      </c>
      <c r="K219" s="81">
        <v>9194877</v>
      </c>
      <c r="L219" s="81">
        <v>6469930</v>
      </c>
      <c r="M219" s="81">
        <v>2724947</v>
      </c>
      <c r="N219" s="82">
        <v>8.5929029124988995E-2</v>
      </c>
    </row>
    <row r="220" spans="1:14" ht="14.25" hidden="1" customHeight="1">
      <c r="A220" s="78">
        <v>2025</v>
      </c>
      <c r="B220" s="78">
        <v>4</v>
      </c>
      <c r="C220" s="79">
        <v>45748</v>
      </c>
      <c r="D220" s="78" t="s">
        <v>108</v>
      </c>
      <c r="E220" s="80" t="s">
        <v>109</v>
      </c>
      <c r="F220" s="78" t="str">
        <f>VLOOKUP('표1'!$E220,구분!$C$3:$D$72,2,0)</f>
        <v>동일</v>
      </c>
      <c r="G220" s="81">
        <v>34559600</v>
      </c>
      <c r="H220" s="81">
        <v>21426959</v>
      </c>
      <c r="I220" s="81">
        <v>19479054</v>
      </c>
      <c r="J220" s="81">
        <v>9525788</v>
      </c>
      <c r="K220" s="81">
        <v>9953266</v>
      </c>
      <c r="L220" s="81">
        <v>6385900</v>
      </c>
      <c r="M220" s="81">
        <v>3567366</v>
      </c>
      <c r="N220" s="82">
        <v>0.10322359055081699</v>
      </c>
    </row>
    <row r="221" spans="1:14" ht="14.25" hidden="1" customHeight="1">
      <c r="A221" s="78">
        <v>2025</v>
      </c>
      <c r="B221" s="78">
        <v>4</v>
      </c>
      <c r="C221" s="79">
        <v>45748</v>
      </c>
      <c r="D221" s="78" t="s">
        <v>110</v>
      </c>
      <c r="E221" s="80" t="s">
        <v>111</v>
      </c>
      <c r="F221" s="78" t="str">
        <f>VLOOKUP('표1'!$E221,구분!$C$3:$D$72,2,0)</f>
        <v>동일</v>
      </c>
      <c r="G221" s="81">
        <v>96208420</v>
      </c>
      <c r="H221" s="81">
        <v>62414861</v>
      </c>
      <c r="I221" s="81">
        <v>56740783</v>
      </c>
      <c r="J221" s="81">
        <v>29355045</v>
      </c>
      <c r="K221" s="81">
        <v>27385738</v>
      </c>
      <c r="L221" s="81">
        <v>13447000</v>
      </c>
      <c r="M221" s="81">
        <v>13938738</v>
      </c>
      <c r="N221" s="82">
        <v>0.14488064558174901</v>
      </c>
    </row>
    <row r="222" spans="1:14" ht="14.25" hidden="1" customHeight="1">
      <c r="A222" s="78">
        <v>2025</v>
      </c>
      <c r="B222" s="78">
        <v>4</v>
      </c>
      <c r="C222" s="79">
        <v>45748</v>
      </c>
      <c r="D222" s="78" t="s">
        <v>112</v>
      </c>
      <c r="E222" s="80" t="s">
        <v>113</v>
      </c>
      <c r="F222" s="78" t="str">
        <f>VLOOKUP('표1'!$E222,구분!$C$3:$D$72,2,0)</f>
        <v>동일</v>
      </c>
      <c r="G222" s="81">
        <v>60025890</v>
      </c>
      <c r="H222" s="81">
        <v>41091922</v>
      </c>
      <c r="I222" s="81">
        <v>37356293</v>
      </c>
      <c r="J222" s="81">
        <v>17070943</v>
      </c>
      <c r="K222" s="81">
        <v>20285350</v>
      </c>
      <c r="L222" s="81">
        <v>7637510</v>
      </c>
      <c r="M222" s="81">
        <v>12647840</v>
      </c>
      <c r="N222" s="82">
        <v>0.210706413515901</v>
      </c>
    </row>
    <row r="223" spans="1:14" ht="14.25" hidden="1" customHeight="1">
      <c r="A223" s="78">
        <v>2025</v>
      </c>
      <c r="B223" s="78">
        <v>4</v>
      </c>
      <c r="C223" s="79">
        <v>45748</v>
      </c>
      <c r="D223" s="78" t="s">
        <v>114</v>
      </c>
      <c r="E223" s="80" t="s">
        <v>115</v>
      </c>
      <c r="F223" s="78" t="str">
        <f>VLOOKUP('표1'!$E223,구분!$C$3:$D$72,2,0)</f>
        <v>폐점</v>
      </c>
      <c r="G223" s="81">
        <v>9651550</v>
      </c>
      <c r="H223" s="81">
        <v>6167400</v>
      </c>
      <c r="I223" s="81">
        <v>5606727</v>
      </c>
      <c r="J223" s="81">
        <v>2653125</v>
      </c>
      <c r="K223" s="81">
        <v>2953602</v>
      </c>
      <c r="L223" s="81">
        <v>2927160</v>
      </c>
      <c r="M223" s="81">
        <v>26442</v>
      </c>
      <c r="N223" s="82">
        <v>2.7396635773528598E-3</v>
      </c>
    </row>
    <row r="224" spans="1:14" ht="14.25" hidden="1" customHeight="1">
      <c r="A224" s="78">
        <v>2025</v>
      </c>
      <c r="B224" s="78">
        <v>4</v>
      </c>
      <c r="C224" s="79">
        <v>45748</v>
      </c>
      <c r="D224" s="78" t="s">
        <v>116</v>
      </c>
      <c r="E224" s="80" t="s">
        <v>117</v>
      </c>
      <c r="F224" s="78" t="str">
        <f>VLOOKUP('표1'!$E224,구분!$C$3:$D$72,2,0)</f>
        <v>동일</v>
      </c>
      <c r="G224" s="81">
        <v>43113310</v>
      </c>
      <c r="H224" s="81">
        <v>29720331</v>
      </c>
      <c r="I224" s="81">
        <v>27018483</v>
      </c>
      <c r="J224" s="81">
        <v>13351364</v>
      </c>
      <c r="K224" s="81">
        <v>13667119</v>
      </c>
      <c r="L224" s="81">
        <v>7235590</v>
      </c>
      <c r="M224" s="81">
        <v>6431529</v>
      </c>
      <c r="N224" s="82">
        <v>0.14917734221751899</v>
      </c>
    </row>
    <row r="225" spans="1:14" ht="14.25" hidden="1" customHeight="1">
      <c r="A225" s="78">
        <v>2025</v>
      </c>
      <c r="B225" s="78">
        <v>4</v>
      </c>
      <c r="C225" s="79">
        <v>45748</v>
      </c>
      <c r="D225" s="78" t="s">
        <v>118</v>
      </c>
      <c r="E225" s="80" t="s">
        <v>119</v>
      </c>
      <c r="F225" s="78" t="str">
        <f>VLOOKUP('표1'!$E225,구분!$C$3:$D$72,2,0)</f>
        <v>동일</v>
      </c>
      <c r="G225" s="81">
        <v>71728430</v>
      </c>
      <c r="H225" s="81">
        <v>46185172</v>
      </c>
      <c r="I225" s="81">
        <v>41986520</v>
      </c>
      <c r="J225" s="81">
        <v>19296374</v>
      </c>
      <c r="K225" s="81">
        <v>22690146</v>
      </c>
      <c r="L225" s="81">
        <v>10424720</v>
      </c>
      <c r="M225" s="81">
        <v>12265426</v>
      </c>
      <c r="N225" s="82">
        <v>0.170998110512108</v>
      </c>
    </row>
    <row r="226" spans="1:14" ht="14.25" hidden="1" customHeight="1">
      <c r="A226" s="78">
        <v>2025</v>
      </c>
      <c r="B226" s="78">
        <v>4</v>
      </c>
      <c r="C226" s="79">
        <v>45748</v>
      </c>
      <c r="D226" s="78" t="s">
        <v>180</v>
      </c>
      <c r="E226" s="80" t="s">
        <v>181</v>
      </c>
      <c r="F226" s="78" t="str">
        <f>VLOOKUP('표1'!$E226,구분!$C$3:$D$72,2,0)</f>
        <v>동일</v>
      </c>
      <c r="G226" s="81">
        <v>17077880</v>
      </c>
      <c r="H226" s="81">
        <v>10741568</v>
      </c>
      <c r="I226" s="81">
        <v>9765062</v>
      </c>
      <c r="J226" s="81">
        <v>5148855</v>
      </c>
      <c r="K226" s="81">
        <v>4616207</v>
      </c>
      <c r="L226" s="81">
        <v>5368090</v>
      </c>
      <c r="M226" s="81">
        <v>-751883</v>
      </c>
      <c r="N226" s="82">
        <v>-4.40267176019506E-2</v>
      </c>
    </row>
    <row r="227" spans="1:14" ht="14.25" hidden="1" customHeight="1">
      <c r="A227" s="78">
        <v>2025</v>
      </c>
      <c r="B227" s="78">
        <v>4</v>
      </c>
      <c r="C227" s="79">
        <v>45748</v>
      </c>
      <c r="D227" s="78" t="s">
        <v>120</v>
      </c>
      <c r="E227" s="80" t="s">
        <v>121</v>
      </c>
      <c r="F227" s="78" t="str">
        <f>VLOOKUP('표1'!$E227,구분!$C$3:$D$72,2,0)</f>
        <v>동일</v>
      </c>
      <c r="G227" s="81">
        <v>109055610</v>
      </c>
      <c r="H227" s="81">
        <v>70495126</v>
      </c>
      <c r="I227" s="81">
        <v>64086478</v>
      </c>
      <c r="J227" s="81">
        <v>33640615</v>
      </c>
      <c r="K227" s="81">
        <v>30445863</v>
      </c>
      <c r="L227" s="81">
        <v>12901820</v>
      </c>
      <c r="M227" s="81">
        <v>17544043</v>
      </c>
      <c r="N227" s="82">
        <v>0.16087244846918</v>
      </c>
    </row>
    <row r="228" spans="1:14" ht="14.25" hidden="1" customHeight="1">
      <c r="A228" s="78">
        <v>2025</v>
      </c>
      <c r="B228" s="78">
        <v>4</v>
      </c>
      <c r="C228" s="79">
        <v>45748</v>
      </c>
      <c r="D228" s="78" t="s">
        <v>122</v>
      </c>
      <c r="E228" s="80" t="s">
        <v>123</v>
      </c>
      <c r="F228" s="78" t="str">
        <f>VLOOKUP('표1'!$E228,구분!$C$3:$D$72,2,0)</f>
        <v>동일</v>
      </c>
      <c r="G228" s="81">
        <v>63891200</v>
      </c>
      <c r="H228" s="81">
        <v>40610538</v>
      </c>
      <c r="I228" s="81">
        <v>36918671</v>
      </c>
      <c r="J228" s="81">
        <v>18069922</v>
      </c>
      <c r="K228" s="81">
        <v>18848749</v>
      </c>
      <c r="L228" s="81">
        <v>10676870</v>
      </c>
      <c r="M228" s="81">
        <v>8171879</v>
      </c>
      <c r="N228" s="82">
        <v>0.12790304455073601</v>
      </c>
    </row>
    <row r="229" spans="1:14" ht="14.25" hidden="1" customHeight="1">
      <c r="A229" s="78">
        <v>2025</v>
      </c>
      <c r="B229" s="78">
        <v>4</v>
      </c>
      <c r="C229" s="79">
        <v>45748</v>
      </c>
      <c r="D229" s="78" t="s">
        <v>124</v>
      </c>
      <c r="E229" s="80" t="s">
        <v>125</v>
      </c>
      <c r="F229" s="78" t="str">
        <f>VLOOKUP('표1'!$E229,구분!$C$3:$D$72,2,0)</f>
        <v>동일</v>
      </c>
      <c r="G229" s="81">
        <v>75896420</v>
      </c>
      <c r="H229" s="81">
        <v>48160818</v>
      </c>
      <c r="I229" s="81">
        <v>43782562</v>
      </c>
      <c r="J229" s="81">
        <v>20539279</v>
      </c>
      <c r="K229" s="81">
        <v>23243283</v>
      </c>
      <c r="L229" s="81">
        <v>7342720</v>
      </c>
      <c r="M229" s="81">
        <v>15900563</v>
      </c>
      <c r="N229" s="82">
        <v>0.209503465380844</v>
      </c>
    </row>
    <row r="230" spans="1:14" ht="14.25" hidden="1" customHeight="1">
      <c r="A230" s="78">
        <v>2025</v>
      </c>
      <c r="B230" s="78">
        <v>4</v>
      </c>
      <c r="C230" s="79">
        <v>45748</v>
      </c>
      <c r="D230" s="78" t="s">
        <v>126</v>
      </c>
      <c r="E230" s="80" t="s">
        <v>127</v>
      </c>
      <c r="F230" s="78" t="str">
        <f>VLOOKUP('표1'!$E230,구분!$C$3:$D$72,2,0)</f>
        <v>동일</v>
      </c>
      <c r="G230" s="81">
        <v>66794850</v>
      </c>
      <c r="H230" s="81">
        <v>42291350</v>
      </c>
      <c r="I230" s="81">
        <v>38446682</v>
      </c>
      <c r="J230" s="81">
        <v>19648901</v>
      </c>
      <c r="K230" s="81">
        <v>18797781</v>
      </c>
      <c r="L230" s="81">
        <v>10020058</v>
      </c>
      <c r="M230" s="81">
        <v>8777723</v>
      </c>
      <c r="N230" s="82">
        <v>0.13141317032675401</v>
      </c>
    </row>
    <row r="231" spans="1:14" ht="14.25" customHeight="1">
      <c r="A231" s="78">
        <v>2025</v>
      </c>
      <c r="B231" s="78">
        <v>4</v>
      </c>
      <c r="C231" s="79">
        <v>45748</v>
      </c>
      <c r="D231" s="78" t="s">
        <v>128</v>
      </c>
      <c r="E231" s="80" t="s">
        <v>129</v>
      </c>
      <c r="F231" s="78" t="str">
        <f>VLOOKUP('표1'!$E231,구분!$C$3:$D$72,2,0)</f>
        <v>동일</v>
      </c>
      <c r="G231" s="81">
        <v>113774330</v>
      </c>
      <c r="H231" s="81">
        <v>73361620</v>
      </c>
      <c r="I231" s="81">
        <v>66692382</v>
      </c>
      <c r="J231" s="81">
        <v>34829041</v>
      </c>
      <c r="K231" s="81">
        <v>31863341</v>
      </c>
      <c r="L231" s="81">
        <v>16478110</v>
      </c>
      <c r="M231" s="81">
        <v>15385231</v>
      </c>
      <c r="N231" s="82">
        <v>0.135225854549089</v>
      </c>
    </row>
    <row r="232" spans="1:14" ht="14.25" hidden="1" customHeight="1">
      <c r="A232" s="78">
        <v>2025</v>
      </c>
      <c r="B232" s="78">
        <v>4</v>
      </c>
      <c r="C232" s="79">
        <v>45748</v>
      </c>
      <c r="D232" s="78" t="s">
        <v>130</v>
      </c>
      <c r="E232" s="80" t="s">
        <v>131</v>
      </c>
      <c r="F232" s="78" t="str">
        <f>VLOOKUP('표1'!$E232,구분!$C$3:$D$72,2,0)</f>
        <v>동일</v>
      </c>
      <c r="G232" s="81">
        <v>45063450</v>
      </c>
      <c r="H232" s="81">
        <v>28691744</v>
      </c>
      <c r="I232" s="81">
        <v>26083404</v>
      </c>
      <c r="J232" s="81">
        <v>12367247</v>
      </c>
      <c r="K232" s="81">
        <v>13716157</v>
      </c>
      <c r="L232" s="81">
        <v>5798980</v>
      </c>
      <c r="M232" s="81">
        <v>7917177</v>
      </c>
      <c r="N232" s="82">
        <v>0.17568954440904999</v>
      </c>
    </row>
    <row r="233" spans="1:14" ht="14.25" hidden="1" customHeight="1">
      <c r="A233" s="78">
        <v>2025</v>
      </c>
      <c r="B233" s="78">
        <v>4</v>
      </c>
      <c r="C233" s="79">
        <v>45748</v>
      </c>
      <c r="D233" s="78" t="s">
        <v>132</v>
      </c>
      <c r="E233" s="80" t="s">
        <v>133</v>
      </c>
      <c r="F233" s="78" t="str">
        <f>VLOOKUP('표1'!$E233,구분!$C$3:$D$72,2,0)</f>
        <v>동일</v>
      </c>
      <c r="G233" s="81">
        <v>31129150</v>
      </c>
      <c r="H233" s="81">
        <v>19963687</v>
      </c>
      <c r="I233" s="81">
        <v>18148806</v>
      </c>
      <c r="J233" s="81">
        <v>8146519</v>
      </c>
      <c r="K233" s="81">
        <v>10002287</v>
      </c>
      <c r="L233" s="81">
        <v>4738780</v>
      </c>
      <c r="M233" s="81">
        <v>5263507</v>
      </c>
      <c r="N233" s="82">
        <v>0.16908611381936201</v>
      </c>
    </row>
    <row r="234" spans="1:14" ht="14.25" hidden="1" customHeight="1">
      <c r="A234" s="78">
        <v>2025</v>
      </c>
      <c r="B234" s="78">
        <v>4</v>
      </c>
      <c r="C234" s="79">
        <v>45748</v>
      </c>
      <c r="D234" s="78" t="s">
        <v>134</v>
      </c>
      <c r="E234" s="80" t="s">
        <v>135</v>
      </c>
      <c r="F234" s="78" t="str">
        <f>VLOOKUP('표1'!$E234,구분!$C$3:$D$72,2,0)</f>
        <v>동일</v>
      </c>
      <c r="G234" s="81">
        <v>45351260</v>
      </c>
      <c r="H234" s="81">
        <v>28774495</v>
      </c>
      <c r="I234" s="81">
        <v>26158632</v>
      </c>
      <c r="J234" s="81">
        <v>13911870</v>
      </c>
      <c r="K234" s="81">
        <v>12246762</v>
      </c>
      <c r="L234" s="81">
        <v>6753020</v>
      </c>
      <c r="M234" s="81">
        <v>5493742</v>
      </c>
      <c r="N234" s="82">
        <v>0.121137582505977</v>
      </c>
    </row>
    <row r="235" spans="1:14" ht="14.25" hidden="1" customHeight="1">
      <c r="A235" s="78">
        <v>2025</v>
      </c>
      <c r="B235" s="78">
        <v>4</v>
      </c>
      <c r="C235" s="79">
        <v>45748</v>
      </c>
      <c r="D235" s="78" t="s">
        <v>136</v>
      </c>
      <c r="E235" s="80" t="s">
        <v>137</v>
      </c>
      <c r="F235" s="78" t="str">
        <f>VLOOKUP('표1'!$E235,구분!$C$3:$D$72,2,0)</f>
        <v>동일</v>
      </c>
      <c r="G235" s="81">
        <v>59720620</v>
      </c>
      <c r="H235" s="81">
        <v>38484012</v>
      </c>
      <c r="I235" s="81">
        <v>34985465</v>
      </c>
      <c r="J235" s="81">
        <v>18071416</v>
      </c>
      <c r="K235" s="81">
        <v>16914049</v>
      </c>
      <c r="L235" s="81">
        <v>6984930</v>
      </c>
      <c r="M235" s="81">
        <v>9929119</v>
      </c>
      <c r="N235" s="82">
        <v>0.166259476207715</v>
      </c>
    </row>
    <row r="236" spans="1:14" ht="14.25" hidden="1" customHeight="1">
      <c r="A236" s="78">
        <v>2025</v>
      </c>
      <c r="B236" s="78">
        <v>4</v>
      </c>
      <c r="C236" s="79">
        <v>45748</v>
      </c>
      <c r="D236" s="78" t="s">
        <v>138</v>
      </c>
      <c r="E236" s="80" t="s">
        <v>139</v>
      </c>
      <c r="F236" s="78" t="str">
        <f>VLOOKUP('표1'!$E236,구분!$C$3:$D$72,2,0)</f>
        <v>동일</v>
      </c>
      <c r="G236" s="81">
        <v>32431530</v>
      </c>
      <c r="H236" s="81">
        <v>20544467</v>
      </c>
      <c r="I236" s="81">
        <v>18676788</v>
      </c>
      <c r="J236" s="81">
        <v>8326367</v>
      </c>
      <c r="K236" s="81">
        <v>10350421</v>
      </c>
      <c r="L236" s="81">
        <v>4732350</v>
      </c>
      <c r="M236" s="81">
        <v>5618071</v>
      </c>
      <c r="N236" s="82">
        <v>0.173228675921241</v>
      </c>
    </row>
    <row r="237" spans="1:14" ht="14.25" hidden="1" customHeight="1">
      <c r="A237" s="78">
        <v>2025</v>
      </c>
      <c r="B237" s="78">
        <v>4</v>
      </c>
      <c r="C237" s="79">
        <v>45748</v>
      </c>
      <c r="D237" s="78" t="s">
        <v>140</v>
      </c>
      <c r="E237" s="80" t="s">
        <v>141</v>
      </c>
      <c r="F237" s="78" t="str">
        <f>VLOOKUP('표1'!$E237,구분!$C$3:$D$72,2,0)</f>
        <v>동일</v>
      </c>
      <c r="G237" s="81">
        <v>75675590</v>
      </c>
      <c r="H237" s="81">
        <v>48252161</v>
      </c>
      <c r="I237" s="81">
        <v>43865601</v>
      </c>
      <c r="J237" s="81">
        <v>21995422</v>
      </c>
      <c r="K237" s="81">
        <v>21870179</v>
      </c>
      <c r="L237" s="81">
        <v>8505990</v>
      </c>
      <c r="M237" s="81">
        <v>13364189</v>
      </c>
      <c r="N237" s="82">
        <v>0.17659841172034499</v>
      </c>
    </row>
    <row r="238" spans="1:14" ht="14.25" hidden="1" customHeight="1">
      <c r="A238" s="78">
        <v>2025</v>
      </c>
      <c r="B238" s="78">
        <v>4</v>
      </c>
      <c r="C238" s="79">
        <v>45748</v>
      </c>
      <c r="D238" s="78" t="s">
        <v>142</v>
      </c>
      <c r="E238" s="80" t="s">
        <v>143</v>
      </c>
      <c r="F238" s="78" t="str">
        <f>VLOOKUP('표1'!$E238,구분!$C$3:$D$72,2,0)</f>
        <v>동일</v>
      </c>
      <c r="G238" s="81">
        <v>54798930</v>
      </c>
      <c r="H238" s="81">
        <v>35667590</v>
      </c>
      <c r="I238" s="81">
        <v>32425082</v>
      </c>
      <c r="J238" s="81">
        <v>15896479</v>
      </c>
      <c r="K238" s="81">
        <v>16528603</v>
      </c>
      <c r="L238" s="81">
        <v>6885740</v>
      </c>
      <c r="M238" s="81">
        <v>9642863</v>
      </c>
      <c r="N238" s="82">
        <v>0.17596808915794501</v>
      </c>
    </row>
    <row r="239" spans="1:14" ht="14.25" hidden="1" customHeight="1">
      <c r="A239" s="78">
        <v>2025</v>
      </c>
      <c r="B239" s="78">
        <v>4</v>
      </c>
      <c r="C239" s="79">
        <v>45748</v>
      </c>
      <c r="D239" s="78" t="s">
        <v>144</v>
      </c>
      <c r="E239" s="80" t="s">
        <v>145</v>
      </c>
      <c r="F239" s="78" t="str">
        <f>VLOOKUP('표1'!$E239,구분!$C$3:$D$72,2,0)</f>
        <v>동일</v>
      </c>
      <c r="G239" s="81">
        <v>41499570</v>
      </c>
      <c r="H239" s="81">
        <v>26415083</v>
      </c>
      <c r="I239" s="81">
        <v>24013712</v>
      </c>
      <c r="J239" s="81">
        <v>12248780</v>
      </c>
      <c r="K239" s="81">
        <v>11764932</v>
      </c>
      <c r="L239" s="81">
        <v>5907720</v>
      </c>
      <c r="M239" s="81">
        <v>5857212</v>
      </c>
      <c r="N239" s="82">
        <v>0.141139100959359</v>
      </c>
    </row>
    <row r="240" spans="1:14" ht="14.25" hidden="1" customHeight="1">
      <c r="A240" s="78">
        <v>2025</v>
      </c>
      <c r="B240" s="78">
        <v>4</v>
      </c>
      <c r="C240" s="79">
        <v>45748</v>
      </c>
      <c r="D240" s="78" t="s">
        <v>146</v>
      </c>
      <c r="E240" s="80" t="s">
        <v>147</v>
      </c>
      <c r="F240" s="78" t="str">
        <f>VLOOKUP('표1'!$E240,구분!$C$3:$D$72,2,0)</f>
        <v>동일</v>
      </c>
      <c r="G240" s="81">
        <v>94348130</v>
      </c>
      <c r="H240" s="81">
        <v>59358738</v>
      </c>
      <c r="I240" s="81">
        <v>53962489</v>
      </c>
      <c r="J240" s="81">
        <v>28233476</v>
      </c>
      <c r="K240" s="81">
        <v>25729013</v>
      </c>
      <c r="L240" s="81">
        <v>10845414</v>
      </c>
      <c r="M240" s="81">
        <v>14883599</v>
      </c>
      <c r="N240" s="82">
        <v>0.157751923647029</v>
      </c>
    </row>
    <row r="241" spans="1:14" ht="14.25" hidden="1" customHeight="1">
      <c r="A241" s="78">
        <v>2025</v>
      </c>
      <c r="B241" s="78">
        <v>4</v>
      </c>
      <c r="C241" s="79">
        <v>45748</v>
      </c>
      <c r="D241" s="78" t="s">
        <v>148</v>
      </c>
      <c r="E241" s="80" t="s">
        <v>149</v>
      </c>
      <c r="F241" s="78" t="str">
        <f>VLOOKUP('표1'!$E241,구분!$C$3:$D$72,2,0)</f>
        <v>동일</v>
      </c>
      <c r="G241" s="81">
        <v>53384121</v>
      </c>
      <c r="H241" s="81">
        <v>34566975</v>
      </c>
      <c r="I241" s="81">
        <v>31424523</v>
      </c>
      <c r="J241" s="81">
        <v>15504579</v>
      </c>
      <c r="K241" s="81">
        <v>15919944</v>
      </c>
      <c r="L241" s="81">
        <v>5841591</v>
      </c>
      <c r="M241" s="81">
        <v>10078353</v>
      </c>
      <c r="N241" s="82">
        <v>0.188789340560651</v>
      </c>
    </row>
    <row r="242" spans="1:14" ht="14.25" hidden="1" customHeight="1">
      <c r="A242" s="78">
        <v>2025</v>
      </c>
      <c r="B242" s="78">
        <v>4</v>
      </c>
      <c r="C242" s="79">
        <v>45748</v>
      </c>
      <c r="D242" s="78" t="s">
        <v>150</v>
      </c>
      <c r="E242" s="80" t="s">
        <v>151</v>
      </c>
      <c r="F242" s="78" t="str">
        <f>VLOOKUP('표1'!$E242,구분!$C$3:$D$72,2,0)</f>
        <v>동일</v>
      </c>
      <c r="G242" s="81">
        <v>30997670</v>
      </c>
      <c r="H242" s="81">
        <v>19680525</v>
      </c>
      <c r="I242" s="81">
        <v>17891386</v>
      </c>
      <c r="J242" s="81">
        <v>8888139</v>
      </c>
      <c r="K242" s="81">
        <v>9003247</v>
      </c>
      <c r="L242" s="81">
        <v>5917770</v>
      </c>
      <c r="M242" s="81">
        <v>3085477</v>
      </c>
      <c r="N242" s="82">
        <v>9.9538997608529897E-2</v>
      </c>
    </row>
    <row r="243" spans="1:14" ht="15" hidden="1" customHeight="1">
      <c r="A243" s="78">
        <v>2025</v>
      </c>
      <c r="B243" s="78">
        <v>4</v>
      </c>
      <c r="C243" s="79">
        <v>45748</v>
      </c>
      <c r="D243" s="78" t="s">
        <v>152</v>
      </c>
      <c r="E243" s="78" t="s">
        <v>153</v>
      </c>
      <c r="F243" s="78" t="str">
        <f>VLOOKUP('표1'!$E243,구분!$C$3:$D$72,2,0)</f>
        <v>동일</v>
      </c>
      <c r="G243" s="81">
        <v>35794280</v>
      </c>
      <c r="H243" s="81">
        <v>22296250</v>
      </c>
      <c r="I243" s="81">
        <v>20269318</v>
      </c>
      <c r="J243" s="81">
        <v>10013052</v>
      </c>
      <c r="K243" s="81">
        <v>10256266</v>
      </c>
      <c r="L243" s="81">
        <v>6827320</v>
      </c>
      <c r="M243" s="81">
        <v>3428946</v>
      </c>
      <c r="N243" s="82">
        <v>9.5795920465504503E-2</v>
      </c>
    </row>
    <row r="244" spans="1:14" ht="14.25" hidden="1" customHeight="1">
      <c r="A244" s="78">
        <v>2025</v>
      </c>
      <c r="B244" s="78">
        <v>4</v>
      </c>
      <c r="C244" s="79">
        <v>45748</v>
      </c>
      <c r="D244" s="78" t="s">
        <v>154</v>
      </c>
      <c r="E244" s="80" t="s">
        <v>155</v>
      </c>
      <c r="F244" s="78" t="str">
        <f>VLOOKUP('표1'!$E244,구분!$C$3:$D$72,2,0)</f>
        <v>동일</v>
      </c>
      <c r="G244" s="81">
        <v>79152010</v>
      </c>
      <c r="H244" s="81">
        <v>50286964</v>
      </c>
      <c r="I244" s="81">
        <v>45715422</v>
      </c>
      <c r="J244" s="81">
        <v>23347284</v>
      </c>
      <c r="K244" s="81">
        <v>22368138</v>
      </c>
      <c r="L244" s="81">
        <v>12442910</v>
      </c>
      <c r="M244" s="81">
        <v>9925228</v>
      </c>
      <c r="N244" s="82">
        <v>0.12539451619737799</v>
      </c>
    </row>
    <row r="245" spans="1:14" ht="14.25" hidden="1" customHeight="1">
      <c r="A245" s="78">
        <v>2025</v>
      </c>
      <c r="B245" s="78">
        <v>4</v>
      </c>
      <c r="C245" s="79">
        <v>45748</v>
      </c>
      <c r="D245" s="78" t="s">
        <v>156</v>
      </c>
      <c r="E245" s="80" t="s">
        <v>157</v>
      </c>
      <c r="F245" s="78" t="str">
        <f>VLOOKUP('표1'!$E245,구분!$C$3:$D$72,2,0)</f>
        <v>동일</v>
      </c>
      <c r="G245" s="81">
        <v>124504950</v>
      </c>
      <c r="H245" s="81">
        <v>95246428</v>
      </c>
      <c r="I245" s="81">
        <v>86587662</v>
      </c>
      <c r="J245" s="81">
        <v>43700362</v>
      </c>
      <c r="K245" s="81">
        <v>42887300</v>
      </c>
      <c r="L245" s="81">
        <v>16759000</v>
      </c>
      <c r="M245" s="81">
        <v>26128300</v>
      </c>
      <c r="N245" s="82">
        <v>0.209857519721103</v>
      </c>
    </row>
    <row r="246" spans="1:14" ht="14.25" hidden="1" customHeight="1">
      <c r="A246" s="78">
        <v>2025</v>
      </c>
      <c r="B246" s="78">
        <v>4</v>
      </c>
      <c r="C246" s="79">
        <v>45748</v>
      </c>
      <c r="D246" s="78" t="s">
        <v>158</v>
      </c>
      <c r="E246" s="80" t="s">
        <v>159</v>
      </c>
      <c r="F246" s="78" t="str">
        <f>VLOOKUP('표1'!$E246,구분!$C$3:$D$72,2,0)</f>
        <v>동일</v>
      </c>
      <c r="G246" s="81">
        <v>42789200</v>
      </c>
      <c r="H246" s="81">
        <v>32947711</v>
      </c>
      <c r="I246" s="81">
        <v>29952465</v>
      </c>
      <c r="J246" s="81">
        <v>14014041</v>
      </c>
      <c r="K246" s="81">
        <v>15938424</v>
      </c>
      <c r="L246" s="81">
        <v>6810360</v>
      </c>
      <c r="M246" s="81">
        <v>9128064</v>
      </c>
      <c r="N246" s="82">
        <v>0.21332635337889</v>
      </c>
    </row>
    <row r="247" spans="1:14" ht="14.25" hidden="1" customHeight="1">
      <c r="A247" s="78">
        <v>2025</v>
      </c>
      <c r="B247" s="78">
        <v>4</v>
      </c>
      <c r="C247" s="79">
        <v>45748</v>
      </c>
      <c r="D247" s="78" t="s">
        <v>160</v>
      </c>
      <c r="E247" s="80" t="s">
        <v>161</v>
      </c>
      <c r="F247" s="78" t="str">
        <f>VLOOKUP('표1'!$E247,구분!$C$3:$D$72,2,0)</f>
        <v>동일</v>
      </c>
      <c r="G247" s="81">
        <v>47691110</v>
      </c>
      <c r="H247" s="81">
        <v>36483738</v>
      </c>
      <c r="I247" s="81">
        <v>33167035</v>
      </c>
      <c r="J247" s="81">
        <v>15704432</v>
      </c>
      <c r="K247" s="81">
        <v>17462603</v>
      </c>
      <c r="L247" s="81">
        <v>7789970</v>
      </c>
      <c r="M247" s="81">
        <v>9672633</v>
      </c>
      <c r="N247" s="82">
        <v>0.202818365938641</v>
      </c>
    </row>
    <row r="248" spans="1:14" ht="14.25" hidden="1" customHeight="1">
      <c r="A248" s="78">
        <v>2025</v>
      </c>
      <c r="B248" s="78">
        <v>4</v>
      </c>
      <c r="C248" s="79">
        <v>45748</v>
      </c>
      <c r="D248" s="78" t="s">
        <v>162</v>
      </c>
      <c r="E248" s="80" t="s">
        <v>163</v>
      </c>
      <c r="F248" s="78" t="str">
        <f>VLOOKUP('표1'!$E248,구분!$C$3:$D$72,2,0)</f>
        <v>동일</v>
      </c>
      <c r="G248" s="81">
        <v>28251350</v>
      </c>
      <c r="H248" s="81">
        <v>21753543</v>
      </c>
      <c r="I248" s="81">
        <v>19775948</v>
      </c>
      <c r="J248" s="81">
        <v>11054285</v>
      </c>
      <c r="K248" s="81">
        <v>8721663</v>
      </c>
      <c r="L248" s="81">
        <v>4689330</v>
      </c>
      <c r="M248" s="81">
        <v>4032333</v>
      </c>
      <c r="N248" s="82">
        <v>0.14273063057163601</v>
      </c>
    </row>
    <row r="249" spans="1:14" ht="14.25" hidden="1" customHeight="1">
      <c r="A249" s="78">
        <v>2025</v>
      </c>
      <c r="B249" s="78">
        <v>4</v>
      </c>
      <c r="C249" s="79">
        <v>45748</v>
      </c>
      <c r="D249" s="78" t="s">
        <v>164</v>
      </c>
      <c r="E249" s="80" t="s">
        <v>165</v>
      </c>
      <c r="F249" s="78" t="str">
        <f>VLOOKUP('표1'!$E249,구분!$C$3:$D$72,2,0)</f>
        <v>동일</v>
      </c>
      <c r="G249" s="81">
        <v>44497170</v>
      </c>
      <c r="H249" s="81">
        <v>34262849</v>
      </c>
      <c r="I249" s="81">
        <v>31148045</v>
      </c>
      <c r="J249" s="81">
        <v>14360228</v>
      </c>
      <c r="K249" s="81">
        <v>16787817</v>
      </c>
      <c r="L249" s="81">
        <v>7600650</v>
      </c>
      <c r="M249" s="81">
        <v>9187167</v>
      </c>
      <c r="N249" s="82">
        <v>0.206466321341335</v>
      </c>
    </row>
    <row r="250" spans="1:14" ht="14.25" hidden="1" customHeight="1">
      <c r="A250" s="78">
        <v>2025</v>
      </c>
      <c r="B250" s="78">
        <v>4</v>
      </c>
      <c r="C250" s="79">
        <v>45748</v>
      </c>
      <c r="D250" s="78" t="s">
        <v>166</v>
      </c>
      <c r="E250" s="80" t="s">
        <v>167</v>
      </c>
      <c r="F250" s="78" t="str">
        <f>VLOOKUP('표1'!$E250,구분!$C$3:$D$72,2,0)</f>
        <v>동일</v>
      </c>
      <c r="G250" s="81">
        <v>29203850</v>
      </c>
      <c r="H250" s="81">
        <v>22486985</v>
      </c>
      <c r="I250" s="81">
        <v>20442714</v>
      </c>
      <c r="J250" s="81">
        <v>9640516</v>
      </c>
      <c r="K250" s="81">
        <v>10802198</v>
      </c>
      <c r="L250" s="81">
        <v>5217670</v>
      </c>
      <c r="M250" s="81">
        <v>5584528</v>
      </c>
      <c r="N250" s="82">
        <v>0.19122574592048699</v>
      </c>
    </row>
    <row r="251" spans="1:14" ht="14.25" hidden="1" customHeight="1">
      <c r="A251" s="78">
        <v>2025</v>
      </c>
      <c r="B251" s="78">
        <v>4</v>
      </c>
      <c r="C251" s="79">
        <v>45748</v>
      </c>
      <c r="D251" s="78" t="s">
        <v>168</v>
      </c>
      <c r="E251" s="80" t="s">
        <v>169</v>
      </c>
      <c r="F251" s="78" t="str">
        <f>VLOOKUP('표1'!$E251,구분!$C$3:$D$72,2,0)</f>
        <v>동일</v>
      </c>
      <c r="G251" s="81">
        <v>38783850</v>
      </c>
      <c r="H251" s="81">
        <v>29863578</v>
      </c>
      <c r="I251" s="81">
        <v>27148707</v>
      </c>
      <c r="J251" s="81">
        <v>12104001</v>
      </c>
      <c r="K251" s="81">
        <v>15044706</v>
      </c>
      <c r="L251" s="81">
        <v>6029410</v>
      </c>
      <c r="M251" s="81">
        <v>9015296</v>
      </c>
      <c r="N251" s="82">
        <v>0.23244974390113399</v>
      </c>
    </row>
    <row r="252" spans="1:14" ht="15" hidden="1" customHeight="1">
      <c r="A252" s="78">
        <v>2025</v>
      </c>
      <c r="B252" s="78">
        <v>4</v>
      </c>
      <c r="C252" s="79">
        <v>45748</v>
      </c>
      <c r="D252" s="78" t="s">
        <v>172</v>
      </c>
      <c r="E252" s="78" t="s">
        <v>173</v>
      </c>
      <c r="F252" s="78" t="str">
        <f>VLOOKUP('표1'!$E252,구분!$C$3:$D$72,2,0)</f>
        <v>동일</v>
      </c>
      <c r="G252" s="81">
        <v>53903120</v>
      </c>
      <c r="H252" s="81">
        <v>42583486</v>
      </c>
      <c r="I252" s="81">
        <v>38712260</v>
      </c>
      <c r="J252" s="81">
        <v>19932305</v>
      </c>
      <c r="K252" s="81">
        <v>18779955</v>
      </c>
      <c r="L252" s="81">
        <v>9405970</v>
      </c>
      <c r="M252" s="81">
        <v>9373985</v>
      </c>
      <c r="N252" s="82">
        <v>0.173904312032402</v>
      </c>
    </row>
    <row r="253" spans="1:14" ht="14.25" hidden="1" customHeight="1">
      <c r="A253" s="78">
        <v>2025</v>
      </c>
      <c r="B253" s="78">
        <v>4</v>
      </c>
      <c r="C253" s="79">
        <v>45748</v>
      </c>
      <c r="D253" s="78" t="s">
        <v>174</v>
      </c>
      <c r="E253" s="80" t="s">
        <v>175</v>
      </c>
      <c r="F253" s="78" t="str">
        <f>VLOOKUP('표1'!$E253,구분!$C$3:$D$72,2,0)</f>
        <v>동일</v>
      </c>
      <c r="G253" s="81">
        <v>17520770</v>
      </c>
      <c r="H253" s="81">
        <v>14717448</v>
      </c>
      <c r="I253" s="81">
        <v>13379498</v>
      </c>
      <c r="J253" s="81">
        <v>6687066</v>
      </c>
      <c r="K253" s="81">
        <v>6692432</v>
      </c>
      <c r="L253" s="81">
        <v>4786570</v>
      </c>
      <c r="M253" s="81">
        <v>1905862</v>
      </c>
      <c r="N253" s="82">
        <v>0.108777296888208</v>
      </c>
    </row>
    <row r="254" spans="1:14" ht="14.25" hidden="1" customHeight="1">
      <c r="A254" s="78">
        <v>2025</v>
      </c>
      <c r="B254" s="78">
        <v>4</v>
      </c>
      <c r="C254" s="79">
        <v>45748</v>
      </c>
      <c r="D254" s="78" t="s">
        <v>176</v>
      </c>
      <c r="E254" s="80" t="s">
        <v>177</v>
      </c>
      <c r="F254" s="78" t="str">
        <f>VLOOKUP('표1'!$E254,구분!$C$3:$D$72,2,0)</f>
        <v>동일</v>
      </c>
      <c r="G254" s="81">
        <v>83208260</v>
      </c>
      <c r="H254" s="81">
        <v>64070378</v>
      </c>
      <c r="I254" s="81">
        <v>58245798</v>
      </c>
      <c r="J254" s="81">
        <v>26638925</v>
      </c>
      <c r="K254" s="81">
        <v>31606873</v>
      </c>
      <c r="L254" s="81">
        <v>14116910</v>
      </c>
      <c r="M254" s="81">
        <v>17489963</v>
      </c>
      <c r="N254" s="82">
        <v>0.21019503352191199</v>
      </c>
    </row>
    <row r="255" spans="1:14" ht="14.25" hidden="1" customHeight="1">
      <c r="A255" s="78">
        <v>2025</v>
      </c>
      <c r="B255" s="78">
        <v>4</v>
      </c>
      <c r="C255" s="79">
        <v>45748</v>
      </c>
      <c r="D255" s="78" t="s">
        <v>178</v>
      </c>
      <c r="E255" s="80" t="s">
        <v>179</v>
      </c>
      <c r="F255" s="78" t="str">
        <f>VLOOKUP('표1'!$E255,구분!$C$3:$D$72,2,0)</f>
        <v>동일</v>
      </c>
      <c r="G255" s="81">
        <v>96182390</v>
      </c>
      <c r="H255" s="81">
        <v>74060482</v>
      </c>
      <c r="I255" s="81">
        <v>67327711</v>
      </c>
      <c r="J255" s="81">
        <v>29872150</v>
      </c>
      <c r="K255" s="81">
        <v>37455561</v>
      </c>
      <c r="L255" s="81">
        <v>12504550</v>
      </c>
      <c r="M255" s="81">
        <v>24951011</v>
      </c>
      <c r="N255" s="82">
        <v>0.25941350594427898</v>
      </c>
    </row>
    <row r="256" spans="1:14" ht="14.25" hidden="1" customHeight="1">
      <c r="A256" s="73">
        <v>2025</v>
      </c>
      <c r="B256" s="73">
        <v>5</v>
      </c>
      <c r="C256" s="74">
        <v>45778</v>
      </c>
      <c r="D256" s="73" t="s">
        <v>54</v>
      </c>
      <c r="E256" s="75" t="s">
        <v>55</v>
      </c>
      <c r="F256" s="73" t="str">
        <f>VLOOKUP('표1'!$E256,구분!$C$3:$D$72,2,0)</f>
        <v>동일</v>
      </c>
      <c r="G256" s="76">
        <v>63247500</v>
      </c>
      <c r="H256" s="76">
        <v>40476200</v>
      </c>
      <c r="I256" s="76">
        <v>36796545</v>
      </c>
      <c r="J256" s="76">
        <v>18631932</v>
      </c>
      <c r="K256" s="76">
        <v>18164613</v>
      </c>
      <c r="L256" s="76">
        <v>6690210</v>
      </c>
      <c r="M256" s="76">
        <v>11474403</v>
      </c>
      <c r="N256" s="77">
        <v>0.181420656942962</v>
      </c>
    </row>
    <row r="257" spans="1:14" ht="14.25" hidden="1" customHeight="1">
      <c r="A257" s="78">
        <v>2025</v>
      </c>
      <c r="B257" s="78">
        <v>5</v>
      </c>
      <c r="C257" s="79">
        <v>45778</v>
      </c>
      <c r="D257" s="78" t="s">
        <v>56</v>
      </c>
      <c r="E257" s="80" t="s">
        <v>57</v>
      </c>
      <c r="F257" s="78" t="str">
        <f>VLOOKUP('표1'!$E257,구분!$C$3:$D$72,2,0)</f>
        <v>동일</v>
      </c>
      <c r="G257" s="81">
        <v>28347300</v>
      </c>
      <c r="H257" s="81">
        <v>18425764</v>
      </c>
      <c r="I257" s="81">
        <v>16750695</v>
      </c>
      <c r="J257" s="81">
        <v>8737454</v>
      </c>
      <c r="K257" s="81">
        <v>8013241</v>
      </c>
      <c r="L257" s="81">
        <v>5326960</v>
      </c>
      <c r="M257" s="81">
        <v>2686281</v>
      </c>
      <c r="N257" s="82">
        <v>9.4763204961319097E-2</v>
      </c>
    </row>
    <row r="258" spans="1:14" ht="14.25" hidden="1" customHeight="1">
      <c r="A258" s="78">
        <v>2025</v>
      </c>
      <c r="B258" s="78">
        <v>5</v>
      </c>
      <c r="C258" s="79">
        <v>45778</v>
      </c>
      <c r="D258" s="78" t="s">
        <v>58</v>
      </c>
      <c r="E258" s="80" t="s">
        <v>59</v>
      </c>
      <c r="F258" s="78" t="str">
        <f>VLOOKUP('표1'!$E258,구분!$C$3:$D$72,2,0)</f>
        <v>동일</v>
      </c>
      <c r="G258" s="81">
        <v>50358830</v>
      </c>
      <c r="H258" s="81">
        <v>32225193</v>
      </c>
      <c r="I258" s="81">
        <v>29295630</v>
      </c>
      <c r="J258" s="81">
        <v>14873227</v>
      </c>
      <c r="K258" s="81">
        <v>14422403</v>
      </c>
      <c r="L258" s="81">
        <v>6535060</v>
      </c>
      <c r="M258" s="81">
        <v>7887343</v>
      </c>
      <c r="N258" s="82">
        <v>0.156622840522705</v>
      </c>
    </row>
    <row r="259" spans="1:14" ht="14.25" hidden="1" customHeight="1">
      <c r="A259" s="78">
        <v>2025</v>
      </c>
      <c r="B259" s="78">
        <v>5</v>
      </c>
      <c r="C259" s="79">
        <v>45778</v>
      </c>
      <c r="D259" s="78" t="s">
        <v>60</v>
      </c>
      <c r="E259" s="80" t="s">
        <v>61</v>
      </c>
      <c r="F259" s="78" t="str">
        <f>VLOOKUP('표1'!$E259,구분!$C$3:$D$72,2,0)</f>
        <v>동일</v>
      </c>
      <c r="G259" s="81">
        <v>39779970</v>
      </c>
      <c r="H259" s="81">
        <v>25458166</v>
      </c>
      <c r="I259" s="81">
        <v>23143787</v>
      </c>
      <c r="J259" s="81">
        <v>11271516</v>
      </c>
      <c r="K259" s="81">
        <v>11872271</v>
      </c>
      <c r="L259" s="81">
        <v>4940520</v>
      </c>
      <c r="M259" s="81">
        <v>6931751</v>
      </c>
      <c r="N259" s="82">
        <v>0.17425229330238301</v>
      </c>
    </row>
    <row r="260" spans="1:14" ht="14.25" hidden="1" customHeight="1">
      <c r="A260" s="78">
        <v>2025</v>
      </c>
      <c r="B260" s="78">
        <v>5</v>
      </c>
      <c r="C260" s="79">
        <v>45778</v>
      </c>
      <c r="D260" s="78" t="s">
        <v>62</v>
      </c>
      <c r="E260" s="80" t="s">
        <v>63</v>
      </c>
      <c r="F260" s="78" t="str">
        <f>VLOOKUP('표1'!$E260,구분!$C$3:$D$72,2,0)</f>
        <v>동일</v>
      </c>
      <c r="G260" s="81">
        <v>66528480</v>
      </c>
      <c r="H260" s="81">
        <v>42578225</v>
      </c>
      <c r="I260" s="81">
        <v>38707477</v>
      </c>
      <c r="J260" s="81">
        <v>20487402</v>
      </c>
      <c r="K260" s="81">
        <v>18220075</v>
      </c>
      <c r="L260" s="81">
        <v>9672820</v>
      </c>
      <c r="M260" s="81">
        <v>8547255</v>
      </c>
      <c r="N260" s="82">
        <v>0.12847512824582799</v>
      </c>
    </row>
    <row r="261" spans="1:14" ht="14.25" hidden="1" customHeight="1">
      <c r="A261" s="78">
        <v>2025</v>
      </c>
      <c r="B261" s="78">
        <v>5</v>
      </c>
      <c r="C261" s="79">
        <v>45778</v>
      </c>
      <c r="D261" s="78" t="s">
        <v>64</v>
      </c>
      <c r="E261" s="80" t="s">
        <v>65</v>
      </c>
      <c r="F261" s="78" t="str">
        <f>VLOOKUP('표1'!$E261,구분!$C$3:$D$72,2,0)</f>
        <v>동일</v>
      </c>
      <c r="G261" s="81">
        <v>32635190</v>
      </c>
      <c r="H261" s="81">
        <v>20886521</v>
      </c>
      <c r="I261" s="81">
        <v>18987746</v>
      </c>
      <c r="J261" s="81">
        <v>9922213</v>
      </c>
      <c r="K261" s="81">
        <v>9065533</v>
      </c>
      <c r="L261" s="81">
        <v>5374880</v>
      </c>
      <c r="M261" s="81">
        <v>3690653</v>
      </c>
      <c r="N261" s="82">
        <v>0.11308814197190201</v>
      </c>
    </row>
    <row r="262" spans="1:14" ht="14.25" hidden="1" customHeight="1">
      <c r="A262" s="78">
        <v>2025</v>
      </c>
      <c r="B262" s="78">
        <v>5</v>
      </c>
      <c r="C262" s="79">
        <v>45778</v>
      </c>
      <c r="D262" s="78" t="s">
        <v>66</v>
      </c>
      <c r="E262" s="80" t="s">
        <v>67</v>
      </c>
      <c r="F262" s="78" t="str">
        <f>VLOOKUP('표1'!$E262,구분!$C$3:$D$72,2,0)</f>
        <v>동일</v>
      </c>
      <c r="G262" s="81">
        <v>27641950</v>
      </c>
      <c r="H262" s="81">
        <v>17992016</v>
      </c>
      <c r="I262" s="81">
        <v>16356378</v>
      </c>
      <c r="J262" s="81">
        <v>10551801</v>
      </c>
      <c r="K262" s="81">
        <v>5804577</v>
      </c>
      <c r="L262" s="81">
        <v>6060710</v>
      </c>
      <c r="M262" s="81">
        <v>-256133</v>
      </c>
      <c r="N262" s="82">
        <v>-9.2660973628850406E-3</v>
      </c>
    </row>
    <row r="263" spans="1:14" ht="14.25" hidden="1" customHeight="1">
      <c r="A263" s="78">
        <v>2025</v>
      </c>
      <c r="B263" s="78">
        <v>5</v>
      </c>
      <c r="C263" s="79">
        <v>45778</v>
      </c>
      <c r="D263" s="78" t="s">
        <v>68</v>
      </c>
      <c r="E263" s="80" t="s">
        <v>69</v>
      </c>
      <c r="F263" s="78" t="str">
        <f>VLOOKUP('표1'!$E263,구분!$C$3:$D$72,2,0)</f>
        <v>동일</v>
      </c>
      <c r="G263" s="81">
        <v>64459740</v>
      </c>
      <c r="H263" s="81">
        <v>41246632</v>
      </c>
      <c r="I263" s="81">
        <v>37496938</v>
      </c>
      <c r="J263" s="81">
        <v>19552418</v>
      </c>
      <c r="K263" s="81">
        <v>17944520</v>
      </c>
      <c r="L263" s="81">
        <v>8654700</v>
      </c>
      <c r="M263" s="81">
        <v>9289820</v>
      </c>
      <c r="N263" s="82">
        <v>0.14411817360727799</v>
      </c>
    </row>
    <row r="264" spans="1:14" ht="14.25" hidden="1" customHeight="1">
      <c r="A264" s="78">
        <v>2025</v>
      </c>
      <c r="B264" s="78">
        <v>5</v>
      </c>
      <c r="C264" s="79">
        <v>45778</v>
      </c>
      <c r="D264" s="78" t="s">
        <v>70</v>
      </c>
      <c r="E264" s="80" t="s">
        <v>71</v>
      </c>
      <c r="F264" s="78" t="str">
        <f>VLOOKUP('표1'!$E264,구분!$C$3:$D$72,2,0)</f>
        <v>동일</v>
      </c>
      <c r="G264" s="81">
        <v>25730830</v>
      </c>
      <c r="H264" s="81">
        <v>16467740</v>
      </c>
      <c r="I264" s="81">
        <v>14970673</v>
      </c>
      <c r="J264" s="81">
        <v>7414475</v>
      </c>
      <c r="K264" s="81">
        <v>7556198</v>
      </c>
      <c r="L264" s="81">
        <v>5339180</v>
      </c>
      <c r="M264" s="81">
        <v>2217018</v>
      </c>
      <c r="N264" s="82">
        <v>8.6161931037591899E-2</v>
      </c>
    </row>
    <row r="265" spans="1:14" ht="14.25" hidden="1" customHeight="1">
      <c r="A265" s="78">
        <v>2025</v>
      </c>
      <c r="B265" s="78">
        <v>5</v>
      </c>
      <c r="C265" s="79">
        <v>45778</v>
      </c>
      <c r="D265" s="78" t="s">
        <v>72</v>
      </c>
      <c r="E265" s="80" t="s">
        <v>73</v>
      </c>
      <c r="F265" s="78" t="str">
        <f>VLOOKUP('표1'!$E265,구분!$C$3:$D$72,2,0)</f>
        <v>동일</v>
      </c>
      <c r="G265" s="81">
        <v>24860060</v>
      </c>
      <c r="H265" s="81">
        <v>16159059</v>
      </c>
      <c r="I265" s="81">
        <v>14690054</v>
      </c>
      <c r="J265" s="81">
        <v>8908354</v>
      </c>
      <c r="K265" s="81">
        <v>5781700</v>
      </c>
      <c r="L265" s="81">
        <v>4670780</v>
      </c>
      <c r="M265" s="81">
        <v>1110920</v>
      </c>
      <c r="N265" s="82">
        <v>4.4686939613178697E-2</v>
      </c>
    </row>
    <row r="266" spans="1:14" ht="14.25" hidden="1" customHeight="1">
      <c r="A266" s="78">
        <v>2025</v>
      </c>
      <c r="B266" s="78">
        <v>5</v>
      </c>
      <c r="C266" s="79">
        <v>45778</v>
      </c>
      <c r="D266" s="78" t="s">
        <v>74</v>
      </c>
      <c r="E266" s="80" t="s">
        <v>75</v>
      </c>
      <c r="F266" s="78" t="str">
        <f>VLOOKUP('표1'!$E266,구분!$C$3:$D$72,2,0)</f>
        <v>동일</v>
      </c>
      <c r="G266" s="81">
        <v>35185850</v>
      </c>
      <c r="H266" s="81">
        <v>22502472</v>
      </c>
      <c r="I266" s="81">
        <v>20456793</v>
      </c>
      <c r="J266" s="81">
        <v>10694613</v>
      </c>
      <c r="K266" s="81">
        <v>9762180</v>
      </c>
      <c r="L266" s="81">
        <v>6111610</v>
      </c>
      <c r="M266" s="81">
        <v>3650570</v>
      </c>
      <c r="N266" s="82">
        <v>0.103751081755876</v>
      </c>
    </row>
    <row r="267" spans="1:14" ht="14.25" hidden="1" customHeight="1">
      <c r="A267" s="78">
        <v>2025</v>
      </c>
      <c r="B267" s="78">
        <v>5</v>
      </c>
      <c r="C267" s="79">
        <v>45778</v>
      </c>
      <c r="D267" s="78" t="s">
        <v>76</v>
      </c>
      <c r="E267" s="80" t="s">
        <v>77</v>
      </c>
      <c r="F267" s="78" t="str">
        <f>VLOOKUP('표1'!$E267,구분!$C$3:$D$72,2,0)</f>
        <v>동일</v>
      </c>
      <c r="G267" s="81">
        <v>36369300</v>
      </c>
      <c r="H267" s="81">
        <v>23270481</v>
      </c>
      <c r="I267" s="81">
        <v>21154983</v>
      </c>
      <c r="J267" s="81">
        <v>11495161</v>
      </c>
      <c r="K267" s="81">
        <v>9659822</v>
      </c>
      <c r="L267" s="81">
        <v>5878010</v>
      </c>
      <c r="M267" s="81">
        <v>3781812</v>
      </c>
      <c r="N267" s="82">
        <v>0.103983634548919</v>
      </c>
    </row>
    <row r="268" spans="1:14" ht="14.25" hidden="1" customHeight="1">
      <c r="A268" s="78">
        <v>2025</v>
      </c>
      <c r="B268" s="78">
        <v>5</v>
      </c>
      <c r="C268" s="79">
        <v>45778</v>
      </c>
      <c r="D268" s="78" t="s">
        <v>78</v>
      </c>
      <c r="E268" s="80" t="s">
        <v>79</v>
      </c>
      <c r="F268" s="78" t="str">
        <f>VLOOKUP('표1'!$E268,구분!$C$3:$D$72,2,0)</f>
        <v>동일</v>
      </c>
      <c r="G268" s="81">
        <v>101004360</v>
      </c>
      <c r="H268" s="81">
        <v>64642784</v>
      </c>
      <c r="I268" s="81">
        <v>58766167</v>
      </c>
      <c r="J268" s="81">
        <v>28652088</v>
      </c>
      <c r="K268" s="81">
        <v>30114079</v>
      </c>
      <c r="L268" s="81">
        <v>8104970</v>
      </c>
      <c r="M268" s="81">
        <v>22009109</v>
      </c>
      <c r="N268" s="82">
        <v>0.21790256381011699</v>
      </c>
    </row>
    <row r="269" spans="1:14" ht="14.25" hidden="1" customHeight="1">
      <c r="A269" s="78">
        <v>2025</v>
      </c>
      <c r="B269" s="78">
        <v>5</v>
      </c>
      <c r="C269" s="79">
        <v>45778</v>
      </c>
      <c r="D269" s="78" t="s">
        <v>80</v>
      </c>
      <c r="E269" s="80" t="s">
        <v>81</v>
      </c>
      <c r="F269" s="78" t="str">
        <f>VLOOKUP('표1'!$E269,구분!$C$3:$D$72,2,0)</f>
        <v>동일</v>
      </c>
      <c r="G269" s="81">
        <v>62783580</v>
      </c>
      <c r="H269" s="81">
        <v>40165595</v>
      </c>
      <c r="I269" s="81">
        <v>36514177</v>
      </c>
      <c r="J269" s="81">
        <v>20085727</v>
      </c>
      <c r="K269" s="81">
        <v>16428450</v>
      </c>
      <c r="L269" s="81">
        <v>7788000</v>
      </c>
      <c r="M269" s="81">
        <v>8640450</v>
      </c>
      <c r="N269" s="82">
        <v>0.13762276697187401</v>
      </c>
    </row>
    <row r="270" spans="1:14" ht="14.25" hidden="1" customHeight="1">
      <c r="A270" s="78">
        <v>2025</v>
      </c>
      <c r="B270" s="78">
        <v>5</v>
      </c>
      <c r="C270" s="79">
        <v>45778</v>
      </c>
      <c r="D270" s="78" t="s">
        <v>82</v>
      </c>
      <c r="E270" s="80" t="s">
        <v>83</v>
      </c>
      <c r="F270" s="78" t="str">
        <f>VLOOKUP('표1'!$E270,구분!$C$3:$D$72,2,0)</f>
        <v>동일</v>
      </c>
      <c r="G270" s="81">
        <v>34977600</v>
      </c>
      <c r="H270" s="81">
        <v>23085217</v>
      </c>
      <c r="I270" s="81">
        <v>20986561</v>
      </c>
      <c r="J270" s="81">
        <v>10001481</v>
      </c>
      <c r="K270" s="81">
        <v>10985080</v>
      </c>
      <c r="L270" s="81">
        <v>5342630</v>
      </c>
      <c r="M270" s="81">
        <v>5642450</v>
      </c>
      <c r="N270" s="82">
        <v>0.16131609944650299</v>
      </c>
    </row>
    <row r="271" spans="1:14" ht="14.25" hidden="1" customHeight="1">
      <c r="A271" s="78">
        <v>2025</v>
      </c>
      <c r="B271" s="78">
        <v>5</v>
      </c>
      <c r="C271" s="79">
        <v>45778</v>
      </c>
      <c r="D271" s="78" t="s">
        <v>84</v>
      </c>
      <c r="E271" s="80" t="s">
        <v>85</v>
      </c>
      <c r="F271" s="78" t="str">
        <f>VLOOKUP('표1'!$E271,구분!$C$3:$D$72,2,0)</f>
        <v>동일</v>
      </c>
      <c r="G271" s="81">
        <v>34423650</v>
      </c>
      <c r="H271" s="81">
        <v>22031136</v>
      </c>
      <c r="I271" s="81">
        <v>20028305</v>
      </c>
      <c r="J271" s="81">
        <v>10874429</v>
      </c>
      <c r="K271" s="81">
        <v>9153876</v>
      </c>
      <c r="L271" s="81">
        <v>5037770</v>
      </c>
      <c r="M271" s="81">
        <v>4116106</v>
      </c>
      <c r="N271" s="82">
        <v>0.11957203840963999</v>
      </c>
    </row>
    <row r="272" spans="1:14" ht="14.25" hidden="1" customHeight="1">
      <c r="A272" s="78">
        <v>2025</v>
      </c>
      <c r="B272" s="78">
        <v>5</v>
      </c>
      <c r="C272" s="79">
        <v>45778</v>
      </c>
      <c r="D272" s="78" t="s">
        <v>86</v>
      </c>
      <c r="E272" s="80" t="s">
        <v>87</v>
      </c>
      <c r="F272" s="78" t="str">
        <f>VLOOKUP('표1'!$E272,구분!$C$3:$D$72,2,0)</f>
        <v>동일</v>
      </c>
      <c r="G272" s="81">
        <v>41503950</v>
      </c>
      <c r="H272" s="81">
        <v>26562526</v>
      </c>
      <c r="I272" s="81">
        <v>24147751</v>
      </c>
      <c r="J272" s="81">
        <v>12852266</v>
      </c>
      <c r="K272" s="81">
        <v>11295485</v>
      </c>
      <c r="L272" s="81">
        <v>6712780</v>
      </c>
      <c r="M272" s="81">
        <v>4582705</v>
      </c>
      <c r="N272" s="82">
        <v>0.110416117020187</v>
      </c>
    </row>
    <row r="273" spans="1:14" ht="14.25" hidden="1" customHeight="1">
      <c r="A273" s="78">
        <v>2025</v>
      </c>
      <c r="B273" s="78">
        <v>5</v>
      </c>
      <c r="C273" s="79">
        <v>45778</v>
      </c>
      <c r="D273" s="78" t="s">
        <v>88</v>
      </c>
      <c r="E273" s="80" t="s">
        <v>89</v>
      </c>
      <c r="F273" s="78" t="str">
        <f>VLOOKUP('표1'!$E273,구분!$C$3:$D$72,2,0)</f>
        <v>동일</v>
      </c>
      <c r="G273" s="81">
        <v>44165350</v>
      </c>
      <c r="H273" s="81">
        <v>28265824</v>
      </c>
      <c r="I273" s="81">
        <v>25696204</v>
      </c>
      <c r="J273" s="81">
        <v>13626792</v>
      </c>
      <c r="K273" s="81">
        <v>12069412</v>
      </c>
      <c r="L273" s="81">
        <v>6077420</v>
      </c>
      <c r="M273" s="81">
        <v>5991992</v>
      </c>
      <c r="N273" s="82">
        <v>0.13567178795141399</v>
      </c>
    </row>
    <row r="274" spans="1:14" ht="14.25" hidden="1" customHeight="1">
      <c r="A274" s="78">
        <v>2025</v>
      </c>
      <c r="B274" s="78">
        <v>5</v>
      </c>
      <c r="C274" s="79">
        <v>45778</v>
      </c>
      <c r="D274" s="78" t="s">
        <v>90</v>
      </c>
      <c r="E274" s="80" t="s">
        <v>91</v>
      </c>
      <c r="F274" s="78" t="str">
        <f>VLOOKUP('표1'!$E274,구분!$C$3:$D$72,2,0)</f>
        <v>동일</v>
      </c>
      <c r="G274" s="81">
        <v>35200670</v>
      </c>
      <c r="H274" s="81">
        <v>22528430</v>
      </c>
      <c r="I274" s="81">
        <v>20480391</v>
      </c>
      <c r="J274" s="81">
        <v>10559846</v>
      </c>
      <c r="K274" s="81">
        <v>9920545</v>
      </c>
      <c r="L274" s="81">
        <v>5052730</v>
      </c>
      <c r="M274" s="81">
        <v>4867815</v>
      </c>
      <c r="N274" s="82">
        <v>0.138287566685521</v>
      </c>
    </row>
    <row r="275" spans="1:14" ht="14.25" hidden="1" customHeight="1">
      <c r="A275" s="78">
        <v>2025</v>
      </c>
      <c r="B275" s="78">
        <v>5</v>
      </c>
      <c r="C275" s="79">
        <v>45778</v>
      </c>
      <c r="D275" s="78" t="s">
        <v>92</v>
      </c>
      <c r="E275" s="80" t="s">
        <v>93</v>
      </c>
      <c r="F275" s="78" t="str">
        <f>VLOOKUP('표1'!$E275,구분!$C$3:$D$72,2,0)</f>
        <v>동일</v>
      </c>
      <c r="G275" s="81">
        <v>42165390</v>
      </c>
      <c r="H275" s="81">
        <v>26985850</v>
      </c>
      <c r="I275" s="81">
        <v>24532591</v>
      </c>
      <c r="J275" s="81">
        <v>11640769</v>
      </c>
      <c r="K275" s="81">
        <v>12891822</v>
      </c>
      <c r="L275" s="81">
        <v>6115980</v>
      </c>
      <c r="M275" s="81">
        <v>6775842</v>
      </c>
      <c r="N275" s="82">
        <v>0.16069677050301201</v>
      </c>
    </row>
    <row r="276" spans="1:14" ht="14.25" hidden="1" customHeight="1">
      <c r="A276" s="78">
        <v>2025</v>
      </c>
      <c r="B276" s="78">
        <v>5</v>
      </c>
      <c r="C276" s="79">
        <v>45778</v>
      </c>
      <c r="D276" s="78" t="s">
        <v>94</v>
      </c>
      <c r="E276" s="80" t="s">
        <v>95</v>
      </c>
      <c r="F276" s="78" t="str">
        <f>VLOOKUP('표1'!$E276,구분!$C$3:$D$72,2,0)</f>
        <v>폐점</v>
      </c>
      <c r="G276" s="81">
        <v>50026680</v>
      </c>
      <c r="H276" s="81">
        <v>32015105</v>
      </c>
      <c r="I276" s="81">
        <v>29104641</v>
      </c>
      <c r="J276" s="81">
        <v>16334719</v>
      </c>
      <c r="K276" s="81">
        <v>12769922</v>
      </c>
      <c r="L276" s="81">
        <v>6684360</v>
      </c>
      <c r="M276" s="81">
        <v>6085562</v>
      </c>
      <c r="N276" s="82">
        <v>0.121646329518569</v>
      </c>
    </row>
    <row r="277" spans="1:14" ht="14.25" hidden="1" customHeight="1">
      <c r="A277" s="78">
        <v>2025</v>
      </c>
      <c r="B277" s="78">
        <v>5</v>
      </c>
      <c r="C277" s="79">
        <v>45778</v>
      </c>
      <c r="D277" s="78" t="s">
        <v>96</v>
      </c>
      <c r="E277" s="80" t="s">
        <v>97</v>
      </c>
      <c r="F277" s="78" t="str">
        <f>VLOOKUP('표1'!$E277,구분!$C$3:$D$72,2,0)</f>
        <v>동일</v>
      </c>
      <c r="G277" s="81">
        <v>117971560</v>
      </c>
      <c r="H277" s="81">
        <v>75487451</v>
      </c>
      <c r="I277" s="81">
        <v>68624955</v>
      </c>
      <c r="J277" s="81">
        <v>33703796</v>
      </c>
      <c r="K277" s="81">
        <v>34921159</v>
      </c>
      <c r="L277" s="81">
        <v>11144320</v>
      </c>
      <c r="M277" s="81">
        <v>23776839</v>
      </c>
      <c r="N277" s="82">
        <v>0.20154721188734001</v>
      </c>
    </row>
    <row r="278" spans="1:14" ht="14.25" hidden="1" customHeight="1">
      <c r="A278" s="78">
        <v>2025</v>
      </c>
      <c r="B278" s="78">
        <v>5</v>
      </c>
      <c r="C278" s="79">
        <v>45778</v>
      </c>
      <c r="D278" s="78" t="s">
        <v>98</v>
      </c>
      <c r="E278" s="80" t="s">
        <v>99</v>
      </c>
      <c r="F278" s="78" t="str">
        <f>VLOOKUP('표1'!$E278,구분!$C$3:$D$72,2,0)</f>
        <v>동일</v>
      </c>
      <c r="G278" s="81">
        <v>57999990</v>
      </c>
      <c r="H278" s="81">
        <v>37119993</v>
      </c>
      <c r="I278" s="81">
        <v>33745448</v>
      </c>
      <c r="J278" s="81">
        <v>15932087</v>
      </c>
      <c r="K278" s="81">
        <v>17813361</v>
      </c>
      <c r="L278" s="81">
        <v>7480850</v>
      </c>
      <c r="M278" s="81">
        <v>10332511</v>
      </c>
      <c r="N278" s="82">
        <v>0.17814677209427099</v>
      </c>
    </row>
    <row r="279" spans="1:14" ht="14.25" hidden="1" customHeight="1">
      <c r="A279" s="78">
        <v>2025</v>
      </c>
      <c r="B279" s="78">
        <v>5</v>
      </c>
      <c r="C279" s="79">
        <v>45778</v>
      </c>
      <c r="D279" s="78" t="s">
        <v>100</v>
      </c>
      <c r="E279" s="80" t="s">
        <v>101</v>
      </c>
      <c r="F279" s="78" t="str">
        <f>VLOOKUP('표1'!$E279,구분!$C$3:$D$72,2,0)</f>
        <v>동일</v>
      </c>
      <c r="G279" s="81">
        <v>80394050</v>
      </c>
      <c r="H279" s="81">
        <v>51728109</v>
      </c>
      <c r="I279" s="81">
        <v>47025554</v>
      </c>
      <c r="J279" s="81">
        <v>23776950</v>
      </c>
      <c r="K279" s="81">
        <v>23248604</v>
      </c>
      <c r="L279" s="81">
        <v>11658190</v>
      </c>
      <c r="M279" s="81">
        <v>11590414</v>
      </c>
      <c r="N279" s="82">
        <v>0.14417004741022499</v>
      </c>
    </row>
    <row r="280" spans="1:14" ht="14.25" hidden="1" customHeight="1">
      <c r="A280" s="78">
        <v>2025</v>
      </c>
      <c r="B280" s="78">
        <v>5</v>
      </c>
      <c r="C280" s="79">
        <v>45778</v>
      </c>
      <c r="D280" s="78" t="s">
        <v>102</v>
      </c>
      <c r="E280" s="80" t="s">
        <v>103</v>
      </c>
      <c r="F280" s="78" t="str">
        <f>VLOOKUP('표1'!$E280,구분!$C$3:$D$72,2,0)</f>
        <v>동일</v>
      </c>
      <c r="G280" s="81">
        <v>86437610</v>
      </c>
      <c r="H280" s="81">
        <v>58648587</v>
      </c>
      <c r="I280" s="81">
        <v>53316897</v>
      </c>
      <c r="J280" s="81">
        <v>24065534</v>
      </c>
      <c r="K280" s="81">
        <v>29251363</v>
      </c>
      <c r="L280" s="81">
        <v>9701360</v>
      </c>
      <c r="M280" s="81">
        <v>19550003</v>
      </c>
      <c r="N280" s="82">
        <v>0.226174728801502</v>
      </c>
    </row>
    <row r="281" spans="1:14" ht="14.25" hidden="1" customHeight="1">
      <c r="A281" s="78">
        <v>2025</v>
      </c>
      <c r="B281" s="78">
        <v>5</v>
      </c>
      <c r="C281" s="79">
        <v>45778</v>
      </c>
      <c r="D281" s="78" t="s">
        <v>104</v>
      </c>
      <c r="E281" s="80" t="s">
        <v>105</v>
      </c>
      <c r="F281" s="78" t="str">
        <f>VLOOKUP('표1'!$E281,구분!$C$3:$D$72,2,0)</f>
        <v>동일</v>
      </c>
      <c r="G281" s="81">
        <v>32426830</v>
      </c>
      <c r="H281" s="81">
        <v>21465038</v>
      </c>
      <c r="I281" s="81">
        <v>19513671</v>
      </c>
      <c r="J281" s="81">
        <v>9204811</v>
      </c>
      <c r="K281" s="81">
        <v>10308860</v>
      </c>
      <c r="L281" s="81">
        <v>5358580</v>
      </c>
      <c r="M281" s="81">
        <v>4950280</v>
      </c>
      <c r="N281" s="82">
        <v>0.152660004076871</v>
      </c>
    </row>
    <row r="282" spans="1:14" ht="14.25" hidden="1" customHeight="1">
      <c r="A282" s="78">
        <v>2025</v>
      </c>
      <c r="B282" s="78">
        <v>5</v>
      </c>
      <c r="C282" s="79">
        <v>45778</v>
      </c>
      <c r="D282" s="78" t="s">
        <v>106</v>
      </c>
      <c r="E282" s="80" t="s">
        <v>107</v>
      </c>
      <c r="F282" s="78" t="str">
        <f>VLOOKUP('표1'!$E282,구분!$C$3:$D$72,2,0)</f>
        <v>폐점</v>
      </c>
      <c r="G282" s="81">
        <v>46041150</v>
      </c>
      <c r="H282" s="81">
        <v>28595487</v>
      </c>
      <c r="I282" s="81">
        <v>25995897</v>
      </c>
      <c r="J282" s="81">
        <v>12616295</v>
      </c>
      <c r="K282" s="81">
        <v>13379602</v>
      </c>
      <c r="L282" s="81">
        <v>6337650</v>
      </c>
      <c r="M282" s="81">
        <v>7041952</v>
      </c>
      <c r="N282" s="82">
        <v>0.15294909010743701</v>
      </c>
    </row>
    <row r="283" spans="1:14" ht="14.25" hidden="1" customHeight="1">
      <c r="A283" s="78">
        <v>2025</v>
      </c>
      <c r="B283" s="78">
        <v>5</v>
      </c>
      <c r="C283" s="79">
        <v>45778</v>
      </c>
      <c r="D283" s="78" t="s">
        <v>108</v>
      </c>
      <c r="E283" s="80" t="s">
        <v>109</v>
      </c>
      <c r="F283" s="78" t="str">
        <f>VLOOKUP('표1'!$E283,구분!$C$3:$D$72,2,0)</f>
        <v>동일</v>
      </c>
      <c r="G283" s="81">
        <v>41384350</v>
      </c>
      <c r="H283" s="81">
        <v>25662898</v>
      </c>
      <c r="I283" s="81">
        <v>23329907</v>
      </c>
      <c r="J283" s="81">
        <v>10588766</v>
      </c>
      <c r="K283" s="81">
        <v>12741141</v>
      </c>
      <c r="L283" s="81">
        <v>5967710</v>
      </c>
      <c r="M283" s="81">
        <v>6773431</v>
      </c>
      <c r="N283" s="82">
        <v>0.16367131536438301</v>
      </c>
    </row>
    <row r="284" spans="1:14" ht="14.25" hidden="1" customHeight="1">
      <c r="A284" s="78">
        <v>2025</v>
      </c>
      <c r="B284" s="78">
        <v>5</v>
      </c>
      <c r="C284" s="79">
        <v>45778</v>
      </c>
      <c r="D284" s="78" t="s">
        <v>110</v>
      </c>
      <c r="E284" s="80" t="s">
        <v>111</v>
      </c>
      <c r="F284" s="78" t="str">
        <f>VLOOKUP('표1'!$E284,구분!$C$3:$D$72,2,0)</f>
        <v>동일</v>
      </c>
      <c r="G284" s="81">
        <v>120767583</v>
      </c>
      <c r="H284" s="81">
        <v>77414906</v>
      </c>
      <c r="I284" s="81">
        <v>70377187</v>
      </c>
      <c r="J284" s="81">
        <v>38102148</v>
      </c>
      <c r="K284" s="81">
        <v>32275039</v>
      </c>
      <c r="L284" s="81">
        <v>16861600</v>
      </c>
      <c r="M284" s="81">
        <v>15413439</v>
      </c>
      <c r="N284" s="82">
        <v>0.127628943273627</v>
      </c>
    </row>
    <row r="285" spans="1:14" ht="14.25" hidden="1" customHeight="1">
      <c r="A285" s="78">
        <v>2025</v>
      </c>
      <c r="B285" s="78">
        <v>5</v>
      </c>
      <c r="C285" s="79">
        <v>45778</v>
      </c>
      <c r="D285" s="78" t="s">
        <v>112</v>
      </c>
      <c r="E285" s="80" t="s">
        <v>113</v>
      </c>
      <c r="F285" s="78" t="str">
        <f>VLOOKUP('표1'!$E285,구분!$C$3:$D$72,2,0)</f>
        <v>동일</v>
      </c>
      <c r="G285" s="81">
        <v>45744570</v>
      </c>
      <c r="H285" s="81">
        <v>31563754</v>
      </c>
      <c r="I285" s="81">
        <v>28694322</v>
      </c>
      <c r="J285" s="81">
        <v>12726081</v>
      </c>
      <c r="K285" s="81">
        <v>15968241</v>
      </c>
      <c r="L285" s="81">
        <v>6234180</v>
      </c>
      <c r="M285" s="81">
        <v>9734061</v>
      </c>
      <c r="N285" s="82">
        <v>0.21279161657875501</v>
      </c>
    </row>
    <row r="286" spans="1:14" ht="14.25" hidden="1" customHeight="1">
      <c r="A286" s="78">
        <v>2025</v>
      </c>
      <c r="B286" s="78">
        <v>5</v>
      </c>
      <c r="C286" s="79">
        <v>45778</v>
      </c>
      <c r="D286" s="78" t="s">
        <v>114</v>
      </c>
      <c r="E286" s="80" t="s">
        <v>115</v>
      </c>
      <c r="F286" s="78" t="str">
        <f>VLOOKUP('표1'!$E286,구분!$C$3:$D$72,2,0)</f>
        <v>폐점</v>
      </c>
      <c r="G286" s="81">
        <v>11976700</v>
      </c>
      <c r="H286" s="81">
        <v>7535475</v>
      </c>
      <c r="I286" s="81">
        <v>6850432</v>
      </c>
      <c r="J286" s="81">
        <v>3518533</v>
      </c>
      <c r="K286" s="81">
        <v>3331899</v>
      </c>
      <c r="L286" s="81">
        <v>3155210</v>
      </c>
      <c r="M286" s="81">
        <v>176689</v>
      </c>
      <c r="N286" s="82">
        <v>1.4752728213948799E-2</v>
      </c>
    </row>
    <row r="287" spans="1:14" ht="14.25" hidden="1" customHeight="1">
      <c r="A287" s="78">
        <v>2025</v>
      </c>
      <c r="B287" s="78">
        <v>5</v>
      </c>
      <c r="C287" s="79">
        <v>45778</v>
      </c>
      <c r="D287" s="78" t="s">
        <v>116</v>
      </c>
      <c r="E287" s="80" t="s">
        <v>117</v>
      </c>
      <c r="F287" s="78" t="str">
        <f>VLOOKUP('표1'!$E287,구분!$C$3:$D$72,2,0)</f>
        <v>동일</v>
      </c>
      <c r="G287" s="81">
        <v>26130790</v>
      </c>
      <c r="H287" s="81">
        <v>18021432</v>
      </c>
      <c r="I287" s="81">
        <v>16383120</v>
      </c>
      <c r="J287" s="81">
        <v>8233332</v>
      </c>
      <c r="K287" s="81">
        <v>8149788</v>
      </c>
      <c r="L287" s="81">
        <v>7261310</v>
      </c>
      <c r="M287" s="81">
        <v>888478</v>
      </c>
      <c r="N287" s="82">
        <v>3.40011916976104E-2</v>
      </c>
    </row>
    <row r="288" spans="1:14" ht="14.25" hidden="1" customHeight="1">
      <c r="A288" s="78">
        <v>2025</v>
      </c>
      <c r="B288" s="78">
        <v>5</v>
      </c>
      <c r="C288" s="79">
        <v>45778</v>
      </c>
      <c r="D288" s="78" t="s">
        <v>118</v>
      </c>
      <c r="E288" s="80" t="s">
        <v>119</v>
      </c>
      <c r="F288" s="78" t="str">
        <f>VLOOKUP('표1'!$E288,구분!$C$3:$D$72,2,0)</f>
        <v>동일</v>
      </c>
      <c r="G288" s="81">
        <v>91924790</v>
      </c>
      <c r="H288" s="81">
        <v>58448199</v>
      </c>
      <c r="I288" s="81">
        <v>53134726</v>
      </c>
      <c r="J288" s="81">
        <v>24972276</v>
      </c>
      <c r="K288" s="81">
        <v>28162450</v>
      </c>
      <c r="L288" s="81">
        <v>12027660</v>
      </c>
      <c r="M288" s="81">
        <v>16134790</v>
      </c>
      <c r="N288" s="82">
        <v>0.17552164111552501</v>
      </c>
    </row>
    <row r="289" spans="1:14" ht="14.25" hidden="1" customHeight="1">
      <c r="A289" s="78">
        <v>2025</v>
      </c>
      <c r="B289" s="78">
        <v>5</v>
      </c>
      <c r="C289" s="79">
        <v>45778</v>
      </c>
      <c r="D289" s="78" t="s">
        <v>180</v>
      </c>
      <c r="E289" s="80" t="s">
        <v>181</v>
      </c>
      <c r="F289" s="78" t="str">
        <f>VLOOKUP('표1'!$E289,구분!$C$3:$D$72,2,0)</f>
        <v>동일</v>
      </c>
      <c r="G289" s="81">
        <v>28330030</v>
      </c>
      <c r="H289" s="81">
        <v>17788345</v>
      </c>
      <c r="I289" s="81">
        <v>16171223</v>
      </c>
      <c r="J289" s="81">
        <v>9250902</v>
      </c>
      <c r="K289" s="81">
        <v>6920321</v>
      </c>
      <c r="L289" s="81">
        <v>5622810</v>
      </c>
      <c r="M289" s="81">
        <v>1297511</v>
      </c>
      <c r="N289" s="82">
        <v>4.5799845605528799E-2</v>
      </c>
    </row>
    <row r="290" spans="1:14" ht="14.25" hidden="1" customHeight="1">
      <c r="A290" s="78">
        <v>2025</v>
      </c>
      <c r="B290" s="78">
        <v>5</v>
      </c>
      <c r="C290" s="79">
        <v>45778</v>
      </c>
      <c r="D290" s="78" t="s">
        <v>120</v>
      </c>
      <c r="E290" s="80" t="s">
        <v>121</v>
      </c>
      <c r="F290" s="78" t="str">
        <f>VLOOKUP('표1'!$E290,구분!$C$3:$D$72,2,0)</f>
        <v>동일</v>
      </c>
      <c r="G290" s="81">
        <v>110837850</v>
      </c>
      <c r="H290" s="81">
        <v>70854767</v>
      </c>
      <c r="I290" s="81">
        <v>64413425</v>
      </c>
      <c r="J290" s="81">
        <v>35323746</v>
      </c>
      <c r="K290" s="81">
        <v>29089679</v>
      </c>
      <c r="L290" s="81">
        <v>13020570</v>
      </c>
      <c r="M290" s="81">
        <v>16069109</v>
      </c>
      <c r="N290" s="82">
        <v>0.144978533957488</v>
      </c>
    </row>
    <row r="291" spans="1:14" ht="14.25" hidden="1" customHeight="1">
      <c r="A291" s="78">
        <v>2025</v>
      </c>
      <c r="B291" s="78">
        <v>5</v>
      </c>
      <c r="C291" s="79">
        <v>45778</v>
      </c>
      <c r="D291" s="78" t="s">
        <v>122</v>
      </c>
      <c r="E291" s="80" t="s">
        <v>123</v>
      </c>
      <c r="F291" s="78" t="str">
        <f>VLOOKUP('표1'!$E291,구분!$C$3:$D$72,2,0)</f>
        <v>동일</v>
      </c>
      <c r="G291" s="81">
        <v>60001130</v>
      </c>
      <c r="H291" s="81">
        <v>37986261</v>
      </c>
      <c r="I291" s="81">
        <v>34532965</v>
      </c>
      <c r="J291" s="81">
        <v>18760551</v>
      </c>
      <c r="K291" s="81">
        <v>15772414</v>
      </c>
      <c r="L291" s="81">
        <v>10016910</v>
      </c>
      <c r="M291" s="81">
        <v>5755504</v>
      </c>
      <c r="N291" s="82">
        <v>9.5923260111934597E-2</v>
      </c>
    </row>
    <row r="292" spans="1:14" ht="14.25" hidden="1" customHeight="1">
      <c r="A292" s="78">
        <v>2025</v>
      </c>
      <c r="B292" s="78">
        <v>5</v>
      </c>
      <c r="C292" s="79">
        <v>45778</v>
      </c>
      <c r="D292" s="78" t="s">
        <v>124</v>
      </c>
      <c r="E292" s="80" t="s">
        <v>125</v>
      </c>
      <c r="F292" s="78" t="str">
        <f>VLOOKUP('표1'!$E292,구분!$C$3:$D$72,2,0)</f>
        <v>동일</v>
      </c>
      <c r="G292" s="81">
        <v>103625400</v>
      </c>
      <c r="H292" s="81">
        <v>65284002</v>
      </c>
      <c r="I292" s="81">
        <v>59349093</v>
      </c>
      <c r="J292" s="81">
        <v>27727302</v>
      </c>
      <c r="K292" s="81">
        <v>31621791</v>
      </c>
      <c r="L292" s="81">
        <v>7995990</v>
      </c>
      <c r="M292" s="81">
        <v>23625801</v>
      </c>
      <c r="N292" s="82">
        <v>0.22799237445645601</v>
      </c>
    </row>
    <row r="293" spans="1:14" ht="14.25" hidden="1" customHeight="1">
      <c r="A293" s="78">
        <v>2025</v>
      </c>
      <c r="B293" s="78">
        <v>5</v>
      </c>
      <c r="C293" s="79">
        <v>45778</v>
      </c>
      <c r="D293" s="78" t="s">
        <v>126</v>
      </c>
      <c r="E293" s="80" t="s">
        <v>127</v>
      </c>
      <c r="F293" s="78" t="str">
        <f>VLOOKUP('표1'!$E293,구분!$C$3:$D$72,2,0)</f>
        <v>동일</v>
      </c>
      <c r="G293" s="81">
        <v>89934950</v>
      </c>
      <c r="H293" s="81">
        <v>56936894</v>
      </c>
      <c r="I293" s="81">
        <v>51760813</v>
      </c>
      <c r="J293" s="81">
        <v>26754013</v>
      </c>
      <c r="K293" s="81">
        <v>25006800</v>
      </c>
      <c r="L293" s="81">
        <v>13491290</v>
      </c>
      <c r="M293" s="81">
        <v>11515510</v>
      </c>
      <c r="N293" s="82">
        <v>0.128042657498559</v>
      </c>
    </row>
    <row r="294" spans="1:14" ht="14.25" customHeight="1">
      <c r="A294" s="78">
        <v>2025</v>
      </c>
      <c r="B294" s="78">
        <v>5</v>
      </c>
      <c r="C294" s="79">
        <v>45778</v>
      </c>
      <c r="D294" s="78" t="s">
        <v>128</v>
      </c>
      <c r="E294" s="80" t="s">
        <v>129</v>
      </c>
      <c r="F294" s="78" t="str">
        <f>VLOOKUP('표1'!$E294,구분!$C$3:$D$72,2,0)</f>
        <v>동일</v>
      </c>
      <c r="G294" s="81">
        <v>134501410</v>
      </c>
      <c r="H294" s="81">
        <v>84678725</v>
      </c>
      <c r="I294" s="81">
        <v>76980659</v>
      </c>
      <c r="J294" s="81">
        <v>45943073</v>
      </c>
      <c r="K294" s="81">
        <v>31037586</v>
      </c>
      <c r="L294" s="81">
        <v>19503760</v>
      </c>
      <c r="M294" s="81">
        <v>11533826</v>
      </c>
      <c r="N294" s="82">
        <v>8.5752454193602903E-2</v>
      </c>
    </row>
    <row r="295" spans="1:14" ht="14.25" hidden="1" customHeight="1">
      <c r="A295" s="78">
        <v>2025</v>
      </c>
      <c r="B295" s="78">
        <v>5</v>
      </c>
      <c r="C295" s="79">
        <v>45778</v>
      </c>
      <c r="D295" s="78" t="s">
        <v>130</v>
      </c>
      <c r="E295" s="80" t="s">
        <v>131</v>
      </c>
      <c r="F295" s="78" t="str">
        <f>VLOOKUP('표1'!$E295,구분!$C$3:$D$72,2,0)</f>
        <v>동일</v>
      </c>
      <c r="G295" s="81">
        <v>51802400</v>
      </c>
      <c r="H295" s="81">
        <v>32635522</v>
      </c>
      <c r="I295" s="81">
        <v>29668656</v>
      </c>
      <c r="J295" s="81">
        <v>15082102</v>
      </c>
      <c r="K295" s="81">
        <v>14586554</v>
      </c>
      <c r="L295" s="81">
        <v>6677960</v>
      </c>
      <c r="M295" s="81">
        <v>7908594</v>
      </c>
      <c r="N295" s="82">
        <v>0.15266848640217401</v>
      </c>
    </row>
    <row r="296" spans="1:14" ht="14.25" hidden="1" customHeight="1">
      <c r="A296" s="78">
        <v>2025</v>
      </c>
      <c r="B296" s="78">
        <v>5</v>
      </c>
      <c r="C296" s="79">
        <v>45778</v>
      </c>
      <c r="D296" s="78" t="s">
        <v>132</v>
      </c>
      <c r="E296" s="80" t="s">
        <v>133</v>
      </c>
      <c r="F296" s="78" t="str">
        <f>VLOOKUP('표1'!$E296,구분!$C$3:$D$72,2,0)</f>
        <v>동일</v>
      </c>
      <c r="G296" s="81">
        <v>25106730</v>
      </c>
      <c r="H296" s="81">
        <v>16022275</v>
      </c>
      <c r="I296" s="81">
        <v>14565705</v>
      </c>
      <c r="J296" s="81">
        <v>7874896</v>
      </c>
      <c r="K296" s="81">
        <v>6690809</v>
      </c>
      <c r="L296" s="81">
        <v>6072500</v>
      </c>
      <c r="M296" s="81">
        <v>618309</v>
      </c>
      <c r="N296" s="82">
        <v>2.46272214661169E-2</v>
      </c>
    </row>
    <row r="297" spans="1:14" ht="14.25" hidden="1" customHeight="1">
      <c r="A297" s="78">
        <v>2025</v>
      </c>
      <c r="B297" s="78">
        <v>5</v>
      </c>
      <c r="C297" s="79">
        <v>45778</v>
      </c>
      <c r="D297" s="78" t="s">
        <v>134</v>
      </c>
      <c r="E297" s="80" t="s">
        <v>135</v>
      </c>
      <c r="F297" s="78" t="str">
        <f>VLOOKUP('표1'!$E297,구분!$C$3:$D$72,2,0)</f>
        <v>동일</v>
      </c>
      <c r="G297" s="81">
        <v>47372530</v>
      </c>
      <c r="H297" s="81">
        <v>29844699</v>
      </c>
      <c r="I297" s="81">
        <v>27131545</v>
      </c>
      <c r="J297" s="81">
        <v>15250652</v>
      </c>
      <c r="K297" s="81">
        <v>11880893</v>
      </c>
      <c r="L297" s="81">
        <v>7060340</v>
      </c>
      <c r="M297" s="81">
        <v>4820553</v>
      </c>
      <c r="N297" s="82">
        <v>0.10175840302386201</v>
      </c>
    </row>
    <row r="298" spans="1:14" ht="14.25" hidden="1" customHeight="1">
      <c r="A298" s="78">
        <v>2025</v>
      </c>
      <c r="B298" s="78">
        <v>5</v>
      </c>
      <c r="C298" s="79">
        <v>45778</v>
      </c>
      <c r="D298" s="78" t="s">
        <v>136</v>
      </c>
      <c r="E298" s="80" t="s">
        <v>137</v>
      </c>
      <c r="F298" s="78" t="str">
        <f>VLOOKUP('표1'!$E298,구분!$C$3:$D$72,2,0)</f>
        <v>동일</v>
      </c>
      <c r="G298" s="81">
        <v>45572690</v>
      </c>
      <c r="H298" s="81">
        <v>28703046</v>
      </c>
      <c r="I298" s="81">
        <v>26093678</v>
      </c>
      <c r="J298" s="81">
        <v>14218856</v>
      </c>
      <c r="K298" s="81">
        <v>11874822</v>
      </c>
      <c r="L298" s="81">
        <v>6440000</v>
      </c>
      <c r="M298" s="81">
        <v>5434822</v>
      </c>
      <c r="N298" s="82">
        <v>0.119256115888704</v>
      </c>
    </row>
    <row r="299" spans="1:14" ht="14.25" hidden="1" customHeight="1">
      <c r="A299" s="78">
        <v>2025</v>
      </c>
      <c r="B299" s="78">
        <v>5</v>
      </c>
      <c r="C299" s="79">
        <v>45778</v>
      </c>
      <c r="D299" s="78" t="s">
        <v>138</v>
      </c>
      <c r="E299" s="80" t="s">
        <v>139</v>
      </c>
      <c r="F299" s="78" t="str">
        <f>VLOOKUP('표1'!$E299,구분!$C$3:$D$72,2,0)</f>
        <v>동일</v>
      </c>
      <c r="G299" s="81">
        <v>33434150</v>
      </c>
      <c r="H299" s="81">
        <v>21145966</v>
      </c>
      <c r="I299" s="81">
        <v>19223605</v>
      </c>
      <c r="J299" s="81">
        <v>10320258</v>
      </c>
      <c r="K299" s="81">
        <v>8903347</v>
      </c>
      <c r="L299" s="81">
        <v>5090370</v>
      </c>
      <c r="M299" s="81">
        <v>3812977</v>
      </c>
      <c r="N299" s="82">
        <v>0.114044382764329</v>
      </c>
    </row>
    <row r="300" spans="1:14" ht="14.25" hidden="1" customHeight="1">
      <c r="A300" s="78">
        <v>2025</v>
      </c>
      <c r="B300" s="78">
        <v>5</v>
      </c>
      <c r="C300" s="79">
        <v>45778</v>
      </c>
      <c r="D300" s="78" t="s">
        <v>140</v>
      </c>
      <c r="E300" s="80" t="s">
        <v>141</v>
      </c>
      <c r="F300" s="78" t="str">
        <f>VLOOKUP('표1'!$E300,구분!$C$3:$D$72,2,0)</f>
        <v>동일</v>
      </c>
      <c r="G300" s="81">
        <v>104992240</v>
      </c>
      <c r="H300" s="81">
        <v>66664580</v>
      </c>
      <c r="I300" s="81">
        <v>60604164</v>
      </c>
      <c r="J300" s="81">
        <v>30051768</v>
      </c>
      <c r="K300" s="81">
        <v>30552396</v>
      </c>
      <c r="L300" s="81">
        <v>8204880</v>
      </c>
      <c r="M300" s="81">
        <v>22347516</v>
      </c>
      <c r="N300" s="82">
        <v>0.212849216284937</v>
      </c>
    </row>
    <row r="301" spans="1:14" ht="14.25" hidden="1" customHeight="1">
      <c r="A301" s="78">
        <v>2025</v>
      </c>
      <c r="B301" s="78">
        <v>5</v>
      </c>
      <c r="C301" s="79">
        <v>45778</v>
      </c>
      <c r="D301" s="78" t="s">
        <v>142</v>
      </c>
      <c r="E301" s="80" t="s">
        <v>143</v>
      </c>
      <c r="F301" s="78" t="str">
        <f>VLOOKUP('표1'!$E301,구분!$C$3:$D$72,2,0)</f>
        <v>동일</v>
      </c>
      <c r="G301" s="81">
        <v>52541860</v>
      </c>
      <c r="H301" s="81">
        <v>33372599</v>
      </c>
      <c r="I301" s="81">
        <v>30338726</v>
      </c>
      <c r="J301" s="81">
        <v>16021890</v>
      </c>
      <c r="K301" s="81">
        <v>14316836</v>
      </c>
      <c r="L301" s="81">
        <v>5874190</v>
      </c>
      <c r="M301" s="81">
        <v>8442646</v>
      </c>
      <c r="N301" s="82">
        <v>0.160684185904344</v>
      </c>
    </row>
    <row r="302" spans="1:14" ht="14.25" hidden="1" customHeight="1">
      <c r="A302" s="78">
        <v>2025</v>
      </c>
      <c r="B302" s="78">
        <v>5</v>
      </c>
      <c r="C302" s="79">
        <v>45778</v>
      </c>
      <c r="D302" s="78" t="s">
        <v>144</v>
      </c>
      <c r="E302" s="80" t="s">
        <v>145</v>
      </c>
      <c r="F302" s="78" t="str">
        <f>VLOOKUP('표1'!$E302,구분!$C$3:$D$72,2,0)</f>
        <v>동일</v>
      </c>
      <c r="G302" s="81">
        <v>55817820</v>
      </c>
      <c r="H302" s="81">
        <v>35568575</v>
      </c>
      <c r="I302" s="81">
        <v>32335068</v>
      </c>
      <c r="J302" s="81">
        <v>16118131</v>
      </c>
      <c r="K302" s="81">
        <v>16216937</v>
      </c>
      <c r="L302" s="81">
        <v>6829390</v>
      </c>
      <c r="M302" s="81">
        <v>9387547</v>
      </c>
      <c r="N302" s="82">
        <v>0.16818189961557101</v>
      </c>
    </row>
    <row r="303" spans="1:14" ht="14.25" hidden="1" customHeight="1">
      <c r="A303" s="78">
        <v>2025</v>
      </c>
      <c r="B303" s="78">
        <v>5</v>
      </c>
      <c r="C303" s="79">
        <v>45778</v>
      </c>
      <c r="D303" s="78" t="s">
        <v>146</v>
      </c>
      <c r="E303" s="80" t="s">
        <v>147</v>
      </c>
      <c r="F303" s="78" t="str">
        <f>VLOOKUP('표1'!$E303,구분!$C$3:$D$72,2,0)</f>
        <v>동일</v>
      </c>
      <c r="G303" s="81">
        <v>104027390</v>
      </c>
      <c r="H303" s="81">
        <v>65386564</v>
      </c>
      <c r="I303" s="81">
        <v>59442331</v>
      </c>
      <c r="J303" s="81">
        <v>32918707</v>
      </c>
      <c r="K303" s="81">
        <v>26523624</v>
      </c>
      <c r="L303" s="81">
        <v>11894260</v>
      </c>
      <c r="M303" s="81">
        <v>14629364</v>
      </c>
      <c r="N303" s="82">
        <v>0.140629924484311</v>
      </c>
    </row>
    <row r="304" spans="1:14" ht="14.25" hidden="1" customHeight="1">
      <c r="A304" s="78">
        <v>2025</v>
      </c>
      <c r="B304" s="78">
        <v>5</v>
      </c>
      <c r="C304" s="79">
        <v>45778</v>
      </c>
      <c r="D304" s="78" t="s">
        <v>148</v>
      </c>
      <c r="E304" s="80" t="s">
        <v>149</v>
      </c>
      <c r="F304" s="78" t="str">
        <f>VLOOKUP('표1'!$E304,구분!$C$3:$D$72,2,0)</f>
        <v>동일</v>
      </c>
      <c r="G304" s="81">
        <v>24241030</v>
      </c>
      <c r="H304" s="81">
        <v>15246934</v>
      </c>
      <c r="I304" s="81">
        <v>13860849</v>
      </c>
      <c r="J304" s="81">
        <v>7032047</v>
      </c>
      <c r="K304" s="81">
        <v>6828802</v>
      </c>
      <c r="L304" s="81">
        <v>5388390</v>
      </c>
      <c r="M304" s="81">
        <v>1440412</v>
      </c>
      <c r="N304" s="82">
        <v>5.9420412416469101E-2</v>
      </c>
    </row>
    <row r="305" spans="1:14" ht="14.25" hidden="1" customHeight="1">
      <c r="A305" s="78">
        <v>2025</v>
      </c>
      <c r="B305" s="78">
        <v>5</v>
      </c>
      <c r="C305" s="79">
        <v>45778</v>
      </c>
      <c r="D305" s="78" t="s">
        <v>150</v>
      </c>
      <c r="E305" s="80" t="s">
        <v>151</v>
      </c>
      <c r="F305" s="78" t="str">
        <f>VLOOKUP('표1'!$E305,구분!$C$3:$D$72,2,0)</f>
        <v>동일</v>
      </c>
      <c r="G305" s="81">
        <v>40317340</v>
      </c>
      <c r="H305" s="81">
        <v>25453380</v>
      </c>
      <c r="I305" s="81">
        <v>23139436</v>
      </c>
      <c r="J305" s="81">
        <v>12416736</v>
      </c>
      <c r="K305" s="81">
        <v>10722700</v>
      </c>
      <c r="L305" s="81">
        <v>5872655</v>
      </c>
      <c r="M305" s="81">
        <v>4850045</v>
      </c>
      <c r="N305" s="82">
        <v>0.12029675072809901</v>
      </c>
    </row>
    <row r="306" spans="1:14" ht="15" hidden="1" customHeight="1">
      <c r="A306" s="78">
        <v>2025</v>
      </c>
      <c r="B306" s="78">
        <v>5</v>
      </c>
      <c r="C306" s="79">
        <v>45778</v>
      </c>
      <c r="D306" s="78" t="s">
        <v>152</v>
      </c>
      <c r="E306" s="78" t="s">
        <v>153</v>
      </c>
      <c r="F306" s="78" t="str">
        <f>VLOOKUP('표1'!$E306,구분!$C$3:$D$72,2,0)</f>
        <v>동일</v>
      </c>
      <c r="G306" s="81">
        <v>32059540</v>
      </c>
      <c r="H306" s="81">
        <v>19926256</v>
      </c>
      <c r="I306" s="81">
        <v>18114778</v>
      </c>
      <c r="J306" s="81">
        <v>9854977</v>
      </c>
      <c r="K306" s="81">
        <v>8259801</v>
      </c>
      <c r="L306" s="81">
        <v>6749490</v>
      </c>
      <c r="M306" s="81">
        <v>1510311</v>
      </c>
      <c r="N306" s="82">
        <v>4.7109565514664303E-2</v>
      </c>
    </row>
    <row r="307" spans="1:14" ht="14.25" hidden="1" customHeight="1">
      <c r="A307" s="78">
        <v>2025</v>
      </c>
      <c r="B307" s="78">
        <v>5</v>
      </c>
      <c r="C307" s="79">
        <v>45778</v>
      </c>
      <c r="D307" s="78" t="s">
        <v>154</v>
      </c>
      <c r="E307" s="80" t="s">
        <v>155</v>
      </c>
      <c r="F307" s="78" t="str">
        <f>VLOOKUP('표1'!$E307,구분!$C$3:$D$72,2,0)</f>
        <v>동일</v>
      </c>
      <c r="G307" s="81">
        <v>90570540</v>
      </c>
      <c r="H307" s="81">
        <v>57059453</v>
      </c>
      <c r="I307" s="81">
        <v>51872230</v>
      </c>
      <c r="J307" s="81">
        <v>28166350</v>
      </c>
      <c r="K307" s="81">
        <v>23705880</v>
      </c>
      <c r="L307" s="81">
        <v>14398350</v>
      </c>
      <c r="M307" s="81">
        <v>9307530</v>
      </c>
      <c r="N307" s="82">
        <v>0.10276553501834</v>
      </c>
    </row>
    <row r="308" spans="1:14" ht="14.25" hidden="1" customHeight="1">
      <c r="A308" s="78">
        <v>2025</v>
      </c>
      <c r="B308" s="78">
        <v>5</v>
      </c>
      <c r="C308" s="79">
        <v>45778</v>
      </c>
      <c r="D308" s="78" t="s">
        <v>156</v>
      </c>
      <c r="E308" s="80" t="s">
        <v>157</v>
      </c>
      <c r="F308" s="78" t="str">
        <f>VLOOKUP('표1'!$E308,구분!$C$3:$D$72,2,0)</f>
        <v>동일</v>
      </c>
      <c r="G308" s="81">
        <v>76085360</v>
      </c>
      <c r="H308" s="81">
        <v>58205370</v>
      </c>
      <c r="I308" s="81">
        <v>52913973</v>
      </c>
      <c r="J308" s="81">
        <v>24363367</v>
      </c>
      <c r="K308" s="81">
        <v>28550606</v>
      </c>
      <c r="L308" s="81">
        <v>10272580</v>
      </c>
      <c r="M308" s="81">
        <v>18278026</v>
      </c>
      <c r="N308" s="82">
        <v>0.24023052529422201</v>
      </c>
    </row>
    <row r="309" spans="1:14" ht="14.25" hidden="1" customHeight="1">
      <c r="A309" s="78">
        <v>2025</v>
      </c>
      <c r="B309" s="78">
        <v>5</v>
      </c>
      <c r="C309" s="79">
        <v>45778</v>
      </c>
      <c r="D309" s="78" t="s">
        <v>158</v>
      </c>
      <c r="E309" s="80" t="s">
        <v>159</v>
      </c>
      <c r="F309" s="78" t="str">
        <f>VLOOKUP('표1'!$E309,구분!$C$3:$D$72,2,0)</f>
        <v>동일</v>
      </c>
      <c r="G309" s="81">
        <v>58837250</v>
      </c>
      <c r="H309" s="81">
        <v>45304715</v>
      </c>
      <c r="I309" s="81">
        <v>41186105</v>
      </c>
      <c r="J309" s="81">
        <v>19961873</v>
      </c>
      <c r="K309" s="81">
        <v>21224232</v>
      </c>
      <c r="L309" s="81">
        <v>9415010</v>
      </c>
      <c r="M309" s="81">
        <v>11809222</v>
      </c>
      <c r="N309" s="82">
        <v>0.20070995840220299</v>
      </c>
    </row>
    <row r="310" spans="1:14" ht="14.25" hidden="1" customHeight="1">
      <c r="A310" s="78">
        <v>2025</v>
      </c>
      <c r="B310" s="78">
        <v>5</v>
      </c>
      <c r="C310" s="79">
        <v>45778</v>
      </c>
      <c r="D310" s="78" t="s">
        <v>160</v>
      </c>
      <c r="E310" s="80" t="s">
        <v>161</v>
      </c>
      <c r="F310" s="78" t="str">
        <f>VLOOKUP('표1'!$E310,구분!$C$3:$D$72,2,0)</f>
        <v>동일</v>
      </c>
      <c r="G310" s="81">
        <v>41370060</v>
      </c>
      <c r="H310" s="81">
        <v>31648138</v>
      </c>
      <c r="I310" s="81">
        <v>28771035</v>
      </c>
      <c r="J310" s="81">
        <v>12980595</v>
      </c>
      <c r="K310" s="81">
        <v>15790440</v>
      </c>
      <c r="L310" s="81">
        <v>7080790</v>
      </c>
      <c r="M310" s="81">
        <v>8709650</v>
      </c>
      <c r="N310" s="82">
        <v>0.210530272375723</v>
      </c>
    </row>
    <row r="311" spans="1:14" ht="14.25" hidden="1" customHeight="1">
      <c r="A311" s="78">
        <v>2025</v>
      </c>
      <c r="B311" s="78">
        <v>5</v>
      </c>
      <c r="C311" s="79">
        <v>45778</v>
      </c>
      <c r="D311" s="78" t="s">
        <v>162</v>
      </c>
      <c r="E311" s="80" t="s">
        <v>163</v>
      </c>
      <c r="F311" s="78" t="str">
        <f>VLOOKUP('표1'!$E311,구분!$C$3:$D$72,2,0)</f>
        <v>동일</v>
      </c>
      <c r="G311" s="81">
        <v>27051170</v>
      </c>
      <c r="H311" s="81">
        <v>20829422</v>
      </c>
      <c r="I311" s="81">
        <v>18935838</v>
      </c>
      <c r="J311" s="81">
        <v>9555804</v>
      </c>
      <c r="K311" s="81">
        <v>9380034</v>
      </c>
      <c r="L311" s="81">
        <v>4891350</v>
      </c>
      <c r="M311" s="81">
        <v>4488684</v>
      </c>
      <c r="N311" s="82">
        <v>0.165933081637504</v>
      </c>
    </row>
    <row r="312" spans="1:14" ht="14.25" hidden="1" customHeight="1">
      <c r="A312" s="78">
        <v>2025</v>
      </c>
      <c r="B312" s="78">
        <v>5</v>
      </c>
      <c r="C312" s="79">
        <v>45778</v>
      </c>
      <c r="D312" s="78" t="s">
        <v>164</v>
      </c>
      <c r="E312" s="80" t="s">
        <v>165</v>
      </c>
      <c r="F312" s="78" t="str">
        <f>VLOOKUP('표1'!$E312,구분!$C$3:$D$72,2,0)</f>
        <v>동일</v>
      </c>
      <c r="G312" s="81">
        <v>48585120</v>
      </c>
      <c r="H312" s="81">
        <v>37410581</v>
      </c>
      <c r="I312" s="81">
        <v>34009619</v>
      </c>
      <c r="J312" s="81">
        <v>16732091</v>
      </c>
      <c r="K312" s="81">
        <v>17277528</v>
      </c>
      <c r="L312" s="81">
        <v>8215370</v>
      </c>
      <c r="M312" s="81">
        <v>9062158</v>
      </c>
      <c r="N312" s="82">
        <v>0.18652126412366599</v>
      </c>
    </row>
    <row r="313" spans="1:14" ht="14.25" hidden="1" customHeight="1">
      <c r="A313" s="78">
        <v>2025</v>
      </c>
      <c r="B313" s="78">
        <v>5</v>
      </c>
      <c r="C313" s="79">
        <v>45778</v>
      </c>
      <c r="D313" s="78" t="s">
        <v>166</v>
      </c>
      <c r="E313" s="80" t="s">
        <v>167</v>
      </c>
      <c r="F313" s="78" t="str">
        <f>VLOOKUP('표1'!$E313,구분!$C$3:$D$72,2,0)</f>
        <v>동일</v>
      </c>
      <c r="G313" s="81">
        <v>29381510</v>
      </c>
      <c r="H313" s="81">
        <v>22623788</v>
      </c>
      <c r="I313" s="81">
        <v>20567080</v>
      </c>
      <c r="J313" s="81">
        <v>13021349</v>
      </c>
      <c r="K313" s="81">
        <v>7545731</v>
      </c>
      <c r="L313" s="81">
        <v>5283690</v>
      </c>
      <c r="M313" s="81">
        <v>2262041</v>
      </c>
      <c r="N313" s="82">
        <v>7.6988589082045103E-2</v>
      </c>
    </row>
    <row r="314" spans="1:14" ht="14.25" hidden="1" customHeight="1">
      <c r="A314" s="78">
        <v>2025</v>
      </c>
      <c r="B314" s="78">
        <v>5</v>
      </c>
      <c r="C314" s="79">
        <v>45778</v>
      </c>
      <c r="D314" s="78" t="s">
        <v>168</v>
      </c>
      <c r="E314" s="80" t="s">
        <v>169</v>
      </c>
      <c r="F314" s="78" t="str">
        <f>VLOOKUP('표1'!$E314,구분!$C$3:$D$72,2,0)</f>
        <v>동일</v>
      </c>
      <c r="G314" s="81">
        <v>47166320</v>
      </c>
      <c r="H314" s="81">
        <v>36318089</v>
      </c>
      <c r="I314" s="81">
        <v>33016445</v>
      </c>
      <c r="J314" s="81">
        <v>17318276</v>
      </c>
      <c r="K314" s="81">
        <v>15698169</v>
      </c>
      <c r="L314" s="81">
        <v>7068470</v>
      </c>
      <c r="M314" s="81">
        <v>8629699</v>
      </c>
      <c r="N314" s="82">
        <v>0.18296316100132501</v>
      </c>
    </row>
    <row r="315" spans="1:14" ht="15" hidden="1" customHeight="1">
      <c r="A315" s="78">
        <v>2025</v>
      </c>
      <c r="B315" s="78">
        <v>5</v>
      </c>
      <c r="C315" s="79">
        <v>45778</v>
      </c>
      <c r="D315" s="78" t="s">
        <v>172</v>
      </c>
      <c r="E315" s="78" t="s">
        <v>173</v>
      </c>
      <c r="F315" s="78" t="str">
        <f>VLOOKUP('표1'!$E315,구분!$C$3:$D$72,2,0)</f>
        <v>동일</v>
      </c>
      <c r="G315" s="81">
        <v>62599320</v>
      </c>
      <c r="H315" s="81">
        <v>49453506</v>
      </c>
      <c r="I315" s="81">
        <v>44957733</v>
      </c>
      <c r="J315" s="81">
        <v>25733292</v>
      </c>
      <c r="K315" s="81">
        <v>19224441</v>
      </c>
      <c r="L315" s="81">
        <v>10088440</v>
      </c>
      <c r="M315" s="81">
        <v>9136001</v>
      </c>
      <c r="N315" s="82">
        <v>0.14594409332242</v>
      </c>
    </row>
    <row r="316" spans="1:14" ht="14.25" hidden="1" customHeight="1">
      <c r="A316" s="78">
        <v>2025</v>
      </c>
      <c r="B316" s="78">
        <v>5</v>
      </c>
      <c r="C316" s="79">
        <v>45778</v>
      </c>
      <c r="D316" s="78" t="s">
        <v>174</v>
      </c>
      <c r="E316" s="80" t="s">
        <v>175</v>
      </c>
      <c r="F316" s="78" t="str">
        <f>VLOOKUP('표1'!$E316,구분!$C$3:$D$72,2,0)</f>
        <v>동일</v>
      </c>
      <c r="G316" s="81">
        <v>24955450</v>
      </c>
      <c r="H316" s="81">
        <v>20962581</v>
      </c>
      <c r="I316" s="81">
        <v>19056892</v>
      </c>
      <c r="J316" s="81">
        <v>9197212</v>
      </c>
      <c r="K316" s="81">
        <v>9859680</v>
      </c>
      <c r="L316" s="81">
        <v>5402790</v>
      </c>
      <c r="M316" s="81">
        <v>4456890</v>
      </c>
      <c r="N316" s="82">
        <v>0.17859385424827001</v>
      </c>
    </row>
    <row r="317" spans="1:14" ht="14.25" hidden="1" customHeight="1">
      <c r="A317" s="78">
        <v>2025</v>
      </c>
      <c r="B317" s="78">
        <v>5</v>
      </c>
      <c r="C317" s="79">
        <v>45778</v>
      </c>
      <c r="D317" s="78" t="s">
        <v>176</v>
      </c>
      <c r="E317" s="80" t="s">
        <v>177</v>
      </c>
      <c r="F317" s="78" t="str">
        <f>VLOOKUP('표1'!$E317,구분!$C$3:$D$72,2,0)</f>
        <v>동일</v>
      </c>
      <c r="G317" s="81">
        <v>96500780</v>
      </c>
      <c r="H317" s="81">
        <v>74305653</v>
      </c>
      <c r="I317" s="81">
        <v>67550594</v>
      </c>
      <c r="J317" s="81">
        <v>31432368</v>
      </c>
      <c r="K317" s="81">
        <v>36118226</v>
      </c>
      <c r="L317" s="81">
        <v>16366190</v>
      </c>
      <c r="M317" s="81">
        <v>19752036</v>
      </c>
      <c r="N317" s="82">
        <v>0.20468265645106701</v>
      </c>
    </row>
    <row r="318" spans="1:14" ht="14.25" hidden="1" customHeight="1">
      <c r="A318" s="78">
        <v>2025</v>
      </c>
      <c r="B318" s="78">
        <v>5</v>
      </c>
      <c r="C318" s="79">
        <v>45778</v>
      </c>
      <c r="D318" s="78" t="s">
        <v>178</v>
      </c>
      <c r="E318" s="80" t="s">
        <v>179</v>
      </c>
      <c r="F318" s="78" t="str">
        <f>VLOOKUP('표1'!$E318,구분!$C$3:$D$72,2,0)</f>
        <v>동일</v>
      </c>
      <c r="G318" s="81">
        <v>104625940</v>
      </c>
      <c r="H318" s="81">
        <v>80562050</v>
      </c>
      <c r="I318" s="81">
        <v>73238227</v>
      </c>
      <c r="J318" s="81">
        <v>31732807</v>
      </c>
      <c r="K318" s="81">
        <v>41505420</v>
      </c>
      <c r="L318" s="81">
        <v>13602430</v>
      </c>
      <c r="M318" s="81">
        <v>27902990</v>
      </c>
      <c r="N318" s="82">
        <v>0.266692848828885</v>
      </c>
    </row>
    <row r="319" spans="1:14" ht="14.25" hidden="1" customHeight="1">
      <c r="A319" s="73">
        <v>2025</v>
      </c>
      <c r="B319" s="73">
        <v>6</v>
      </c>
      <c r="C319" s="74" t="s">
        <v>184</v>
      </c>
      <c r="D319" s="73" t="s">
        <v>54</v>
      </c>
      <c r="E319" s="75" t="s">
        <v>55</v>
      </c>
      <c r="F319" s="73" t="str">
        <f>VLOOKUP('표1'!$E319,구분!$C$3:$D$72,2,0)</f>
        <v>동일</v>
      </c>
      <c r="G319" s="76">
        <v>71933060</v>
      </c>
      <c r="H319" s="76">
        <v>46037158</v>
      </c>
      <c r="I319" s="76">
        <v>41851962</v>
      </c>
      <c r="J319" s="76">
        <v>20118292</v>
      </c>
      <c r="K319" s="76">
        <v>21733670</v>
      </c>
      <c r="L319" s="76">
        <v>6999560</v>
      </c>
      <c r="M319" s="76">
        <v>14734110</v>
      </c>
      <c r="N319" s="77">
        <v>0.32206065519537203</v>
      </c>
    </row>
    <row r="320" spans="1:14" ht="14.25" hidden="1" customHeight="1">
      <c r="A320" s="78">
        <v>2025</v>
      </c>
      <c r="B320" s="78">
        <v>6</v>
      </c>
      <c r="C320" s="79" t="s">
        <v>184</v>
      </c>
      <c r="D320" s="78" t="s">
        <v>56</v>
      </c>
      <c r="E320" s="80" t="s">
        <v>57</v>
      </c>
      <c r="F320" s="78" t="str">
        <f>VLOOKUP('표1'!$E320,구분!$C$3:$D$72,2,0)</f>
        <v>동일</v>
      </c>
      <c r="G320" s="81">
        <v>32474350</v>
      </c>
      <c r="H320" s="81">
        <v>21108351</v>
      </c>
      <c r="I320" s="81">
        <v>19189410</v>
      </c>
      <c r="J320" s="81">
        <v>10075723</v>
      </c>
      <c r="K320" s="81">
        <v>9113687</v>
      </c>
      <c r="L320" s="81">
        <v>5569060</v>
      </c>
      <c r="M320" s="81">
        <v>3544627</v>
      </c>
      <c r="N320" s="82">
        <v>0.32206065519537203</v>
      </c>
    </row>
    <row r="321" spans="1:14" ht="14.25" hidden="1" customHeight="1">
      <c r="A321" s="78">
        <v>2025</v>
      </c>
      <c r="B321" s="78">
        <v>6</v>
      </c>
      <c r="C321" s="79" t="s">
        <v>184</v>
      </c>
      <c r="D321" s="78" t="s">
        <v>58</v>
      </c>
      <c r="E321" s="80" t="s">
        <v>59</v>
      </c>
      <c r="F321" s="78" t="str">
        <f>VLOOKUP('표1'!$E321,구분!$C$3:$D$72,2,0)</f>
        <v>동일</v>
      </c>
      <c r="G321" s="81">
        <v>63502050</v>
      </c>
      <c r="H321" s="81">
        <v>40641312</v>
      </c>
      <c r="I321" s="81">
        <v>36946647</v>
      </c>
      <c r="J321" s="81">
        <v>17766822</v>
      </c>
      <c r="K321" s="81">
        <v>19179825</v>
      </c>
      <c r="L321" s="81">
        <v>8216570</v>
      </c>
      <c r="M321" s="81">
        <v>10963255</v>
      </c>
      <c r="N321" s="82">
        <v>0.61106553253365004</v>
      </c>
    </row>
    <row r="322" spans="1:14" ht="14.25" hidden="1" customHeight="1">
      <c r="A322" s="78">
        <v>2025</v>
      </c>
      <c r="B322" s="78">
        <v>6</v>
      </c>
      <c r="C322" s="79" t="s">
        <v>184</v>
      </c>
      <c r="D322" s="78" t="s">
        <v>60</v>
      </c>
      <c r="E322" s="80" t="s">
        <v>61</v>
      </c>
      <c r="F322" s="78" t="str">
        <f>VLOOKUP('표1'!$E322,구분!$C$3:$D$72,2,0)</f>
        <v>동일</v>
      </c>
      <c r="G322" s="81">
        <v>40760750</v>
      </c>
      <c r="H322" s="81">
        <v>26086879</v>
      </c>
      <c r="I322" s="81">
        <v>23715345</v>
      </c>
      <c r="J322" s="81">
        <v>12119703</v>
      </c>
      <c r="K322" s="81">
        <v>11595642</v>
      </c>
      <c r="L322" s="81">
        <v>4989720</v>
      </c>
      <c r="M322" s="81">
        <v>6605922</v>
      </c>
      <c r="N322" s="82">
        <v>0.428396505181877</v>
      </c>
    </row>
    <row r="323" spans="1:14" ht="14.25" hidden="1" customHeight="1">
      <c r="A323" s="78">
        <v>2025</v>
      </c>
      <c r="B323" s="78">
        <v>6</v>
      </c>
      <c r="C323" s="79" t="s">
        <v>184</v>
      </c>
      <c r="D323" s="78" t="s">
        <v>62</v>
      </c>
      <c r="E323" s="80" t="s">
        <v>63</v>
      </c>
      <c r="F323" s="78" t="str">
        <f>VLOOKUP('표1'!$E323,구분!$C$3:$D$72,2,0)</f>
        <v>동일</v>
      </c>
      <c r="G323" s="81">
        <v>67198810</v>
      </c>
      <c r="H323" s="81">
        <v>43007235</v>
      </c>
      <c r="I323" s="81">
        <v>39097486</v>
      </c>
      <c r="J323" s="81">
        <v>18596609</v>
      </c>
      <c r="K323" s="81">
        <v>20500877</v>
      </c>
      <c r="L323" s="81">
        <v>10041120</v>
      </c>
      <c r="M323" s="81">
        <v>10459757</v>
      </c>
      <c r="N323" s="82">
        <v>0.43030993885461499</v>
      </c>
    </row>
    <row r="324" spans="1:14" ht="14.25" hidden="1" customHeight="1">
      <c r="A324" s="78">
        <v>2025</v>
      </c>
      <c r="B324" s="78">
        <v>6</v>
      </c>
      <c r="C324" s="79" t="s">
        <v>184</v>
      </c>
      <c r="D324" s="78" t="s">
        <v>64</v>
      </c>
      <c r="E324" s="80" t="s">
        <v>65</v>
      </c>
      <c r="F324" s="78" t="str">
        <f>VLOOKUP('표1'!$E324,구분!$C$3:$D$72,2,0)</f>
        <v>동일</v>
      </c>
      <c r="G324" s="81">
        <v>32525070</v>
      </c>
      <c r="H324" s="81">
        <v>20816044</v>
      </c>
      <c r="I324" s="81">
        <v>18923676</v>
      </c>
      <c r="J324" s="81">
        <v>9677763</v>
      </c>
      <c r="K324" s="81">
        <v>9245913</v>
      </c>
      <c r="L324" s="81">
        <v>4809230</v>
      </c>
      <c r="M324" s="81">
        <v>4436683</v>
      </c>
      <c r="N324" s="82">
        <v>0.48978977826168102</v>
      </c>
    </row>
    <row r="325" spans="1:14" ht="14.25" hidden="1" customHeight="1">
      <c r="A325" s="78">
        <v>2025</v>
      </c>
      <c r="B325" s="78">
        <v>6</v>
      </c>
      <c r="C325" s="79" t="s">
        <v>184</v>
      </c>
      <c r="D325" s="78" t="s">
        <v>66</v>
      </c>
      <c r="E325" s="80" t="s">
        <v>67</v>
      </c>
      <c r="F325" s="78" t="str">
        <f>VLOOKUP('표1'!$E325,구분!$C$3:$D$72,2,0)</f>
        <v>동일</v>
      </c>
      <c r="G325" s="81">
        <v>31014550</v>
      </c>
      <c r="H325" s="81">
        <v>20159458</v>
      </c>
      <c r="I325" s="81">
        <v>18326780</v>
      </c>
      <c r="J325" s="81">
        <v>9491428</v>
      </c>
      <c r="K325" s="81">
        <v>8835352</v>
      </c>
      <c r="L325" s="81">
        <v>6241760</v>
      </c>
      <c r="M325" s="81">
        <v>2593592</v>
      </c>
      <c r="N325" s="82">
        <v>0.52014657719578405</v>
      </c>
    </row>
    <row r="326" spans="1:14" ht="14.25" hidden="1" customHeight="1">
      <c r="A326" s="78">
        <v>2025</v>
      </c>
      <c r="B326" s="78">
        <v>6</v>
      </c>
      <c r="C326" s="79" t="s">
        <v>184</v>
      </c>
      <c r="D326" s="78" t="s">
        <v>68</v>
      </c>
      <c r="E326" s="80" t="s">
        <v>69</v>
      </c>
      <c r="F326" s="78" t="str">
        <f>VLOOKUP('표1'!$E326,구분!$C$3:$D$72,2,0)</f>
        <v>동일</v>
      </c>
      <c r="G326" s="81">
        <v>74401540</v>
      </c>
      <c r="H326" s="81">
        <v>47616983</v>
      </c>
      <c r="I326" s="81">
        <v>43288166</v>
      </c>
      <c r="J326" s="81">
        <v>21219858</v>
      </c>
      <c r="K326" s="81">
        <v>22068308</v>
      </c>
      <c r="L326" s="81">
        <v>9800720</v>
      </c>
      <c r="M326" s="81">
        <v>12267588</v>
      </c>
      <c r="N326" s="82">
        <v>0.70645289514215204</v>
      </c>
    </row>
    <row r="327" spans="1:14" ht="14.25" hidden="1" customHeight="1">
      <c r="A327" s="78">
        <v>2025</v>
      </c>
      <c r="B327" s="78">
        <v>6</v>
      </c>
      <c r="C327" s="79" t="s">
        <v>184</v>
      </c>
      <c r="D327" s="78" t="s">
        <v>70</v>
      </c>
      <c r="E327" s="80" t="s">
        <v>71</v>
      </c>
      <c r="F327" s="78" t="str">
        <f>VLOOKUP('표1'!$E327,구분!$C$3:$D$72,2,0)</f>
        <v>동일</v>
      </c>
      <c r="G327" s="81">
        <v>18341950</v>
      </c>
      <c r="H327" s="81">
        <v>11738853</v>
      </c>
      <c r="I327" s="81">
        <v>10671685</v>
      </c>
      <c r="J327" s="81">
        <v>4806804</v>
      </c>
      <c r="K327" s="81">
        <v>5864881</v>
      </c>
      <c r="L327" s="81">
        <v>4766430</v>
      </c>
      <c r="M327" s="81">
        <v>1098451</v>
      </c>
      <c r="N327" s="82">
        <v>0.44410835665335102</v>
      </c>
    </row>
    <row r="328" spans="1:14" ht="14.25" hidden="1" customHeight="1">
      <c r="A328" s="78">
        <v>2025</v>
      </c>
      <c r="B328" s="78">
        <v>6</v>
      </c>
      <c r="C328" s="79" t="s">
        <v>184</v>
      </c>
      <c r="D328" s="78" t="s">
        <v>72</v>
      </c>
      <c r="E328" s="80" t="s">
        <v>73</v>
      </c>
      <c r="F328" s="78" t="str">
        <f>VLOOKUP('표1'!$E328,구분!$C$3:$D$72,2,0)</f>
        <v>동일</v>
      </c>
      <c r="G328" s="81">
        <v>20350520</v>
      </c>
      <c r="H328" s="81">
        <v>13227850</v>
      </c>
      <c r="I328" s="81">
        <v>12025318</v>
      </c>
      <c r="J328" s="81">
        <v>6723273</v>
      </c>
      <c r="K328" s="81">
        <v>5302045</v>
      </c>
      <c r="L328" s="81">
        <v>4714930</v>
      </c>
      <c r="M328" s="81">
        <v>587115</v>
      </c>
      <c r="N328" s="82">
        <v>0.81270702679218898</v>
      </c>
    </row>
    <row r="329" spans="1:14" ht="14.25" hidden="1" customHeight="1">
      <c r="A329" s="78">
        <v>2025</v>
      </c>
      <c r="B329" s="78">
        <v>6</v>
      </c>
      <c r="C329" s="79" t="s">
        <v>184</v>
      </c>
      <c r="D329" s="78" t="s">
        <v>74</v>
      </c>
      <c r="E329" s="80" t="s">
        <v>75</v>
      </c>
      <c r="F329" s="78" t="str">
        <f>VLOOKUP('표1'!$E329,구분!$C$3:$D$72,2,0)</f>
        <v>동일</v>
      </c>
      <c r="G329" s="81">
        <v>49521910</v>
      </c>
      <c r="H329" s="81">
        <v>31787640</v>
      </c>
      <c r="I329" s="81">
        <v>28897855</v>
      </c>
      <c r="J329" s="81">
        <v>14491925</v>
      </c>
      <c r="K329" s="81">
        <v>14405930</v>
      </c>
      <c r="L329" s="81">
        <v>5702390</v>
      </c>
      <c r="M329" s="81">
        <v>8703540</v>
      </c>
      <c r="N329" s="82">
        <v>0.88926631139494305</v>
      </c>
    </row>
    <row r="330" spans="1:14" ht="14.25" hidden="1" customHeight="1">
      <c r="A330" s="78">
        <v>2025</v>
      </c>
      <c r="B330" s="78">
        <v>6</v>
      </c>
      <c r="C330" s="79" t="s">
        <v>184</v>
      </c>
      <c r="D330" s="78" t="s">
        <v>76</v>
      </c>
      <c r="E330" s="80" t="s">
        <v>77</v>
      </c>
      <c r="F330" s="78" t="str">
        <f>VLOOKUP('표1'!$E330,구분!$C$3:$D$72,2,0)</f>
        <v>동일</v>
      </c>
      <c r="G330" s="81">
        <v>48386150</v>
      </c>
      <c r="H330" s="81">
        <v>30961174</v>
      </c>
      <c r="I330" s="81">
        <v>28146522</v>
      </c>
      <c r="J330" s="81">
        <v>13833452</v>
      </c>
      <c r="K330" s="81">
        <v>14313070</v>
      </c>
      <c r="L330" s="81">
        <v>7540970</v>
      </c>
      <c r="M330" s="81">
        <v>6772100</v>
      </c>
      <c r="N330" s="82">
        <v>0.39583629796896103</v>
      </c>
    </row>
    <row r="331" spans="1:14" ht="14.25" hidden="1" customHeight="1">
      <c r="A331" s="78">
        <v>2025</v>
      </c>
      <c r="B331" s="78">
        <v>6</v>
      </c>
      <c r="C331" s="79" t="s">
        <v>184</v>
      </c>
      <c r="D331" s="78" t="s">
        <v>78</v>
      </c>
      <c r="E331" s="80" t="s">
        <v>79</v>
      </c>
      <c r="F331" s="78" t="str">
        <f>VLOOKUP('표1'!$E331,구분!$C$3:$D$72,2,0)</f>
        <v>동일</v>
      </c>
      <c r="G331" s="81">
        <v>68013430</v>
      </c>
      <c r="H331" s="81">
        <v>43528596</v>
      </c>
      <c r="I331" s="81">
        <v>39571451</v>
      </c>
      <c r="J331" s="81">
        <v>18833927</v>
      </c>
      <c r="K331" s="81">
        <v>20737524</v>
      </c>
      <c r="L331" s="81">
        <v>6937020</v>
      </c>
      <c r="M331" s="81">
        <v>13800504</v>
      </c>
      <c r="N331" s="82">
        <v>0.526859017667069</v>
      </c>
    </row>
    <row r="332" spans="1:14" ht="14.25" hidden="1" customHeight="1">
      <c r="A332" s="78">
        <v>2025</v>
      </c>
      <c r="B332" s="78">
        <v>6</v>
      </c>
      <c r="C332" s="79" t="s">
        <v>184</v>
      </c>
      <c r="D332" s="78" t="s">
        <v>80</v>
      </c>
      <c r="E332" s="80" t="s">
        <v>81</v>
      </c>
      <c r="F332" s="78" t="str">
        <f>VLOOKUP('표1'!$E332,구분!$C$3:$D$72,2,0)</f>
        <v>동일</v>
      </c>
      <c r="G332" s="81">
        <v>92299790</v>
      </c>
      <c r="H332" s="81">
        <v>59071851</v>
      </c>
      <c r="I332" s="81">
        <v>53701683</v>
      </c>
      <c r="J332" s="81">
        <v>26831284</v>
      </c>
      <c r="K332" s="81">
        <v>26870399</v>
      </c>
      <c r="L332" s="81">
        <v>12603120</v>
      </c>
      <c r="M332" s="81">
        <v>14267279</v>
      </c>
      <c r="N332" s="82">
        <v>0.334515345226364</v>
      </c>
    </row>
    <row r="333" spans="1:14" ht="14.25" hidden="1" customHeight="1">
      <c r="A333" s="78">
        <v>2025</v>
      </c>
      <c r="B333" s="78">
        <v>6</v>
      </c>
      <c r="C333" s="79" t="s">
        <v>184</v>
      </c>
      <c r="D333" s="78" t="s">
        <v>82</v>
      </c>
      <c r="E333" s="80" t="s">
        <v>83</v>
      </c>
      <c r="F333" s="78" t="str">
        <f>VLOOKUP('표1'!$E333,구분!$C$3:$D$72,2,0)</f>
        <v>동일</v>
      </c>
      <c r="G333" s="81">
        <v>48618820</v>
      </c>
      <c r="H333" s="81">
        <v>31978688</v>
      </c>
      <c r="I333" s="81">
        <v>29071535</v>
      </c>
      <c r="J333" s="81">
        <v>14839912</v>
      </c>
      <c r="K333" s="81">
        <v>14231623</v>
      </c>
      <c r="L333" s="81">
        <v>6250980</v>
      </c>
      <c r="M333" s="81">
        <v>7980643</v>
      </c>
      <c r="N333" s="82">
        <v>0.46903360087805201</v>
      </c>
    </row>
    <row r="334" spans="1:14" ht="14.25" hidden="1" customHeight="1">
      <c r="A334" s="78">
        <v>2025</v>
      </c>
      <c r="B334" s="78">
        <v>6</v>
      </c>
      <c r="C334" s="79" t="s">
        <v>184</v>
      </c>
      <c r="D334" s="78" t="s">
        <v>84</v>
      </c>
      <c r="E334" s="80" t="s">
        <v>85</v>
      </c>
      <c r="F334" s="78" t="str">
        <f>VLOOKUP('표1'!$E334,구분!$C$3:$D$72,2,0)</f>
        <v>동일</v>
      </c>
      <c r="G334" s="81">
        <v>76494050</v>
      </c>
      <c r="H334" s="81">
        <v>48956194</v>
      </c>
      <c r="I334" s="81">
        <v>44505631</v>
      </c>
      <c r="J334" s="81">
        <v>22229272</v>
      </c>
      <c r="K334" s="81">
        <v>22276359</v>
      </c>
      <c r="L334" s="81">
        <v>11367160</v>
      </c>
      <c r="M334" s="81">
        <v>10909199</v>
      </c>
      <c r="N334" s="82">
        <v>0.43923170252612798</v>
      </c>
    </row>
    <row r="335" spans="1:14" ht="14.25" hidden="1" customHeight="1">
      <c r="A335" s="78">
        <v>2025</v>
      </c>
      <c r="B335" s="78">
        <v>6</v>
      </c>
      <c r="C335" s="79" t="s">
        <v>184</v>
      </c>
      <c r="D335" s="78" t="s">
        <v>86</v>
      </c>
      <c r="E335" s="80" t="s">
        <v>87</v>
      </c>
      <c r="F335" s="78" t="str">
        <f>VLOOKUP('표1'!$E335,구분!$C$3:$D$72,2,0)</f>
        <v>동일</v>
      </c>
      <c r="G335" s="81">
        <v>41103230</v>
      </c>
      <c r="H335" s="81">
        <v>26306067</v>
      </c>
      <c r="I335" s="81">
        <v>23914606</v>
      </c>
      <c r="J335" s="81">
        <v>11754639</v>
      </c>
      <c r="K335" s="81">
        <v>12159967</v>
      </c>
      <c r="L335" s="81">
        <v>6052080</v>
      </c>
      <c r="M335" s="81">
        <v>6107887</v>
      </c>
      <c r="N335" s="82">
        <v>0.51027908106526698</v>
      </c>
    </row>
    <row r="336" spans="1:14" ht="14.25" hidden="1" customHeight="1">
      <c r="A336" s="78">
        <v>2025</v>
      </c>
      <c r="B336" s="78">
        <v>6</v>
      </c>
      <c r="C336" s="79" t="s">
        <v>184</v>
      </c>
      <c r="D336" s="78" t="s">
        <v>88</v>
      </c>
      <c r="E336" s="80" t="s">
        <v>89</v>
      </c>
      <c r="F336" s="78" t="str">
        <f>VLOOKUP('표1'!$E336,구분!$C$3:$D$72,2,0)</f>
        <v>동일</v>
      </c>
      <c r="G336" s="81">
        <v>40485300</v>
      </c>
      <c r="H336" s="81">
        <v>25910592</v>
      </c>
      <c r="I336" s="81">
        <v>23555084</v>
      </c>
      <c r="J336" s="81">
        <v>12172027</v>
      </c>
      <c r="K336" s="81">
        <v>11383057</v>
      </c>
      <c r="L336" s="81">
        <v>5844570</v>
      </c>
      <c r="M336" s="81">
        <v>5538487</v>
      </c>
      <c r="N336" s="82">
        <v>0.497705298048917</v>
      </c>
    </row>
    <row r="337" spans="1:14" ht="14.25" hidden="1" customHeight="1">
      <c r="A337" s="78">
        <v>2025</v>
      </c>
      <c r="B337" s="78">
        <v>6</v>
      </c>
      <c r="C337" s="79" t="s">
        <v>184</v>
      </c>
      <c r="D337" s="78" t="s">
        <v>90</v>
      </c>
      <c r="E337" s="80" t="s">
        <v>91</v>
      </c>
      <c r="F337" s="78" t="str">
        <f>VLOOKUP('표1'!$E337,구분!$C$3:$D$72,2,0)</f>
        <v>동일</v>
      </c>
      <c r="G337" s="81">
        <v>28565270</v>
      </c>
      <c r="H337" s="81">
        <v>18281773</v>
      </c>
      <c r="I337" s="81">
        <v>16619794</v>
      </c>
      <c r="J337" s="81">
        <v>9356599</v>
      </c>
      <c r="K337" s="81">
        <v>7263195</v>
      </c>
      <c r="L337" s="81">
        <v>5507810</v>
      </c>
      <c r="M337" s="81">
        <v>1755385</v>
      </c>
      <c r="N337" s="82">
        <v>0.51344467483559098</v>
      </c>
    </row>
    <row r="338" spans="1:14" ht="14.25" hidden="1" customHeight="1">
      <c r="A338" s="78">
        <v>2025</v>
      </c>
      <c r="B338" s="78">
        <v>6</v>
      </c>
      <c r="C338" s="79" t="s">
        <v>184</v>
      </c>
      <c r="D338" s="78" t="s">
        <v>92</v>
      </c>
      <c r="E338" s="80" t="s">
        <v>93</v>
      </c>
      <c r="F338" s="78" t="str">
        <f>VLOOKUP('표1'!$E338,구분!$C$3:$D$72,2,0)</f>
        <v>동일</v>
      </c>
      <c r="G338" s="81">
        <v>30334250</v>
      </c>
      <c r="H338" s="81">
        <v>19413920</v>
      </c>
      <c r="I338" s="81">
        <v>17649018</v>
      </c>
      <c r="J338" s="81">
        <v>8028052</v>
      </c>
      <c r="K338" s="81">
        <v>9620966</v>
      </c>
      <c r="L338" s="81">
        <v>5410760</v>
      </c>
      <c r="M338" s="81">
        <v>4210206</v>
      </c>
      <c r="N338" s="82">
        <v>0.75831779265185595</v>
      </c>
    </row>
    <row r="339" spans="1:14" ht="14.25" hidden="1" customHeight="1">
      <c r="A339" s="78">
        <v>2025</v>
      </c>
      <c r="B339" s="78">
        <v>6</v>
      </c>
      <c r="C339" s="79" t="s">
        <v>184</v>
      </c>
      <c r="D339" s="78" t="s">
        <v>94</v>
      </c>
      <c r="E339" s="80" t="s">
        <v>95</v>
      </c>
      <c r="F339" s="78" t="str">
        <f>VLOOKUP('표1'!$E339,구분!$C$3:$D$72,2,0)</f>
        <v>폐점</v>
      </c>
      <c r="G339" s="81">
        <v>50150150</v>
      </c>
      <c r="H339" s="81">
        <v>32096096</v>
      </c>
      <c r="I339" s="81">
        <v>29178269</v>
      </c>
      <c r="J339" s="81">
        <v>14495635</v>
      </c>
      <c r="K339" s="81">
        <v>14682634</v>
      </c>
      <c r="L339" s="81">
        <v>6608460</v>
      </c>
      <c r="M339" s="81">
        <v>8074174</v>
      </c>
      <c r="N339" s="82">
        <v>0.56239259134685704</v>
      </c>
    </row>
    <row r="340" spans="1:14" ht="14.25" hidden="1" customHeight="1">
      <c r="A340" s="78">
        <v>2025</v>
      </c>
      <c r="B340" s="78">
        <v>6</v>
      </c>
      <c r="C340" s="79" t="s">
        <v>184</v>
      </c>
      <c r="D340" s="78" t="s">
        <v>96</v>
      </c>
      <c r="E340" s="80" t="s">
        <v>97</v>
      </c>
      <c r="F340" s="78" t="str">
        <f>VLOOKUP('표1'!$E340,구분!$C$3:$D$72,2,0)</f>
        <v>동일</v>
      </c>
      <c r="G340" s="81">
        <v>98519370</v>
      </c>
      <c r="H340" s="81">
        <v>63052395</v>
      </c>
      <c r="I340" s="81">
        <v>57320359</v>
      </c>
      <c r="J340" s="81">
        <v>28285904</v>
      </c>
      <c r="K340" s="81">
        <v>29034455</v>
      </c>
      <c r="L340" s="81">
        <v>10608920</v>
      </c>
      <c r="M340" s="81">
        <v>18425535</v>
      </c>
      <c r="N340" s="82">
        <v>0.45008681684771301</v>
      </c>
    </row>
    <row r="341" spans="1:14" ht="14.25" hidden="1" customHeight="1">
      <c r="A341" s="78">
        <v>2025</v>
      </c>
      <c r="B341" s="78">
        <v>6</v>
      </c>
      <c r="C341" s="79" t="s">
        <v>184</v>
      </c>
      <c r="D341" s="78" t="s">
        <v>98</v>
      </c>
      <c r="E341" s="80" t="s">
        <v>99</v>
      </c>
      <c r="F341" s="78" t="str">
        <f>VLOOKUP('표1'!$E341,구분!$C$3:$D$72,2,0)</f>
        <v>동일</v>
      </c>
      <c r="G341" s="81">
        <v>77515110</v>
      </c>
      <c r="H341" s="81">
        <v>49609671</v>
      </c>
      <c r="I341" s="81">
        <v>45099701</v>
      </c>
      <c r="J341" s="81">
        <v>21416124</v>
      </c>
      <c r="K341" s="81">
        <v>23683577</v>
      </c>
      <c r="L341" s="81">
        <v>7688380</v>
      </c>
      <c r="M341" s="81">
        <v>15995197</v>
      </c>
      <c r="N341" s="82">
        <v>0.36539070562888099</v>
      </c>
    </row>
    <row r="342" spans="1:14" ht="14.25" hidden="1" customHeight="1">
      <c r="A342" s="78">
        <v>2025</v>
      </c>
      <c r="B342" s="78">
        <v>6</v>
      </c>
      <c r="C342" s="79" t="s">
        <v>184</v>
      </c>
      <c r="D342" s="78" t="s">
        <v>100</v>
      </c>
      <c r="E342" s="80" t="s">
        <v>101</v>
      </c>
      <c r="F342" s="78" t="str">
        <f>VLOOKUP('표1'!$E342,구분!$C$3:$D$72,2,0)</f>
        <v>동일</v>
      </c>
      <c r="G342" s="81">
        <v>128995430</v>
      </c>
      <c r="H342" s="81">
        <v>84754338</v>
      </c>
      <c r="I342" s="81">
        <v>77049398</v>
      </c>
      <c r="J342" s="81">
        <v>37087531</v>
      </c>
      <c r="K342" s="81">
        <v>39961867</v>
      </c>
      <c r="L342" s="81">
        <v>18698540</v>
      </c>
      <c r="M342" s="81">
        <v>21263327</v>
      </c>
      <c r="N342" s="82">
        <v>0.32462917235854999</v>
      </c>
    </row>
    <row r="343" spans="1:14" ht="14.25" hidden="1" customHeight="1">
      <c r="A343" s="78">
        <v>2025</v>
      </c>
      <c r="B343" s="78">
        <v>6</v>
      </c>
      <c r="C343" s="79" t="s">
        <v>184</v>
      </c>
      <c r="D343" s="78" t="s">
        <v>102</v>
      </c>
      <c r="E343" s="80" t="s">
        <v>103</v>
      </c>
      <c r="F343" s="78" t="str">
        <f>VLOOKUP('표1'!$E343,구분!$C$3:$D$72,2,0)</f>
        <v>동일</v>
      </c>
      <c r="G343" s="81">
        <v>100444360</v>
      </c>
      <c r="H343" s="81">
        <v>67315819</v>
      </c>
      <c r="I343" s="81">
        <v>61196199</v>
      </c>
      <c r="J343" s="81">
        <v>28261528</v>
      </c>
      <c r="K343" s="81">
        <v>32934671</v>
      </c>
      <c r="L343" s="81">
        <v>8580240</v>
      </c>
      <c r="M343" s="81">
        <v>24354431</v>
      </c>
      <c r="N343" s="82">
        <v>0.46790956989071603</v>
      </c>
    </row>
    <row r="344" spans="1:14" ht="14.25" hidden="1" customHeight="1">
      <c r="A344" s="78">
        <v>2025</v>
      </c>
      <c r="B344" s="78">
        <v>6</v>
      </c>
      <c r="C344" s="79" t="s">
        <v>184</v>
      </c>
      <c r="D344" s="78" t="s">
        <v>104</v>
      </c>
      <c r="E344" s="80" t="s">
        <v>105</v>
      </c>
      <c r="F344" s="78" t="str">
        <f>VLOOKUP('표1'!$E344,구분!$C$3:$D$72,2,0)</f>
        <v>동일</v>
      </c>
      <c r="G344" s="81">
        <v>25774910</v>
      </c>
      <c r="H344" s="81">
        <v>17413494</v>
      </c>
      <c r="I344" s="81">
        <v>15830449</v>
      </c>
      <c r="J344" s="81">
        <v>7282463</v>
      </c>
      <c r="K344" s="81">
        <v>8547986</v>
      </c>
      <c r="L344" s="81">
        <v>4265800</v>
      </c>
      <c r="M344" s="81">
        <v>4282186</v>
      </c>
      <c r="N344" s="82">
        <v>0.26052302146877399</v>
      </c>
    </row>
    <row r="345" spans="1:14" ht="14.25" hidden="1" customHeight="1">
      <c r="A345" s="78">
        <v>2025</v>
      </c>
      <c r="B345" s="78">
        <v>6</v>
      </c>
      <c r="C345" s="79" t="s">
        <v>184</v>
      </c>
      <c r="D345" s="78" t="s">
        <v>106</v>
      </c>
      <c r="E345" s="80" t="s">
        <v>107</v>
      </c>
      <c r="F345" s="78" t="str">
        <f>VLOOKUP('표1'!$E345,구분!$C$3:$D$72,2,0)</f>
        <v>폐점</v>
      </c>
      <c r="G345" s="81">
        <v>45673580</v>
      </c>
      <c r="H345" s="81">
        <v>28317636</v>
      </c>
      <c r="I345" s="81">
        <v>25743305</v>
      </c>
      <c r="J345" s="81">
        <v>12280034</v>
      </c>
      <c r="K345" s="81">
        <v>13463271</v>
      </c>
      <c r="L345" s="81">
        <v>5491700</v>
      </c>
      <c r="M345" s="81">
        <v>7971571</v>
      </c>
      <c r="N345" s="82">
        <v>0.49904152861270501</v>
      </c>
    </row>
    <row r="346" spans="1:14" ht="14.25" hidden="1" customHeight="1">
      <c r="A346" s="78">
        <v>2025</v>
      </c>
      <c r="B346" s="78">
        <v>6</v>
      </c>
      <c r="C346" s="79" t="s">
        <v>184</v>
      </c>
      <c r="D346" s="78" t="s">
        <v>108</v>
      </c>
      <c r="E346" s="80" t="s">
        <v>109</v>
      </c>
      <c r="F346" s="78" t="str">
        <f>VLOOKUP('표1'!$E346,구분!$C$3:$D$72,2,0)</f>
        <v>동일</v>
      </c>
      <c r="G346" s="81">
        <v>41618750</v>
      </c>
      <c r="H346" s="81">
        <v>25803639</v>
      </c>
      <c r="I346" s="81">
        <v>23457854</v>
      </c>
      <c r="J346" s="81">
        <v>11207586</v>
      </c>
      <c r="K346" s="81">
        <v>12250268</v>
      </c>
      <c r="L346" s="81">
        <v>6455240</v>
      </c>
      <c r="M346" s="81">
        <v>5795028</v>
      </c>
      <c r="N346" s="82">
        <v>0.40790235894382598</v>
      </c>
    </row>
    <row r="347" spans="1:14" ht="14.25" hidden="1" customHeight="1">
      <c r="A347" s="78">
        <v>2025</v>
      </c>
      <c r="B347" s="78">
        <v>6</v>
      </c>
      <c r="C347" s="79" t="s">
        <v>184</v>
      </c>
      <c r="D347" s="78" t="s">
        <v>110</v>
      </c>
      <c r="E347" s="80" t="s">
        <v>111</v>
      </c>
      <c r="F347" s="78" t="str">
        <f>VLOOKUP('표1'!$E347,구분!$C$3:$D$72,2,0)</f>
        <v>동일</v>
      </c>
      <c r="G347" s="81">
        <v>122447750</v>
      </c>
      <c r="H347" s="81">
        <v>78027656</v>
      </c>
      <c r="I347" s="81">
        <v>70934233</v>
      </c>
      <c r="J347" s="81">
        <v>34550835</v>
      </c>
      <c r="K347" s="81">
        <v>36383398</v>
      </c>
      <c r="L347" s="81">
        <v>17077890</v>
      </c>
      <c r="M347" s="81">
        <v>19305508</v>
      </c>
      <c r="N347" s="82">
        <v>0.52694683904058304</v>
      </c>
    </row>
    <row r="348" spans="1:14" ht="14.25" hidden="1" customHeight="1">
      <c r="A348" s="78">
        <v>2025</v>
      </c>
      <c r="B348" s="78">
        <v>6</v>
      </c>
      <c r="C348" s="79" t="s">
        <v>184</v>
      </c>
      <c r="D348" s="78" t="s">
        <v>112</v>
      </c>
      <c r="E348" s="80" t="s">
        <v>113</v>
      </c>
      <c r="F348" s="78" t="str">
        <f>VLOOKUP('표1'!$E348,구분!$C$3:$D$72,2,0)</f>
        <v>동일</v>
      </c>
      <c r="G348" s="81">
        <v>83879660</v>
      </c>
      <c r="H348" s="81">
        <v>57731778</v>
      </c>
      <c r="I348" s="81">
        <v>52483435</v>
      </c>
      <c r="J348" s="81">
        <v>23633699</v>
      </c>
      <c r="K348" s="81">
        <v>28849736</v>
      </c>
      <c r="L348" s="81">
        <v>7606930</v>
      </c>
      <c r="M348" s="81">
        <v>21242806</v>
      </c>
      <c r="N348" s="82">
        <v>0.46938688904208498</v>
      </c>
    </row>
    <row r="349" spans="1:14" ht="14.25" hidden="1" customHeight="1">
      <c r="A349" s="78">
        <v>2025</v>
      </c>
      <c r="B349" s="78">
        <v>6</v>
      </c>
      <c r="C349" s="79" t="s">
        <v>184</v>
      </c>
      <c r="D349" s="78" t="s">
        <v>114</v>
      </c>
      <c r="E349" s="80" t="s">
        <v>115</v>
      </c>
      <c r="F349" s="78" t="str">
        <f>VLOOKUP('표1'!$E349,구분!$C$3:$D$72,2,0)</f>
        <v>폐점</v>
      </c>
      <c r="G349" s="81">
        <v>34710750</v>
      </c>
      <c r="H349" s="81">
        <v>22470967</v>
      </c>
      <c r="I349" s="81">
        <v>20428152</v>
      </c>
      <c r="J349" s="81">
        <v>9386024</v>
      </c>
      <c r="K349" s="81">
        <v>11042128</v>
      </c>
      <c r="L349" s="81">
        <v>3505210</v>
      </c>
      <c r="M349" s="81">
        <v>7536918</v>
      </c>
      <c r="N349" s="82">
        <v>0.26367416325750798</v>
      </c>
    </row>
    <row r="350" spans="1:14" ht="14.25" hidden="1" customHeight="1">
      <c r="A350" s="78">
        <v>2025</v>
      </c>
      <c r="B350" s="78">
        <v>6</v>
      </c>
      <c r="C350" s="79" t="s">
        <v>184</v>
      </c>
      <c r="D350" s="78" t="s">
        <v>116</v>
      </c>
      <c r="E350" s="80" t="s">
        <v>117</v>
      </c>
      <c r="F350" s="78" t="str">
        <f>VLOOKUP('표1'!$E350,구분!$C$3:$D$72,2,0)</f>
        <v>동일</v>
      </c>
      <c r="G350" s="81">
        <v>29243520</v>
      </c>
      <c r="H350" s="81">
        <v>20164791</v>
      </c>
      <c r="I350" s="81">
        <v>18331628</v>
      </c>
      <c r="J350" s="81">
        <v>8467495</v>
      </c>
      <c r="K350" s="81">
        <v>9864133</v>
      </c>
      <c r="L350" s="81">
        <v>6628950</v>
      </c>
      <c r="M350" s="81">
        <v>3235183</v>
      </c>
      <c r="N350" s="82">
        <v>0.31743971814128602</v>
      </c>
    </row>
    <row r="351" spans="1:14" ht="14.25" hidden="1" customHeight="1">
      <c r="A351" s="78">
        <v>2025</v>
      </c>
      <c r="B351" s="78">
        <v>6</v>
      </c>
      <c r="C351" s="79" t="s">
        <v>184</v>
      </c>
      <c r="D351" s="78" t="s">
        <v>118</v>
      </c>
      <c r="E351" s="80" t="s">
        <v>119</v>
      </c>
      <c r="F351" s="78" t="str">
        <f>VLOOKUP('표1'!$E351,구분!$C$3:$D$72,2,0)</f>
        <v>동일</v>
      </c>
      <c r="G351" s="81">
        <v>126902360</v>
      </c>
      <c r="H351" s="81">
        <v>83188002</v>
      </c>
      <c r="I351" s="81">
        <v>75625456</v>
      </c>
      <c r="J351" s="81">
        <v>34804357</v>
      </c>
      <c r="K351" s="81">
        <v>40821099</v>
      </c>
      <c r="L351" s="81">
        <v>17180750</v>
      </c>
      <c r="M351" s="81">
        <v>23640349</v>
      </c>
      <c r="N351" s="82">
        <v>0.67202561036028197</v>
      </c>
    </row>
    <row r="352" spans="1:14" ht="14.25" hidden="1" customHeight="1">
      <c r="A352" s="78">
        <v>2025</v>
      </c>
      <c r="B352" s="78">
        <v>6</v>
      </c>
      <c r="C352" s="79" t="s">
        <v>184</v>
      </c>
      <c r="D352" s="78" t="s">
        <v>180</v>
      </c>
      <c r="E352" s="80" t="s">
        <v>181</v>
      </c>
      <c r="F352" s="78" t="str">
        <f>VLOOKUP('표1'!$E352,구분!$C$3:$D$72,2,0)</f>
        <v>동일</v>
      </c>
      <c r="G352" s="81">
        <v>49444710</v>
      </c>
      <c r="H352" s="81">
        <v>32637048</v>
      </c>
      <c r="I352" s="81">
        <v>29670044</v>
      </c>
      <c r="J352" s="81">
        <v>14648472</v>
      </c>
      <c r="K352" s="81">
        <v>15021572</v>
      </c>
      <c r="L352" s="81">
        <v>6661530</v>
      </c>
      <c r="M352" s="81">
        <v>8360042</v>
      </c>
      <c r="N352" s="82">
        <v>0.42087916349336901</v>
      </c>
    </row>
    <row r="353" spans="1:14" ht="14.25" hidden="1" customHeight="1">
      <c r="A353" s="78">
        <v>2025</v>
      </c>
      <c r="B353" s="78">
        <v>6</v>
      </c>
      <c r="C353" s="79" t="s">
        <v>184</v>
      </c>
      <c r="D353" s="78" t="s">
        <v>120</v>
      </c>
      <c r="E353" s="80" t="s">
        <v>121</v>
      </c>
      <c r="F353" s="78" t="str">
        <f>VLOOKUP('표1'!$E353,구분!$C$3:$D$72,2,0)</f>
        <v>동일</v>
      </c>
      <c r="G353" s="81">
        <v>111176630</v>
      </c>
      <c r="H353" s="81">
        <v>70862754</v>
      </c>
      <c r="I353" s="81">
        <v>64420685</v>
      </c>
      <c r="J353" s="81">
        <v>30375918</v>
      </c>
      <c r="K353" s="81">
        <v>34044767</v>
      </c>
      <c r="L353" s="81">
        <v>13233230</v>
      </c>
      <c r="M353" s="81">
        <v>20811537</v>
      </c>
      <c r="N353" s="82">
        <v>0.44346423929532802</v>
      </c>
    </row>
    <row r="354" spans="1:14" ht="14.25" hidden="1" customHeight="1">
      <c r="A354" s="78">
        <v>2025</v>
      </c>
      <c r="B354" s="78">
        <v>6</v>
      </c>
      <c r="C354" s="79" t="s">
        <v>184</v>
      </c>
      <c r="D354" s="78" t="s">
        <v>122</v>
      </c>
      <c r="E354" s="80" t="s">
        <v>123</v>
      </c>
      <c r="F354" s="78" t="str">
        <f>VLOOKUP('표1'!$E354,구분!$C$3:$D$72,2,0)</f>
        <v>동일</v>
      </c>
      <c r="G354" s="81">
        <v>62921980</v>
      </c>
      <c r="H354" s="81">
        <v>39929099</v>
      </c>
      <c r="I354" s="81">
        <v>36299181</v>
      </c>
      <c r="J354" s="81">
        <v>18259750</v>
      </c>
      <c r="K354" s="81">
        <v>18039431</v>
      </c>
      <c r="L354" s="81">
        <v>10598900</v>
      </c>
      <c r="M354" s="81">
        <v>7440531</v>
      </c>
      <c r="N354" s="82">
        <v>0.38870085379053998</v>
      </c>
    </row>
    <row r="355" spans="1:14" ht="14.25" hidden="1" customHeight="1">
      <c r="A355" s="78">
        <v>2025</v>
      </c>
      <c r="B355" s="78">
        <v>6</v>
      </c>
      <c r="C355" s="79" t="s">
        <v>184</v>
      </c>
      <c r="D355" s="78" t="s">
        <v>124</v>
      </c>
      <c r="E355" s="80" t="s">
        <v>125</v>
      </c>
      <c r="F355" s="78" t="str">
        <f>VLOOKUP('표1'!$E355,구분!$C$3:$D$72,2,0)</f>
        <v>동일</v>
      </c>
      <c r="G355" s="81">
        <v>100074100</v>
      </c>
      <c r="H355" s="81">
        <v>63046683</v>
      </c>
      <c r="I355" s="81">
        <v>57315166</v>
      </c>
      <c r="J355" s="81">
        <v>26754810</v>
      </c>
      <c r="K355" s="81">
        <v>30560356</v>
      </c>
      <c r="L355" s="81">
        <v>7919940</v>
      </c>
      <c r="M355" s="81">
        <v>22640416</v>
      </c>
      <c r="N355" s="82">
        <v>0.58754070458208996</v>
      </c>
    </row>
    <row r="356" spans="1:14" ht="14.25" hidden="1" customHeight="1">
      <c r="A356" s="78">
        <v>2025</v>
      </c>
      <c r="B356" s="78">
        <v>6</v>
      </c>
      <c r="C356" s="79" t="s">
        <v>184</v>
      </c>
      <c r="D356" s="78" t="s">
        <v>126</v>
      </c>
      <c r="E356" s="80" t="s">
        <v>127</v>
      </c>
      <c r="F356" s="78" t="str">
        <f>VLOOKUP('표1'!$E356,구분!$C$3:$D$72,2,0)</f>
        <v>동일</v>
      </c>
      <c r="G356" s="81">
        <v>104861890</v>
      </c>
      <c r="H356" s="81">
        <v>66559188</v>
      </c>
      <c r="I356" s="81">
        <v>60508353</v>
      </c>
      <c r="J356" s="81">
        <v>30007989</v>
      </c>
      <c r="K356" s="81">
        <v>30500364</v>
      </c>
      <c r="L356" s="81">
        <v>15730580</v>
      </c>
      <c r="M356" s="81">
        <v>14769784</v>
      </c>
      <c r="N356" s="82">
        <v>0.25915732133486902</v>
      </c>
    </row>
    <row r="357" spans="1:14" ht="14.25" customHeight="1">
      <c r="A357" s="78">
        <v>2025</v>
      </c>
      <c r="B357" s="78">
        <v>6</v>
      </c>
      <c r="C357" s="79" t="s">
        <v>184</v>
      </c>
      <c r="D357" s="78" t="s">
        <v>128</v>
      </c>
      <c r="E357" s="80" t="s">
        <v>129</v>
      </c>
      <c r="F357" s="78" t="str">
        <f>VLOOKUP('표1'!$E357,구분!$C$3:$D$72,2,0)</f>
        <v>동일</v>
      </c>
      <c r="G357" s="81">
        <v>166498110</v>
      </c>
      <c r="H357" s="81">
        <v>106116680</v>
      </c>
      <c r="I357" s="81">
        <v>96469709</v>
      </c>
      <c r="J357" s="81">
        <v>51551397</v>
      </c>
      <c r="K357" s="81">
        <v>44918312</v>
      </c>
      <c r="L357" s="81">
        <v>24143530</v>
      </c>
      <c r="M357" s="81">
        <v>20774782</v>
      </c>
      <c r="N357" s="82">
        <v>0.51575056612439096</v>
      </c>
    </row>
    <row r="358" spans="1:14" ht="14.25" hidden="1" customHeight="1">
      <c r="A358" s="78">
        <v>2025</v>
      </c>
      <c r="B358" s="78">
        <v>6</v>
      </c>
      <c r="C358" s="79" t="s">
        <v>184</v>
      </c>
      <c r="D358" s="78" t="s">
        <v>130</v>
      </c>
      <c r="E358" s="80" t="s">
        <v>131</v>
      </c>
      <c r="F358" s="78" t="str">
        <f>VLOOKUP('표1'!$E358,구분!$C$3:$D$72,2,0)</f>
        <v>동일</v>
      </c>
      <c r="G358" s="81">
        <v>64198590</v>
      </c>
      <c r="H358" s="81">
        <v>40445129</v>
      </c>
      <c r="I358" s="81">
        <v>36768299</v>
      </c>
      <c r="J358" s="81">
        <v>18131495</v>
      </c>
      <c r="K358" s="81">
        <v>18636804</v>
      </c>
      <c r="L358" s="81">
        <v>8283520</v>
      </c>
      <c r="M358" s="81">
        <v>10353284</v>
      </c>
      <c r="N358" s="82">
        <v>0.53749860413276396</v>
      </c>
    </row>
    <row r="359" spans="1:14" ht="14.25" hidden="1" customHeight="1">
      <c r="A359" s="78">
        <v>2025</v>
      </c>
      <c r="B359" s="78">
        <v>6</v>
      </c>
      <c r="C359" s="79" t="s">
        <v>184</v>
      </c>
      <c r="D359" s="78" t="s">
        <v>132</v>
      </c>
      <c r="E359" s="80" t="s">
        <v>133</v>
      </c>
      <c r="F359" s="78" t="str">
        <f>VLOOKUP('표1'!$E359,구분!$C$3:$D$72,2,0)</f>
        <v>동일</v>
      </c>
      <c r="G359" s="81">
        <v>34993550</v>
      </c>
      <c r="H359" s="81">
        <v>22045938</v>
      </c>
      <c r="I359" s="81">
        <v>20041762</v>
      </c>
      <c r="J359" s="81">
        <v>8908295</v>
      </c>
      <c r="K359" s="81">
        <v>11133467</v>
      </c>
      <c r="L359" s="81">
        <v>4947600</v>
      </c>
      <c r="M359" s="81">
        <v>6185867</v>
      </c>
      <c r="N359" s="82">
        <v>0.44447105844972101</v>
      </c>
    </row>
    <row r="360" spans="1:14" ht="14.25" hidden="1" customHeight="1">
      <c r="A360" s="78">
        <v>2025</v>
      </c>
      <c r="B360" s="78">
        <v>6</v>
      </c>
      <c r="C360" s="79" t="s">
        <v>184</v>
      </c>
      <c r="D360" s="78" t="s">
        <v>134</v>
      </c>
      <c r="E360" s="80" t="s">
        <v>135</v>
      </c>
      <c r="F360" s="78" t="str">
        <f>VLOOKUP('표1'!$E360,구분!$C$3:$D$72,2,0)</f>
        <v>동일</v>
      </c>
      <c r="G360" s="81">
        <v>58550720</v>
      </c>
      <c r="H360" s="81">
        <v>37130852</v>
      </c>
      <c r="I360" s="81">
        <v>33755320</v>
      </c>
      <c r="J360" s="81">
        <v>17362234</v>
      </c>
      <c r="K360" s="81">
        <v>16393086</v>
      </c>
      <c r="L360" s="81">
        <v>7510990</v>
      </c>
      <c r="M360" s="81">
        <v>8882096</v>
      </c>
      <c r="N360" s="82">
        <v>0.44438987424132997</v>
      </c>
    </row>
    <row r="361" spans="1:14" ht="14.25" hidden="1" customHeight="1">
      <c r="A361" s="78">
        <v>2025</v>
      </c>
      <c r="B361" s="78">
        <v>6</v>
      </c>
      <c r="C361" s="79" t="s">
        <v>184</v>
      </c>
      <c r="D361" s="78" t="s">
        <v>136</v>
      </c>
      <c r="E361" s="80" t="s">
        <v>137</v>
      </c>
      <c r="F361" s="78" t="str">
        <f>VLOOKUP('표1'!$E361,구분!$C$3:$D$72,2,0)</f>
        <v>동일</v>
      </c>
      <c r="G361" s="81">
        <v>64382190</v>
      </c>
      <c r="H361" s="81">
        <v>41206080</v>
      </c>
      <c r="I361" s="81">
        <v>37460073</v>
      </c>
      <c r="J361" s="81">
        <v>18825106</v>
      </c>
      <c r="K361" s="81">
        <v>18634967</v>
      </c>
      <c r="L361" s="81">
        <v>6717050</v>
      </c>
      <c r="M361" s="81">
        <v>11917917</v>
      </c>
      <c r="N361" s="82">
        <v>0.458180357255492</v>
      </c>
    </row>
    <row r="362" spans="1:14" ht="14.25" hidden="1" customHeight="1">
      <c r="A362" s="78">
        <v>2025</v>
      </c>
      <c r="B362" s="78">
        <v>6</v>
      </c>
      <c r="C362" s="79" t="s">
        <v>184</v>
      </c>
      <c r="D362" s="78" t="s">
        <v>138</v>
      </c>
      <c r="E362" s="80" t="s">
        <v>139</v>
      </c>
      <c r="F362" s="78" t="str">
        <f>VLOOKUP('표1'!$E362,구분!$C$3:$D$72,2,0)</f>
        <v>동일</v>
      </c>
      <c r="G362" s="81">
        <v>38019870</v>
      </c>
      <c r="H362" s="81">
        <v>23950886</v>
      </c>
      <c r="I362" s="81">
        <v>21773533</v>
      </c>
      <c r="J362" s="81">
        <v>9976527</v>
      </c>
      <c r="K362" s="81">
        <v>11797006</v>
      </c>
      <c r="L362" s="81">
        <v>4581770</v>
      </c>
      <c r="M362" s="81">
        <v>7215236</v>
      </c>
      <c r="N362" s="82">
        <v>0.36045408612744001</v>
      </c>
    </row>
    <row r="363" spans="1:14" ht="14.25" hidden="1" customHeight="1">
      <c r="A363" s="78">
        <v>2025</v>
      </c>
      <c r="B363" s="78">
        <v>6</v>
      </c>
      <c r="C363" s="79" t="s">
        <v>184</v>
      </c>
      <c r="D363" s="78" t="s">
        <v>140</v>
      </c>
      <c r="E363" s="80" t="s">
        <v>141</v>
      </c>
      <c r="F363" s="78" t="str">
        <f>VLOOKUP('표1'!$E363,구분!$C$3:$D$72,2,0)</f>
        <v>동일</v>
      </c>
      <c r="G363" s="81">
        <v>100269630</v>
      </c>
      <c r="H363" s="81">
        <v>63386698</v>
      </c>
      <c r="I363" s="81">
        <v>57624271</v>
      </c>
      <c r="J363" s="81">
        <v>27604821</v>
      </c>
      <c r="K363" s="81">
        <v>30019450</v>
      </c>
      <c r="L363" s="81">
        <v>12544900</v>
      </c>
      <c r="M363" s="81">
        <v>17474550</v>
      </c>
      <c r="N363" s="82">
        <v>0.38838413746674399</v>
      </c>
    </row>
    <row r="364" spans="1:14" ht="14.25" hidden="1" customHeight="1">
      <c r="A364" s="78">
        <v>2025</v>
      </c>
      <c r="B364" s="78">
        <v>6</v>
      </c>
      <c r="C364" s="79" t="s">
        <v>184</v>
      </c>
      <c r="D364" s="78" t="s">
        <v>142</v>
      </c>
      <c r="E364" s="80" t="s">
        <v>143</v>
      </c>
      <c r="F364" s="78" t="str">
        <f>VLOOKUP('표1'!$E364,구분!$C$3:$D$72,2,0)</f>
        <v>동일</v>
      </c>
      <c r="G364" s="81">
        <v>81439560</v>
      </c>
      <c r="H364" s="81">
        <v>52255250</v>
      </c>
      <c r="I364" s="81">
        <v>47504773</v>
      </c>
      <c r="J364" s="81">
        <v>23907224</v>
      </c>
      <c r="K364" s="81">
        <v>23597549</v>
      </c>
      <c r="L364" s="81">
        <v>6094790</v>
      </c>
      <c r="M364" s="81">
        <v>17502759</v>
      </c>
      <c r="N364" s="82">
        <v>0.41789239976082199</v>
      </c>
    </row>
    <row r="365" spans="1:14" ht="14.25" hidden="1" customHeight="1">
      <c r="A365" s="78">
        <v>2025</v>
      </c>
      <c r="B365" s="78">
        <v>6</v>
      </c>
      <c r="C365" s="79" t="s">
        <v>184</v>
      </c>
      <c r="D365" s="78" t="s">
        <v>144</v>
      </c>
      <c r="E365" s="80" t="s">
        <v>145</v>
      </c>
      <c r="F365" s="78" t="str">
        <f>VLOOKUP('표1'!$E365,구분!$C$3:$D$72,2,0)</f>
        <v>동일</v>
      </c>
      <c r="G365" s="81">
        <v>56548110</v>
      </c>
      <c r="H365" s="81">
        <v>35934274</v>
      </c>
      <c r="I365" s="81">
        <v>32667522</v>
      </c>
      <c r="J365" s="81">
        <v>15586275</v>
      </c>
      <c r="K365" s="81">
        <v>17081247</v>
      </c>
      <c r="L365" s="81">
        <v>6701940</v>
      </c>
      <c r="M365" s="81">
        <v>10379307</v>
      </c>
      <c r="N365" s="82">
        <v>0.25828063753570302</v>
      </c>
    </row>
    <row r="366" spans="1:14" ht="14.25" hidden="1" customHeight="1">
      <c r="A366" s="78">
        <v>2025</v>
      </c>
      <c r="B366" s="78">
        <v>6</v>
      </c>
      <c r="C366" s="79" t="s">
        <v>184</v>
      </c>
      <c r="D366" s="78" t="s">
        <v>146</v>
      </c>
      <c r="E366" s="80" t="s">
        <v>147</v>
      </c>
      <c r="F366" s="78" t="str">
        <f>VLOOKUP('표1'!$E366,구분!$C$3:$D$72,2,0)</f>
        <v>동일</v>
      </c>
      <c r="G366" s="81">
        <v>122633180</v>
      </c>
      <c r="H366" s="81">
        <v>77014637</v>
      </c>
      <c r="I366" s="81">
        <v>70013306</v>
      </c>
      <c r="J366" s="81">
        <v>37310421</v>
      </c>
      <c r="K366" s="81">
        <v>32702885</v>
      </c>
      <c r="L366" s="81">
        <v>15138040</v>
      </c>
      <c r="M366" s="81">
        <v>17564845</v>
      </c>
      <c r="N366" s="82">
        <v>0.39235660019435398</v>
      </c>
    </row>
    <row r="367" spans="1:14" ht="14.25" hidden="1" customHeight="1">
      <c r="A367" s="78">
        <v>2025</v>
      </c>
      <c r="B367" s="78">
        <v>6</v>
      </c>
      <c r="C367" s="79" t="s">
        <v>184</v>
      </c>
      <c r="D367" s="78" t="s">
        <v>148</v>
      </c>
      <c r="E367" s="80" t="s">
        <v>149</v>
      </c>
      <c r="F367" s="78" t="str">
        <f>VLOOKUP('표1'!$E367,구분!$C$3:$D$72,2,0)</f>
        <v>동일</v>
      </c>
      <c r="G367" s="81">
        <v>30270470</v>
      </c>
      <c r="H367" s="81">
        <v>18944979</v>
      </c>
      <c r="I367" s="81">
        <v>17222708</v>
      </c>
      <c r="J367" s="81">
        <v>8679131</v>
      </c>
      <c r="K367" s="81">
        <v>8543577</v>
      </c>
      <c r="L367" s="81">
        <v>4862610</v>
      </c>
      <c r="M367" s="81">
        <v>3680967</v>
      </c>
      <c r="N367" s="82">
        <v>0.46289616344246098</v>
      </c>
    </row>
    <row r="368" spans="1:14" ht="14.25" hidden="1" customHeight="1">
      <c r="A368" s="78">
        <v>2025</v>
      </c>
      <c r="B368" s="78">
        <v>6</v>
      </c>
      <c r="C368" s="79" t="s">
        <v>184</v>
      </c>
      <c r="D368" s="78" t="s">
        <v>150</v>
      </c>
      <c r="E368" s="80" t="s">
        <v>151</v>
      </c>
      <c r="F368" s="78" t="str">
        <f>VLOOKUP('표1'!$E368,구분!$C$3:$D$72,2,0)</f>
        <v>동일</v>
      </c>
      <c r="G368" s="81">
        <v>39714640</v>
      </c>
      <c r="H368" s="81">
        <v>24797727</v>
      </c>
      <c r="I368" s="81">
        <v>22543388</v>
      </c>
      <c r="J368" s="81">
        <v>10383080</v>
      </c>
      <c r="K368" s="81">
        <v>12160308</v>
      </c>
      <c r="L368" s="81">
        <v>5225120</v>
      </c>
      <c r="M368" s="81">
        <v>6935188</v>
      </c>
      <c r="N368" s="82">
        <v>0.56915388016049995</v>
      </c>
    </row>
    <row r="369" spans="1:14" ht="15" hidden="1" customHeight="1">
      <c r="A369" s="78">
        <v>2025</v>
      </c>
      <c r="B369" s="78">
        <v>6</v>
      </c>
      <c r="C369" s="79" t="s">
        <v>184</v>
      </c>
      <c r="D369" s="78" t="s">
        <v>152</v>
      </c>
      <c r="E369" s="78" t="s">
        <v>153</v>
      </c>
      <c r="F369" s="78" t="str">
        <f>VLOOKUP('표1'!$E369,구분!$C$3:$D$72,2,0)</f>
        <v>동일</v>
      </c>
      <c r="G369" s="81">
        <v>37352360</v>
      </c>
      <c r="H369" s="81">
        <v>23222850</v>
      </c>
      <c r="I369" s="81">
        <v>21111682</v>
      </c>
      <c r="J369" s="81">
        <v>10590247</v>
      </c>
      <c r="K369" s="81">
        <v>10521435</v>
      </c>
      <c r="L369" s="81">
        <v>6740440</v>
      </c>
      <c r="M369" s="81">
        <v>3780995</v>
      </c>
      <c r="N369" s="82">
        <v>0.42968648491469102</v>
      </c>
    </row>
    <row r="370" spans="1:14" ht="14.25" hidden="1" customHeight="1">
      <c r="A370" s="78">
        <v>2025</v>
      </c>
      <c r="B370" s="78">
        <v>6</v>
      </c>
      <c r="C370" s="79" t="s">
        <v>184</v>
      </c>
      <c r="D370" s="78" t="s">
        <v>154</v>
      </c>
      <c r="E370" s="80" t="s">
        <v>155</v>
      </c>
      <c r="F370" s="78" t="str">
        <f>VLOOKUP('표1'!$E370,구분!$C$3:$D$72,2,0)</f>
        <v>동일</v>
      </c>
      <c r="G370" s="81">
        <v>105243810</v>
      </c>
      <c r="H370" s="81">
        <v>66303644</v>
      </c>
      <c r="I370" s="81">
        <v>60276040</v>
      </c>
      <c r="J370" s="81">
        <v>30053557</v>
      </c>
      <c r="K370" s="81">
        <v>30222483</v>
      </c>
      <c r="L370" s="81">
        <v>16880440</v>
      </c>
      <c r="M370" s="81">
        <v>13342043</v>
      </c>
      <c r="N370" s="82">
        <v>0.64063884821794803</v>
      </c>
    </row>
    <row r="371" spans="1:14" ht="14.25" hidden="1" customHeight="1">
      <c r="A371" s="78">
        <v>2025</v>
      </c>
      <c r="B371" s="78">
        <v>6</v>
      </c>
      <c r="C371" s="79" t="s">
        <v>184</v>
      </c>
      <c r="D371" s="78" t="s">
        <v>156</v>
      </c>
      <c r="E371" s="80" t="s">
        <v>157</v>
      </c>
      <c r="F371" s="78" t="str">
        <f>VLOOKUP('표1'!$E371,구분!$C$3:$D$72,2,0)</f>
        <v>동일</v>
      </c>
      <c r="G371" s="81">
        <v>112948510</v>
      </c>
      <c r="H371" s="81">
        <v>86405713</v>
      </c>
      <c r="I371" s="81">
        <v>78550648</v>
      </c>
      <c r="J371" s="81">
        <v>37222421</v>
      </c>
      <c r="K371" s="81">
        <v>41328227</v>
      </c>
      <c r="L371" s="81">
        <v>15249350</v>
      </c>
      <c r="M371" s="81">
        <v>26078877</v>
      </c>
      <c r="N371" s="82">
        <v>0.55853915113460395</v>
      </c>
    </row>
    <row r="372" spans="1:14" ht="14.25" hidden="1" customHeight="1">
      <c r="A372" s="78">
        <v>2025</v>
      </c>
      <c r="B372" s="78">
        <v>6</v>
      </c>
      <c r="C372" s="79" t="s">
        <v>184</v>
      </c>
      <c r="D372" s="78" t="s">
        <v>158</v>
      </c>
      <c r="E372" s="80" t="s">
        <v>159</v>
      </c>
      <c r="F372" s="78" t="str">
        <f>VLOOKUP('표1'!$E372,구분!$C$3:$D$72,2,0)</f>
        <v>동일</v>
      </c>
      <c r="G372" s="81">
        <v>68240660</v>
      </c>
      <c r="H372" s="81">
        <v>52545366</v>
      </c>
      <c r="I372" s="81">
        <v>47768515</v>
      </c>
      <c r="J372" s="81">
        <v>21344832</v>
      </c>
      <c r="K372" s="81">
        <v>26423683</v>
      </c>
      <c r="L372" s="81">
        <v>10845010</v>
      </c>
      <c r="M372" s="81">
        <v>15578673</v>
      </c>
      <c r="N372" s="82">
        <v>0.36898147118675101</v>
      </c>
    </row>
    <row r="373" spans="1:14" ht="14.25" hidden="1" customHeight="1">
      <c r="A373" s="78">
        <v>2025</v>
      </c>
      <c r="B373" s="78">
        <v>6</v>
      </c>
      <c r="C373" s="79" t="s">
        <v>184</v>
      </c>
      <c r="D373" s="78" t="s">
        <v>160</v>
      </c>
      <c r="E373" s="80" t="s">
        <v>161</v>
      </c>
      <c r="F373" s="78" t="str">
        <f>VLOOKUP('표1'!$E373,구분!$C$3:$D$72,2,0)</f>
        <v>동일</v>
      </c>
      <c r="G373" s="81">
        <v>52778180</v>
      </c>
      <c r="H373" s="81">
        <v>40375356</v>
      </c>
      <c r="I373" s="81">
        <v>36704869</v>
      </c>
      <c r="J373" s="81">
        <v>16077395</v>
      </c>
      <c r="K373" s="81">
        <v>20627474</v>
      </c>
      <c r="L373" s="81">
        <v>7010340</v>
      </c>
      <c r="M373" s="81">
        <v>13617134</v>
      </c>
      <c r="N373" s="82">
        <v>0.410427645532986</v>
      </c>
    </row>
    <row r="374" spans="1:14" ht="14.25" hidden="1" customHeight="1">
      <c r="A374" s="78">
        <v>2025</v>
      </c>
      <c r="B374" s="78">
        <v>6</v>
      </c>
      <c r="C374" s="79" t="s">
        <v>184</v>
      </c>
      <c r="D374" s="78" t="s">
        <v>162</v>
      </c>
      <c r="E374" s="80" t="s">
        <v>163</v>
      </c>
      <c r="F374" s="78" t="str">
        <f>VLOOKUP('표1'!$E374,구분!$C$3:$D$72,2,0)</f>
        <v>동일</v>
      </c>
      <c r="G374" s="81">
        <v>32058260</v>
      </c>
      <c r="H374" s="81">
        <v>24684881</v>
      </c>
      <c r="I374" s="81">
        <v>22440801</v>
      </c>
      <c r="J374" s="81">
        <v>11612861</v>
      </c>
      <c r="K374" s="81">
        <v>10827940</v>
      </c>
      <c r="L374" s="81">
        <v>4978100</v>
      </c>
      <c r="M374" s="81">
        <v>5849840</v>
      </c>
      <c r="N374" s="82">
        <v>0.33985450666426698</v>
      </c>
    </row>
    <row r="375" spans="1:14" ht="14.25" hidden="1" customHeight="1">
      <c r="A375" s="78">
        <v>2025</v>
      </c>
      <c r="B375" s="78">
        <v>6</v>
      </c>
      <c r="C375" s="79" t="s">
        <v>184</v>
      </c>
      <c r="D375" s="78" t="s">
        <v>164</v>
      </c>
      <c r="E375" s="80" t="s">
        <v>165</v>
      </c>
      <c r="F375" s="78" t="str">
        <f>VLOOKUP('표1'!$E375,구분!$C$3:$D$72,2,0)</f>
        <v>동일</v>
      </c>
      <c r="G375" s="81">
        <v>48157380</v>
      </c>
      <c r="H375" s="81">
        <v>37081232</v>
      </c>
      <c r="I375" s="81">
        <v>33710211</v>
      </c>
      <c r="J375" s="81">
        <v>16480082</v>
      </c>
      <c r="K375" s="81">
        <v>17230129</v>
      </c>
      <c r="L375" s="81">
        <v>7884620</v>
      </c>
      <c r="M375" s="81">
        <v>9345509</v>
      </c>
      <c r="N375" s="82">
        <v>0.45974580575806701</v>
      </c>
    </row>
    <row r="376" spans="1:14" ht="14.25" hidden="1" customHeight="1">
      <c r="A376" s="78">
        <v>2025</v>
      </c>
      <c r="B376" s="78">
        <v>6</v>
      </c>
      <c r="C376" s="79" t="s">
        <v>184</v>
      </c>
      <c r="D376" s="78" t="s">
        <v>166</v>
      </c>
      <c r="E376" s="80" t="s">
        <v>167</v>
      </c>
      <c r="F376" s="78" t="str">
        <f>VLOOKUP('표1'!$E376,구분!$C$3:$D$72,2,0)</f>
        <v>동일</v>
      </c>
      <c r="G376" s="81">
        <v>49786600</v>
      </c>
      <c r="H376" s="81">
        <v>38335726</v>
      </c>
      <c r="I376" s="81">
        <v>34850660</v>
      </c>
      <c r="J376" s="81">
        <v>17710860</v>
      </c>
      <c r="K376" s="81">
        <v>17139800</v>
      </c>
      <c r="L376" s="81">
        <v>5266990</v>
      </c>
      <c r="M376" s="81">
        <v>11872810</v>
      </c>
      <c r="N376" s="82">
        <v>0.45760655651504401</v>
      </c>
    </row>
    <row r="377" spans="1:14" ht="14.25" hidden="1" customHeight="1">
      <c r="A377" s="78">
        <v>2025</v>
      </c>
      <c r="B377" s="78">
        <v>6</v>
      </c>
      <c r="C377" s="79" t="s">
        <v>184</v>
      </c>
      <c r="D377" s="78" t="s">
        <v>168</v>
      </c>
      <c r="E377" s="80" t="s">
        <v>169</v>
      </c>
      <c r="F377" s="78" t="str">
        <f>VLOOKUP('표1'!$E377,구분!$C$3:$D$72,2,0)</f>
        <v>동일</v>
      </c>
      <c r="G377" s="81">
        <v>48293460</v>
      </c>
      <c r="H377" s="81">
        <v>37185992</v>
      </c>
      <c r="I377" s="81">
        <v>33805447</v>
      </c>
      <c r="J377" s="81">
        <v>14928529</v>
      </c>
      <c r="K377" s="81">
        <v>18876918</v>
      </c>
      <c r="L377" s="81">
        <v>6557220</v>
      </c>
      <c r="M377" s="81">
        <v>12319698</v>
      </c>
      <c r="N377" s="82">
        <v>0.30729588443272399</v>
      </c>
    </row>
    <row r="378" spans="1:14" ht="15" hidden="1" customHeight="1">
      <c r="A378" s="78">
        <v>2025</v>
      </c>
      <c r="B378" s="78">
        <v>6</v>
      </c>
      <c r="C378" s="79" t="s">
        <v>184</v>
      </c>
      <c r="D378" s="78" t="s">
        <v>172</v>
      </c>
      <c r="E378" s="78" t="s">
        <v>173</v>
      </c>
      <c r="F378" s="78" t="str">
        <f>VLOOKUP('표1'!$E378,구분!$C$3:$D$72,2,0)</f>
        <v>동일</v>
      </c>
      <c r="G378" s="81">
        <v>57410890</v>
      </c>
      <c r="H378" s="81">
        <v>45354639</v>
      </c>
      <c r="I378" s="81">
        <v>41231490</v>
      </c>
      <c r="J378" s="81">
        <v>22243364</v>
      </c>
      <c r="K378" s="81">
        <v>18988126</v>
      </c>
      <c r="L378" s="81">
        <v>8147040</v>
      </c>
      <c r="M378" s="81">
        <v>10841086</v>
      </c>
      <c r="N378" s="82">
        <v>0.34736708608894701</v>
      </c>
    </row>
    <row r="379" spans="1:14" ht="14.25" hidden="1" customHeight="1">
      <c r="A379" s="78">
        <v>2025</v>
      </c>
      <c r="B379" s="78">
        <v>6</v>
      </c>
      <c r="C379" s="79" t="s">
        <v>184</v>
      </c>
      <c r="D379" s="78" t="s">
        <v>174</v>
      </c>
      <c r="E379" s="80" t="s">
        <v>175</v>
      </c>
      <c r="F379" s="78" t="str">
        <f>VLOOKUP('표1'!$E379,구분!$C$3:$D$72,2,0)</f>
        <v>동일</v>
      </c>
      <c r="G379" s="81">
        <v>23884640</v>
      </c>
      <c r="H379" s="81">
        <v>20063100</v>
      </c>
      <c r="I379" s="81">
        <v>18239182</v>
      </c>
      <c r="J379" s="81">
        <v>10096197</v>
      </c>
      <c r="K379" s="81">
        <v>8142985</v>
      </c>
      <c r="L379" s="81">
        <v>4995540</v>
      </c>
      <c r="M379" s="81">
        <v>3147445</v>
      </c>
      <c r="N379" s="82">
        <v>0.42905971868945902</v>
      </c>
    </row>
    <row r="380" spans="1:14" ht="14.25" hidden="1" customHeight="1">
      <c r="A380" s="78">
        <v>2025</v>
      </c>
      <c r="B380" s="78">
        <v>6</v>
      </c>
      <c r="C380" s="79" t="s">
        <v>184</v>
      </c>
      <c r="D380" s="78" t="s">
        <v>176</v>
      </c>
      <c r="E380" s="80" t="s">
        <v>177</v>
      </c>
      <c r="F380" s="78" t="str">
        <f>VLOOKUP('표1'!$E380,구분!$C$3:$D$72,2,0)</f>
        <v>동일</v>
      </c>
      <c r="G380" s="81">
        <v>112290580</v>
      </c>
      <c r="H380" s="81">
        <v>86463847</v>
      </c>
      <c r="I380" s="81">
        <v>78603497</v>
      </c>
      <c r="J380" s="81">
        <v>37032437</v>
      </c>
      <c r="K380" s="81">
        <v>41571060</v>
      </c>
      <c r="L380" s="81">
        <v>19072280</v>
      </c>
      <c r="M380" s="81">
        <v>22498780</v>
      </c>
      <c r="N380" s="82">
        <v>0.61347773574432496</v>
      </c>
    </row>
    <row r="381" spans="1:14" ht="14.25" hidden="1" customHeight="1">
      <c r="A381" s="78">
        <v>2025</v>
      </c>
      <c r="B381" s="78">
        <v>6</v>
      </c>
      <c r="C381" s="79" t="s">
        <v>184</v>
      </c>
      <c r="D381" s="78" t="s">
        <v>178</v>
      </c>
      <c r="E381" s="80" t="s">
        <v>179</v>
      </c>
      <c r="F381" s="78" t="str">
        <f>VLOOKUP('표1'!$E381,구분!$C$3:$D$72,2,0)</f>
        <v>동일</v>
      </c>
      <c r="G381" s="81">
        <v>128605400</v>
      </c>
      <c r="H381" s="81">
        <v>99026249</v>
      </c>
      <c r="I381" s="81">
        <v>90023863</v>
      </c>
      <c r="J381" s="81">
        <v>39587506</v>
      </c>
      <c r="K381" s="81">
        <v>50436357</v>
      </c>
      <c r="L381" s="81">
        <v>16720010</v>
      </c>
      <c r="M381" s="81">
        <v>33716347</v>
      </c>
      <c r="N381" s="82">
        <v>0.45878743529753602</v>
      </c>
    </row>
    <row r="382" spans="1:14" ht="14.25" hidden="1" customHeight="1">
      <c r="A382" s="73">
        <v>2025</v>
      </c>
      <c r="B382" s="73">
        <v>7</v>
      </c>
      <c r="C382" s="74" t="s">
        <v>185</v>
      </c>
      <c r="D382" s="73" t="s">
        <v>54</v>
      </c>
      <c r="E382" s="75" t="s">
        <v>55</v>
      </c>
      <c r="F382" s="73" t="str">
        <f>VLOOKUP('표1'!$E382,구분!$C$3:$D$72,2,0)</f>
        <v>동일</v>
      </c>
      <c r="G382" s="76">
        <v>76494000</v>
      </c>
      <c r="H382" s="76">
        <v>49218475</v>
      </c>
      <c r="I382" s="76">
        <v>44744068</v>
      </c>
      <c r="J382" s="76">
        <v>21026012</v>
      </c>
      <c r="K382" s="76">
        <v>23718056</v>
      </c>
      <c r="L382" s="76">
        <v>6739100</v>
      </c>
      <c r="M382" s="76">
        <v>16978956</v>
      </c>
      <c r="N382" s="77">
        <v>0.22196454623892101</v>
      </c>
    </row>
    <row r="383" spans="1:14" ht="14.25" hidden="1" customHeight="1">
      <c r="A383" s="78">
        <v>2025</v>
      </c>
      <c r="B383" s="78">
        <v>7</v>
      </c>
      <c r="C383" s="79" t="s">
        <v>185</v>
      </c>
      <c r="D383" s="78" t="s">
        <v>56</v>
      </c>
      <c r="E383" s="80" t="s">
        <v>57</v>
      </c>
      <c r="F383" s="78" t="str">
        <f>VLOOKUP('표1'!$E383,구분!$C$3:$D$72,2,0)</f>
        <v>동일</v>
      </c>
      <c r="G383" s="81">
        <v>25221070</v>
      </c>
      <c r="H383" s="81">
        <v>16440815</v>
      </c>
      <c r="I383" s="81">
        <v>14946195</v>
      </c>
      <c r="J383" s="81">
        <v>8171809</v>
      </c>
      <c r="K383" s="81">
        <v>6774386</v>
      </c>
      <c r="L383" s="81">
        <v>5361950</v>
      </c>
      <c r="M383" s="81">
        <v>1412436</v>
      </c>
      <c r="N383" s="82">
        <v>5.6002223537700797E-2</v>
      </c>
    </row>
    <row r="384" spans="1:14" ht="14.25" hidden="1" customHeight="1">
      <c r="A384" s="78">
        <v>2025</v>
      </c>
      <c r="B384" s="78">
        <v>7</v>
      </c>
      <c r="C384" s="79" t="s">
        <v>185</v>
      </c>
      <c r="D384" s="78" t="s">
        <v>58</v>
      </c>
      <c r="E384" s="80" t="s">
        <v>59</v>
      </c>
      <c r="F384" s="78" t="str">
        <f>VLOOKUP('표1'!$E384,구분!$C$3:$D$72,2,0)</f>
        <v>동일</v>
      </c>
      <c r="G384" s="81">
        <v>52138540</v>
      </c>
      <c r="H384" s="81">
        <v>33598651</v>
      </c>
      <c r="I384" s="81">
        <v>30544228</v>
      </c>
      <c r="J384" s="81">
        <v>17169322</v>
      </c>
      <c r="K384" s="81">
        <v>13374906</v>
      </c>
      <c r="L384" s="81">
        <v>6749070</v>
      </c>
      <c r="M384" s="81">
        <v>6625836</v>
      </c>
      <c r="N384" s="82">
        <v>0.12708134903662399</v>
      </c>
    </row>
    <row r="385" spans="1:14" ht="14.25" hidden="1" customHeight="1">
      <c r="A385" s="78">
        <v>2025</v>
      </c>
      <c r="B385" s="78">
        <v>7</v>
      </c>
      <c r="C385" s="79" t="s">
        <v>185</v>
      </c>
      <c r="D385" s="78" t="s">
        <v>60</v>
      </c>
      <c r="E385" s="80" t="s">
        <v>61</v>
      </c>
      <c r="F385" s="78" t="str">
        <f>VLOOKUP('표1'!$E385,구분!$C$3:$D$72,2,0)</f>
        <v>동일</v>
      </c>
      <c r="G385" s="81">
        <v>34975460</v>
      </c>
      <c r="H385" s="81">
        <v>22464148</v>
      </c>
      <c r="I385" s="81">
        <v>20421953</v>
      </c>
      <c r="J385" s="81">
        <v>10221654</v>
      </c>
      <c r="K385" s="81">
        <v>10200299</v>
      </c>
      <c r="L385" s="81">
        <v>5231760</v>
      </c>
      <c r="M385" s="81">
        <v>4968539</v>
      </c>
      <c r="N385" s="82">
        <v>0.14205785999669501</v>
      </c>
    </row>
    <row r="386" spans="1:14" ht="14.25" hidden="1" customHeight="1">
      <c r="A386" s="78">
        <v>2025</v>
      </c>
      <c r="B386" s="78">
        <v>7</v>
      </c>
      <c r="C386" s="79" t="s">
        <v>185</v>
      </c>
      <c r="D386" s="78" t="s">
        <v>62</v>
      </c>
      <c r="E386" s="80" t="s">
        <v>63</v>
      </c>
      <c r="F386" s="78" t="str">
        <f>VLOOKUP('표1'!$E386,구분!$C$3:$D$72,2,0)</f>
        <v>동일</v>
      </c>
      <c r="G386" s="81">
        <v>55308700</v>
      </c>
      <c r="H386" s="81">
        <v>35621997</v>
      </c>
      <c r="I386" s="81">
        <v>32383634</v>
      </c>
      <c r="J386" s="81">
        <v>15723609</v>
      </c>
      <c r="K386" s="81">
        <v>16660025</v>
      </c>
      <c r="L386" s="81">
        <v>8108950</v>
      </c>
      <c r="M386" s="81">
        <v>8551075</v>
      </c>
      <c r="N386" s="82">
        <v>0.15460632775675401</v>
      </c>
    </row>
    <row r="387" spans="1:14" ht="14.25" hidden="1" customHeight="1">
      <c r="A387" s="78">
        <v>2025</v>
      </c>
      <c r="B387" s="78">
        <v>7</v>
      </c>
      <c r="C387" s="79" t="s">
        <v>185</v>
      </c>
      <c r="D387" s="78" t="s">
        <v>64</v>
      </c>
      <c r="E387" s="80" t="s">
        <v>65</v>
      </c>
      <c r="F387" s="78" t="str">
        <f>VLOOKUP('표1'!$E387,구분!$C$3:$D$72,2,0)</f>
        <v>동일</v>
      </c>
      <c r="G387" s="81">
        <v>22594770</v>
      </c>
      <c r="H387" s="81">
        <v>14556069</v>
      </c>
      <c r="I387" s="81">
        <v>13232790</v>
      </c>
      <c r="J387" s="81">
        <v>6879512</v>
      </c>
      <c r="K387" s="81">
        <v>6353278</v>
      </c>
      <c r="L387" s="81">
        <v>5455670</v>
      </c>
      <c r="M387" s="81">
        <v>897608</v>
      </c>
      <c r="N387" s="82">
        <v>3.9726361454442798E-2</v>
      </c>
    </row>
    <row r="388" spans="1:14" ht="14.25" hidden="1" customHeight="1">
      <c r="A388" s="78">
        <v>2025</v>
      </c>
      <c r="B388" s="78">
        <v>7</v>
      </c>
      <c r="C388" s="79" t="s">
        <v>185</v>
      </c>
      <c r="D388" s="78" t="s">
        <v>66</v>
      </c>
      <c r="E388" s="80" t="s">
        <v>67</v>
      </c>
      <c r="F388" s="78" t="str">
        <f>VLOOKUP('표1'!$E388,구분!$C$3:$D$72,2,0)</f>
        <v>동일</v>
      </c>
      <c r="G388" s="81">
        <v>35116850</v>
      </c>
      <c r="H388" s="81">
        <v>22841178</v>
      </c>
      <c r="I388" s="81">
        <v>20764707</v>
      </c>
      <c r="J388" s="81">
        <v>13505223</v>
      </c>
      <c r="K388" s="81">
        <v>7259484</v>
      </c>
      <c r="L388" s="81">
        <v>6551300</v>
      </c>
      <c r="M388" s="81">
        <v>708184</v>
      </c>
      <c r="N388" s="82">
        <v>2.0166501266486E-2</v>
      </c>
    </row>
    <row r="389" spans="1:14" ht="14.25" hidden="1" customHeight="1">
      <c r="A389" s="78">
        <v>2025</v>
      </c>
      <c r="B389" s="78">
        <v>7</v>
      </c>
      <c r="C389" s="79" t="s">
        <v>185</v>
      </c>
      <c r="D389" s="78" t="s">
        <v>68</v>
      </c>
      <c r="E389" s="80" t="s">
        <v>69</v>
      </c>
      <c r="F389" s="78" t="str">
        <f>VLOOKUP('표1'!$E389,구분!$C$3:$D$72,2,0)</f>
        <v>동일</v>
      </c>
      <c r="G389" s="81">
        <v>66349060</v>
      </c>
      <c r="H389" s="81">
        <v>42463399</v>
      </c>
      <c r="I389" s="81">
        <v>38603090</v>
      </c>
      <c r="J389" s="81">
        <v>19704678</v>
      </c>
      <c r="K389" s="81">
        <v>18898412</v>
      </c>
      <c r="L389" s="81">
        <v>8829400</v>
      </c>
      <c r="M389" s="81">
        <v>10069012</v>
      </c>
      <c r="N389" s="82">
        <v>0.15175817110295201</v>
      </c>
    </row>
    <row r="390" spans="1:14" ht="14.25" hidden="1" customHeight="1">
      <c r="A390" s="78">
        <v>2025</v>
      </c>
      <c r="B390" s="78">
        <v>7</v>
      </c>
      <c r="C390" s="79" t="s">
        <v>185</v>
      </c>
      <c r="D390" s="78" t="s">
        <v>70</v>
      </c>
      <c r="E390" s="80" t="s">
        <v>71</v>
      </c>
      <c r="F390" s="78" t="str">
        <f>VLOOKUP('표1'!$E390,구분!$C$3:$D$72,2,0)</f>
        <v>동일</v>
      </c>
      <c r="G390" s="81">
        <v>25801450</v>
      </c>
      <c r="H390" s="81">
        <v>16649566</v>
      </c>
      <c r="I390" s="81">
        <v>15135969</v>
      </c>
      <c r="J390" s="81">
        <v>7178627</v>
      </c>
      <c r="K390" s="81">
        <v>7957342</v>
      </c>
      <c r="L390" s="81">
        <v>7426630</v>
      </c>
      <c r="M390" s="81">
        <v>530712</v>
      </c>
      <c r="N390" s="82">
        <v>2.0569076544147701E-2</v>
      </c>
    </row>
    <row r="391" spans="1:14" ht="14.25" hidden="1" customHeight="1">
      <c r="A391" s="78">
        <v>2025</v>
      </c>
      <c r="B391" s="78">
        <v>7</v>
      </c>
      <c r="C391" s="79" t="s">
        <v>185</v>
      </c>
      <c r="D391" s="78" t="s">
        <v>72</v>
      </c>
      <c r="E391" s="80" t="s">
        <v>73</v>
      </c>
      <c r="F391" s="78" t="str">
        <f>VLOOKUP('표1'!$E391,구분!$C$3:$D$72,2,0)</f>
        <v>동일</v>
      </c>
      <c r="G391" s="81">
        <v>17683070</v>
      </c>
      <c r="H391" s="81">
        <v>11550313</v>
      </c>
      <c r="I391" s="81">
        <v>10500285</v>
      </c>
      <c r="J391" s="81">
        <v>6224955</v>
      </c>
      <c r="K391" s="81">
        <v>4275330</v>
      </c>
      <c r="L391" s="81">
        <v>4664070</v>
      </c>
      <c r="M391" s="81">
        <v>-388740</v>
      </c>
      <c r="N391" s="82">
        <v>-2.1983739248897401E-2</v>
      </c>
    </row>
    <row r="392" spans="1:14" ht="14.25" hidden="1" customHeight="1">
      <c r="A392" s="78">
        <v>2025</v>
      </c>
      <c r="B392" s="78">
        <v>7</v>
      </c>
      <c r="C392" s="79" t="s">
        <v>185</v>
      </c>
      <c r="D392" s="78" t="s">
        <v>74</v>
      </c>
      <c r="E392" s="80" t="s">
        <v>75</v>
      </c>
      <c r="F392" s="78" t="str">
        <f>VLOOKUP('표1'!$E392,구분!$C$3:$D$72,2,0)</f>
        <v>동일</v>
      </c>
      <c r="G392" s="81">
        <v>37048500</v>
      </c>
      <c r="H392" s="81">
        <v>23867299</v>
      </c>
      <c r="I392" s="81">
        <v>21697545</v>
      </c>
      <c r="J392" s="81">
        <v>11082578</v>
      </c>
      <c r="K392" s="81">
        <v>10614967</v>
      </c>
      <c r="L392" s="81">
        <v>6022730</v>
      </c>
      <c r="M392" s="81">
        <v>4592237</v>
      </c>
      <c r="N392" s="82">
        <v>0.12395203584490599</v>
      </c>
    </row>
    <row r="393" spans="1:14" ht="14.25" hidden="1" customHeight="1">
      <c r="A393" s="78">
        <v>2025</v>
      </c>
      <c r="B393" s="78">
        <v>7</v>
      </c>
      <c r="C393" s="79" t="s">
        <v>185</v>
      </c>
      <c r="D393" s="78" t="s">
        <v>76</v>
      </c>
      <c r="E393" s="80" t="s">
        <v>77</v>
      </c>
      <c r="F393" s="78" t="str">
        <f>VLOOKUP('표1'!$E393,구분!$C$3:$D$72,2,0)</f>
        <v>동일</v>
      </c>
      <c r="G393" s="81">
        <v>39634130</v>
      </c>
      <c r="H393" s="81">
        <v>25490924</v>
      </c>
      <c r="I393" s="81">
        <v>23173567</v>
      </c>
      <c r="J393" s="81">
        <v>11345879</v>
      </c>
      <c r="K393" s="81">
        <v>11827688</v>
      </c>
      <c r="L393" s="81">
        <v>6049370</v>
      </c>
      <c r="M393" s="81">
        <v>5778318</v>
      </c>
      <c r="N393" s="82">
        <v>0.14579146811094401</v>
      </c>
    </row>
    <row r="394" spans="1:14" ht="14.25" hidden="1" customHeight="1">
      <c r="A394" s="78">
        <v>2025</v>
      </c>
      <c r="B394" s="78">
        <v>7</v>
      </c>
      <c r="C394" s="79" t="s">
        <v>185</v>
      </c>
      <c r="D394" s="78" t="s">
        <v>78</v>
      </c>
      <c r="E394" s="80" t="s">
        <v>79</v>
      </c>
      <c r="F394" s="78" t="str">
        <f>VLOOKUP('표1'!$E394,구분!$C$3:$D$72,2,0)</f>
        <v>동일</v>
      </c>
      <c r="G394" s="81">
        <v>70055780</v>
      </c>
      <c r="H394" s="81">
        <v>44887192</v>
      </c>
      <c r="I394" s="81">
        <v>40806538</v>
      </c>
      <c r="J394" s="81">
        <v>21198828</v>
      </c>
      <c r="K394" s="81">
        <v>19607710</v>
      </c>
      <c r="L394" s="81">
        <v>8387560</v>
      </c>
      <c r="M394" s="81">
        <v>11220150</v>
      </c>
      <c r="N394" s="82">
        <v>0.16016023231773299</v>
      </c>
    </row>
    <row r="395" spans="1:14" ht="14.25" hidden="1" customHeight="1">
      <c r="A395" s="78">
        <v>2025</v>
      </c>
      <c r="B395" s="78">
        <v>7</v>
      </c>
      <c r="C395" s="79" t="s">
        <v>185</v>
      </c>
      <c r="D395" s="78" t="s">
        <v>80</v>
      </c>
      <c r="E395" s="80" t="s">
        <v>81</v>
      </c>
      <c r="F395" s="78" t="str">
        <f>VLOOKUP('표1'!$E395,구분!$C$3:$D$72,2,0)</f>
        <v>동일</v>
      </c>
      <c r="G395" s="81">
        <v>63270820</v>
      </c>
      <c r="H395" s="81">
        <v>40672037</v>
      </c>
      <c r="I395" s="81">
        <v>36974579</v>
      </c>
      <c r="J395" s="81">
        <v>17994183</v>
      </c>
      <c r="K395" s="81">
        <v>18980396</v>
      </c>
      <c r="L395" s="81">
        <v>8557820</v>
      </c>
      <c r="M395" s="81">
        <v>10422576</v>
      </c>
      <c r="N395" s="82">
        <v>0.164729586245287</v>
      </c>
    </row>
    <row r="396" spans="1:14" ht="14.25" hidden="1" customHeight="1">
      <c r="A396" s="78">
        <v>2025</v>
      </c>
      <c r="B396" s="78">
        <v>7</v>
      </c>
      <c r="C396" s="79" t="s">
        <v>185</v>
      </c>
      <c r="D396" s="78" t="s">
        <v>82</v>
      </c>
      <c r="E396" s="80" t="s">
        <v>83</v>
      </c>
      <c r="F396" s="78" t="str">
        <f>VLOOKUP('표1'!$E396,구분!$C$3:$D$72,2,0)</f>
        <v>동일</v>
      </c>
      <c r="G396" s="81">
        <v>35424100</v>
      </c>
      <c r="H396" s="81">
        <v>23307811</v>
      </c>
      <c r="I396" s="81">
        <v>21188919</v>
      </c>
      <c r="J396" s="81">
        <v>11260103</v>
      </c>
      <c r="K396" s="81">
        <v>9928816</v>
      </c>
      <c r="L396" s="81">
        <v>6021300</v>
      </c>
      <c r="M396" s="81">
        <v>3907516</v>
      </c>
      <c r="N396" s="82">
        <v>0.110306712097132</v>
      </c>
    </row>
    <row r="397" spans="1:14" ht="14.25" hidden="1" customHeight="1">
      <c r="A397" s="78">
        <v>2025</v>
      </c>
      <c r="B397" s="78">
        <v>7</v>
      </c>
      <c r="C397" s="79" t="s">
        <v>185</v>
      </c>
      <c r="D397" s="78" t="s">
        <v>84</v>
      </c>
      <c r="E397" s="80" t="s">
        <v>85</v>
      </c>
      <c r="F397" s="78" t="str">
        <f>VLOOKUP('표1'!$E397,구분!$C$3:$D$72,2,0)</f>
        <v>동일</v>
      </c>
      <c r="G397" s="81">
        <v>47203900</v>
      </c>
      <c r="H397" s="81">
        <v>30406436</v>
      </c>
      <c r="I397" s="81">
        <v>27642215</v>
      </c>
      <c r="J397" s="81">
        <v>13818192</v>
      </c>
      <c r="K397" s="81">
        <v>13824023</v>
      </c>
      <c r="L397" s="81">
        <v>6985820</v>
      </c>
      <c r="M397" s="81">
        <v>6838203</v>
      </c>
      <c r="N397" s="82">
        <v>0.144865212408297</v>
      </c>
    </row>
    <row r="398" spans="1:14" ht="14.25" hidden="1" customHeight="1">
      <c r="A398" s="78">
        <v>2025</v>
      </c>
      <c r="B398" s="78">
        <v>7</v>
      </c>
      <c r="C398" s="79" t="s">
        <v>185</v>
      </c>
      <c r="D398" s="78" t="s">
        <v>86</v>
      </c>
      <c r="E398" s="80" t="s">
        <v>87</v>
      </c>
      <c r="F398" s="78" t="str">
        <f>VLOOKUP('표1'!$E398,구분!$C$3:$D$72,2,0)</f>
        <v>동일</v>
      </c>
      <c r="G398" s="81">
        <v>37130960</v>
      </c>
      <c r="H398" s="81">
        <v>24018057</v>
      </c>
      <c r="I398" s="81">
        <v>21834597</v>
      </c>
      <c r="J398" s="81">
        <v>10878283</v>
      </c>
      <c r="K398" s="81">
        <v>10956314</v>
      </c>
      <c r="L398" s="81">
        <v>6562490</v>
      </c>
      <c r="M398" s="81">
        <v>4393824</v>
      </c>
      <c r="N398" s="82">
        <v>0.118333164561326</v>
      </c>
    </row>
    <row r="399" spans="1:14" ht="14.25" hidden="1" customHeight="1">
      <c r="A399" s="78">
        <v>2025</v>
      </c>
      <c r="B399" s="78">
        <v>7</v>
      </c>
      <c r="C399" s="79" t="s">
        <v>185</v>
      </c>
      <c r="D399" s="78" t="s">
        <v>88</v>
      </c>
      <c r="E399" s="80" t="s">
        <v>89</v>
      </c>
      <c r="F399" s="78" t="str">
        <f>VLOOKUP('표1'!$E399,구분!$C$3:$D$72,2,0)</f>
        <v>동일</v>
      </c>
      <c r="G399" s="81">
        <v>35084450</v>
      </c>
      <c r="H399" s="81">
        <v>22592630</v>
      </c>
      <c r="I399" s="81">
        <v>20538755</v>
      </c>
      <c r="J399" s="81">
        <v>10826380</v>
      </c>
      <c r="K399" s="81">
        <v>9712375</v>
      </c>
      <c r="L399" s="81">
        <v>6155770</v>
      </c>
      <c r="M399" s="81">
        <v>3556605</v>
      </c>
      <c r="N399" s="82">
        <v>0.101372687900195</v>
      </c>
    </row>
    <row r="400" spans="1:14" ht="14.25" hidden="1" customHeight="1">
      <c r="A400" s="78">
        <v>2025</v>
      </c>
      <c r="B400" s="78">
        <v>7</v>
      </c>
      <c r="C400" s="79" t="s">
        <v>185</v>
      </c>
      <c r="D400" s="78" t="s">
        <v>90</v>
      </c>
      <c r="E400" s="80" t="s">
        <v>91</v>
      </c>
      <c r="F400" s="78" t="str">
        <f>VLOOKUP('표1'!$E400,구분!$C$3:$D$72,2,0)</f>
        <v>동일</v>
      </c>
      <c r="G400" s="81">
        <v>26067800</v>
      </c>
      <c r="H400" s="81">
        <v>16683392</v>
      </c>
      <c r="I400" s="81">
        <v>15166720</v>
      </c>
      <c r="J400" s="81">
        <v>8783945</v>
      </c>
      <c r="K400" s="81">
        <v>6382775</v>
      </c>
      <c r="L400" s="81">
        <v>5527850</v>
      </c>
      <c r="M400" s="81">
        <v>854925</v>
      </c>
      <c r="N400" s="82">
        <v>3.2796208348997602E-2</v>
      </c>
    </row>
    <row r="401" spans="1:14" ht="14.25" hidden="1" customHeight="1">
      <c r="A401" s="78">
        <v>2025</v>
      </c>
      <c r="B401" s="78">
        <v>7</v>
      </c>
      <c r="C401" s="79" t="s">
        <v>185</v>
      </c>
      <c r="D401" s="78" t="s">
        <v>92</v>
      </c>
      <c r="E401" s="80" t="s">
        <v>93</v>
      </c>
      <c r="F401" s="78" t="str">
        <f>VLOOKUP('표1'!$E401,구분!$C$3:$D$72,2,0)</f>
        <v>동일</v>
      </c>
      <c r="G401" s="81">
        <v>45205000</v>
      </c>
      <c r="H401" s="81">
        <v>29172956</v>
      </c>
      <c r="I401" s="81">
        <v>26520869</v>
      </c>
      <c r="J401" s="81">
        <v>14215026</v>
      </c>
      <c r="K401" s="81">
        <v>12305843</v>
      </c>
      <c r="L401" s="81">
        <v>6238600</v>
      </c>
      <c r="M401" s="81">
        <v>6067243</v>
      </c>
      <c r="N401" s="82">
        <v>0.13421619289901601</v>
      </c>
    </row>
    <row r="402" spans="1:14" ht="14.25" hidden="1" customHeight="1">
      <c r="A402" s="78">
        <v>2025</v>
      </c>
      <c r="B402" s="78">
        <v>7</v>
      </c>
      <c r="C402" s="79" t="s">
        <v>185</v>
      </c>
      <c r="D402" s="78" t="s">
        <v>94</v>
      </c>
      <c r="E402" s="80" t="s">
        <v>95</v>
      </c>
      <c r="F402" s="78" t="str">
        <f>VLOOKUP('표1'!$E402,구분!$C$3:$D$72,2,0)</f>
        <v>폐점</v>
      </c>
      <c r="G402" s="81">
        <v>51361600</v>
      </c>
      <c r="H402" s="81">
        <v>33198907</v>
      </c>
      <c r="I402" s="81">
        <v>30180825</v>
      </c>
      <c r="J402" s="81">
        <v>15607817</v>
      </c>
      <c r="K402" s="81">
        <v>14573008</v>
      </c>
      <c r="L402" s="81">
        <v>8267500</v>
      </c>
      <c r="M402" s="81">
        <v>6305508</v>
      </c>
      <c r="N402" s="82">
        <v>0.122766969876328</v>
      </c>
    </row>
    <row r="403" spans="1:14" ht="14.25" hidden="1" customHeight="1">
      <c r="A403" s="78">
        <v>2025</v>
      </c>
      <c r="B403" s="78">
        <v>7</v>
      </c>
      <c r="C403" s="79" t="s">
        <v>185</v>
      </c>
      <c r="D403" s="78" t="s">
        <v>96</v>
      </c>
      <c r="E403" s="80" t="s">
        <v>97</v>
      </c>
      <c r="F403" s="78" t="str">
        <f>VLOOKUP('표1'!$E403,구분!$C$3:$D$72,2,0)</f>
        <v>동일</v>
      </c>
      <c r="G403" s="81">
        <v>94000690</v>
      </c>
      <c r="H403" s="81">
        <v>60507691</v>
      </c>
      <c r="I403" s="81">
        <v>55006992</v>
      </c>
      <c r="J403" s="81">
        <v>28477878</v>
      </c>
      <c r="K403" s="81">
        <v>26529114</v>
      </c>
      <c r="L403" s="81">
        <v>9804810</v>
      </c>
      <c r="M403" s="81">
        <v>16724304</v>
      </c>
      <c r="N403" s="82">
        <v>0.17791682167439399</v>
      </c>
    </row>
    <row r="404" spans="1:14" ht="14.25" hidden="1" customHeight="1">
      <c r="A404" s="78">
        <v>2025</v>
      </c>
      <c r="B404" s="78">
        <v>7</v>
      </c>
      <c r="C404" s="79" t="s">
        <v>185</v>
      </c>
      <c r="D404" s="78" t="s">
        <v>98</v>
      </c>
      <c r="E404" s="80" t="s">
        <v>99</v>
      </c>
      <c r="F404" s="78" t="str">
        <f>VLOOKUP('표1'!$E404,구분!$C$3:$D$72,2,0)</f>
        <v>동일</v>
      </c>
      <c r="G404" s="81">
        <v>65235000</v>
      </c>
      <c r="H404" s="81">
        <v>41804823</v>
      </c>
      <c r="I404" s="81">
        <v>38004385</v>
      </c>
      <c r="J404" s="81">
        <v>18892911</v>
      </c>
      <c r="K404" s="81">
        <v>19111474</v>
      </c>
      <c r="L404" s="81">
        <v>8249900</v>
      </c>
      <c r="M404" s="81">
        <v>10861574</v>
      </c>
      <c r="N404" s="82">
        <v>0.16649917988809701</v>
      </c>
    </row>
    <row r="405" spans="1:14" ht="14.25" hidden="1" customHeight="1">
      <c r="A405" s="78">
        <v>2025</v>
      </c>
      <c r="B405" s="78">
        <v>7</v>
      </c>
      <c r="C405" s="79" t="s">
        <v>185</v>
      </c>
      <c r="D405" s="78" t="s">
        <v>100</v>
      </c>
      <c r="E405" s="80" t="s">
        <v>101</v>
      </c>
      <c r="F405" s="78" t="str">
        <f>VLOOKUP('표1'!$E405,구분!$C$3:$D$72,2,0)</f>
        <v>동일</v>
      </c>
      <c r="G405" s="81">
        <v>75610650</v>
      </c>
      <c r="H405" s="81">
        <v>48953979</v>
      </c>
      <c r="I405" s="81">
        <v>44503617</v>
      </c>
      <c r="J405" s="81">
        <v>22022068</v>
      </c>
      <c r="K405" s="81">
        <v>22481549</v>
      </c>
      <c r="L405" s="81">
        <v>10952270</v>
      </c>
      <c r="M405" s="81">
        <v>11529279</v>
      </c>
      <c r="N405" s="82">
        <v>0.152482209847422</v>
      </c>
    </row>
    <row r="406" spans="1:14" ht="14.25" hidden="1" customHeight="1">
      <c r="A406" s="78">
        <v>2025</v>
      </c>
      <c r="B406" s="78">
        <v>7</v>
      </c>
      <c r="C406" s="79" t="s">
        <v>185</v>
      </c>
      <c r="D406" s="78" t="s">
        <v>102</v>
      </c>
      <c r="E406" s="80" t="s">
        <v>103</v>
      </c>
      <c r="F406" s="78" t="str">
        <f>VLOOKUP('표1'!$E406,구분!$C$3:$D$72,2,0)</f>
        <v>동일</v>
      </c>
      <c r="G406" s="81">
        <v>71830470</v>
      </c>
      <c r="H406" s="81">
        <v>47492796</v>
      </c>
      <c r="I406" s="81">
        <v>43175269</v>
      </c>
      <c r="J406" s="81">
        <v>20710334</v>
      </c>
      <c r="K406" s="81">
        <v>22464935</v>
      </c>
      <c r="L406" s="81">
        <v>7747230</v>
      </c>
      <c r="M406" s="81">
        <v>14717705</v>
      </c>
      <c r="N406" s="82">
        <v>0.20489501182436901</v>
      </c>
    </row>
    <row r="407" spans="1:14" ht="14.25" hidden="1" customHeight="1">
      <c r="A407" s="78">
        <v>2025</v>
      </c>
      <c r="B407" s="78">
        <v>7</v>
      </c>
      <c r="C407" s="79" t="s">
        <v>185</v>
      </c>
      <c r="D407" s="78" t="s">
        <v>104</v>
      </c>
      <c r="E407" s="80" t="s">
        <v>105</v>
      </c>
      <c r="F407" s="78" t="str">
        <f>VLOOKUP('표1'!$E407,구분!$C$3:$D$72,2,0)</f>
        <v>동일</v>
      </c>
      <c r="G407" s="81">
        <v>25971020</v>
      </c>
      <c r="H407" s="81">
        <v>17001672</v>
      </c>
      <c r="I407" s="81">
        <v>15456065</v>
      </c>
      <c r="J407" s="81">
        <v>7464460</v>
      </c>
      <c r="K407" s="81">
        <v>7991605</v>
      </c>
      <c r="L407" s="81">
        <v>4408350</v>
      </c>
      <c r="M407" s="81">
        <v>3583255</v>
      </c>
      <c r="N407" s="82">
        <v>0.13797128491680299</v>
      </c>
    </row>
    <row r="408" spans="1:14" ht="14.25" hidden="1" customHeight="1">
      <c r="A408" s="78">
        <v>2025</v>
      </c>
      <c r="B408" s="78">
        <v>7</v>
      </c>
      <c r="C408" s="79" t="s">
        <v>185</v>
      </c>
      <c r="D408" s="78" t="s">
        <v>106</v>
      </c>
      <c r="E408" s="80" t="s">
        <v>107</v>
      </c>
      <c r="F408" s="78" t="str">
        <f>VLOOKUP('표1'!$E408,구분!$C$3:$D$72,2,0)</f>
        <v>폐점</v>
      </c>
      <c r="G408" s="81">
        <v>60027430</v>
      </c>
      <c r="H408" s="81">
        <v>37699834</v>
      </c>
      <c r="I408" s="81">
        <v>34272576</v>
      </c>
      <c r="J408" s="81">
        <v>16747315</v>
      </c>
      <c r="K408" s="81">
        <v>17525261</v>
      </c>
      <c r="L408" s="81">
        <v>6780140</v>
      </c>
      <c r="M408" s="81">
        <v>10745121</v>
      </c>
      <c r="N408" s="82">
        <v>0.17900351555947</v>
      </c>
    </row>
    <row r="409" spans="1:14" ht="14.25" hidden="1" customHeight="1">
      <c r="A409" s="78">
        <v>2025</v>
      </c>
      <c r="B409" s="78">
        <v>7</v>
      </c>
      <c r="C409" s="79" t="s">
        <v>185</v>
      </c>
      <c r="D409" s="78" t="s">
        <v>108</v>
      </c>
      <c r="E409" s="80" t="s">
        <v>109</v>
      </c>
      <c r="F409" s="78" t="str">
        <f>VLOOKUP('표1'!$E409,구분!$C$3:$D$72,2,0)</f>
        <v>동일</v>
      </c>
      <c r="G409" s="81">
        <v>46281730</v>
      </c>
      <c r="H409" s="81">
        <v>28866569</v>
      </c>
      <c r="I409" s="81">
        <v>26242335</v>
      </c>
      <c r="J409" s="81">
        <v>13411794</v>
      </c>
      <c r="K409" s="81">
        <v>12830541</v>
      </c>
      <c r="L409" s="81">
        <v>7373110</v>
      </c>
      <c r="M409" s="81">
        <v>5457431</v>
      </c>
      <c r="N409" s="82">
        <v>0.11791761025354899</v>
      </c>
    </row>
    <row r="410" spans="1:14" ht="14.25" hidden="1" customHeight="1">
      <c r="A410" s="78">
        <v>2025</v>
      </c>
      <c r="B410" s="78">
        <v>7</v>
      </c>
      <c r="C410" s="79" t="s">
        <v>185</v>
      </c>
      <c r="D410" s="78" t="s">
        <v>110</v>
      </c>
      <c r="E410" s="80" t="s">
        <v>111</v>
      </c>
      <c r="F410" s="78" t="str">
        <f>VLOOKUP('표1'!$E410,구분!$C$3:$D$72,2,0)</f>
        <v>동일</v>
      </c>
      <c r="G410" s="81">
        <v>112161350</v>
      </c>
      <c r="H410" s="81">
        <v>73203167</v>
      </c>
      <c r="I410" s="81">
        <v>66548334</v>
      </c>
      <c r="J410" s="81">
        <v>34179932</v>
      </c>
      <c r="K410" s="81">
        <v>32368402</v>
      </c>
      <c r="L410" s="81">
        <v>15676370</v>
      </c>
      <c r="M410" s="81">
        <v>16692032</v>
      </c>
      <c r="N410" s="82">
        <v>0.14882160387691501</v>
      </c>
    </row>
    <row r="411" spans="1:14" ht="14.25" hidden="1" customHeight="1">
      <c r="A411" s="78">
        <v>2025</v>
      </c>
      <c r="B411" s="78">
        <v>7</v>
      </c>
      <c r="C411" s="79" t="s">
        <v>185</v>
      </c>
      <c r="D411" s="78" t="s">
        <v>112</v>
      </c>
      <c r="E411" s="80" t="s">
        <v>113</v>
      </c>
      <c r="F411" s="78" t="str">
        <f>VLOOKUP('표1'!$E411,구분!$C$3:$D$72,2,0)</f>
        <v>동일</v>
      </c>
      <c r="G411" s="81">
        <v>58248910</v>
      </c>
      <c r="H411" s="81">
        <v>39544817</v>
      </c>
      <c r="I411" s="81">
        <v>35949834</v>
      </c>
      <c r="J411" s="81">
        <v>16727355</v>
      </c>
      <c r="K411" s="81">
        <v>19222479</v>
      </c>
      <c r="L411" s="81">
        <v>7386220</v>
      </c>
      <c r="M411" s="81">
        <v>11836259</v>
      </c>
      <c r="N411" s="82">
        <v>0.203201381794097</v>
      </c>
    </row>
    <row r="412" spans="1:14" ht="14.25" hidden="1" customHeight="1">
      <c r="A412" s="78">
        <v>2025</v>
      </c>
      <c r="B412" s="78">
        <v>7</v>
      </c>
      <c r="C412" s="79" t="s">
        <v>185</v>
      </c>
      <c r="D412" s="78" t="s">
        <v>116</v>
      </c>
      <c r="E412" s="80" t="s">
        <v>117</v>
      </c>
      <c r="F412" s="78" t="str">
        <f>VLOOKUP('표1'!$E412,구분!$C$3:$D$72,2,0)</f>
        <v>동일</v>
      </c>
      <c r="G412" s="81">
        <v>25697900</v>
      </c>
      <c r="H412" s="81">
        <v>17604190</v>
      </c>
      <c r="I412" s="81">
        <v>16003809</v>
      </c>
      <c r="J412" s="81">
        <v>7773808</v>
      </c>
      <c r="K412" s="81">
        <v>8230001</v>
      </c>
      <c r="L412" s="81">
        <v>6700000</v>
      </c>
      <c r="M412" s="81">
        <v>1530001</v>
      </c>
      <c r="N412" s="82">
        <v>5.9537977811416502E-2</v>
      </c>
    </row>
    <row r="413" spans="1:14" ht="14.25" hidden="1" customHeight="1">
      <c r="A413" s="78">
        <v>2025</v>
      </c>
      <c r="B413" s="78">
        <v>7</v>
      </c>
      <c r="C413" s="79" t="s">
        <v>185</v>
      </c>
      <c r="D413" s="78" t="s">
        <v>118</v>
      </c>
      <c r="E413" s="80" t="s">
        <v>119</v>
      </c>
      <c r="F413" s="78" t="str">
        <f>VLOOKUP('표1'!$E413,구분!$C$3:$D$72,2,0)</f>
        <v>동일</v>
      </c>
      <c r="G413" s="81">
        <v>87631000</v>
      </c>
      <c r="H413" s="81">
        <v>56888635</v>
      </c>
      <c r="I413" s="81">
        <v>51716941</v>
      </c>
      <c r="J413" s="81">
        <v>23825842</v>
      </c>
      <c r="K413" s="81">
        <v>27891099</v>
      </c>
      <c r="L413" s="81">
        <v>12496720</v>
      </c>
      <c r="M413" s="81">
        <v>15394379</v>
      </c>
      <c r="N413" s="82">
        <v>0.17567275279296099</v>
      </c>
    </row>
    <row r="414" spans="1:14" ht="14.25" hidden="1" customHeight="1">
      <c r="A414" s="78">
        <v>2025</v>
      </c>
      <c r="B414" s="78">
        <v>7</v>
      </c>
      <c r="C414" s="79" t="s">
        <v>185</v>
      </c>
      <c r="D414" s="78" t="s">
        <v>180</v>
      </c>
      <c r="E414" s="80" t="s">
        <v>181</v>
      </c>
      <c r="F414" s="78" t="str">
        <f>VLOOKUP('표1'!$E414,구분!$C$3:$D$72,2,0)</f>
        <v>동일</v>
      </c>
      <c r="G414" s="81">
        <v>43414990</v>
      </c>
      <c r="H414" s="81">
        <v>27509757</v>
      </c>
      <c r="I414" s="81">
        <v>25008870</v>
      </c>
      <c r="J414" s="81">
        <v>12622022</v>
      </c>
      <c r="K414" s="81">
        <v>12386848</v>
      </c>
      <c r="L414" s="81">
        <v>7222950</v>
      </c>
      <c r="M414" s="81">
        <v>5163898</v>
      </c>
      <c r="N414" s="82">
        <v>0.118942743047966</v>
      </c>
    </row>
    <row r="415" spans="1:14" ht="14.25" hidden="1" customHeight="1">
      <c r="A415" s="78">
        <v>2025</v>
      </c>
      <c r="B415" s="78">
        <v>7</v>
      </c>
      <c r="C415" s="79" t="s">
        <v>185</v>
      </c>
      <c r="D415" s="78" t="s">
        <v>120</v>
      </c>
      <c r="E415" s="80" t="s">
        <v>121</v>
      </c>
      <c r="F415" s="78" t="str">
        <f>VLOOKUP('표1'!$E415,구분!$C$3:$D$72,2,0)</f>
        <v>동일</v>
      </c>
      <c r="G415" s="81">
        <v>83008180</v>
      </c>
      <c r="H415" s="81">
        <v>53422236</v>
      </c>
      <c r="I415" s="81">
        <v>48565669</v>
      </c>
      <c r="J415" s="81">
        <v>27777498</v>
      </c>
      <c r="K415" s="81">
        <v>20788171</v>
      </c>
      <c r="L415" s="81">
        <v>9911150</v>
      </c>
      <c r="M415" s="81">
        <v>10877021</v>
      </c>
      <c r="N415" s="82">
        <v>0.13103553167892601</v>
      </c>
    </row>
    <row r="416" spans="1:14" ht="14.25" hidden="1" customHeight="1">
      <c r="A416" s="78">
        <v>2025</v>
      </c>
      <c r="B416" s="78">
        <v>7</v>
      </c>
      <c r="C416" s="79" t="s">
        <v>185</v>
      </c>
      <c r="D416" s="78" t="s">
        <v>122</v>
      </c>
      <c r="E416" s="80" t="s">
        <v>123</v>
      </c>
      <c r="F416" s="78" t="str">
        <f>VLOOKUP('표1'!$E416,구분!$C$3:$D$72,2,0)</f>
        <v>동일</v>
      </c>
      <c r="G416" s="81">
        <v>57070410</v>
      </c>
      <c r="H416" s="81">
        <v>36316799</v>
      </c>
      <c r="I416" s="81">
        <v>33015272</v>
      </c>
      <c r="J416" s="81">
        <v>16885373</v>
      </c>
      <c r="K416" s="81">
        <v>16129899</v>
      </c>
      <c r="L416" s="81">
        <v>10089960</v>
      </c>
      <c r="M416" s="81">
        <v>6039939</v>
      </c>
      <c r="N416" s="82">
        <v>0.10583311036314599</v>
      </c>
    </row>
    <row r="417" spans="1:14" ht="14.25" hidden="1" customHeight="1">
      <c r="A417" s="78">
        <v>2025</v>
      </c>
      <c r="B417" s="78">
        <v>7</v>
      </c>
      <c r="C417" s="79" t="s">
        <v>185</v>
      </c>
      <c r="D417" s="78" t="s">
        <v>124</v>
      </c>
      <c r="E417" s="80" t="s">
        <v>125</v>
      </c>
      <c r="F417" s="78" t="str">
        <f>VLOOKUP('표1'!$E417,구분!$C$3:$D$72,2,0)</f>
        <v>동일</v>
      </c>
      <c r="G417" s="81">
        <v>78129980</v>
      </c>
      <c r="H417" s="81">
        <v>49870023</v>
      </c>
      <c r="I417" s="81">
        <v>45336385</v>
      </c>
      <c r="J417" s="81">
        <v>22055655</v>
      </c>
      <c r="K417" s="81">
        <v>23280730</v>
      </c>
      <c r="L417" s="81">
        <v>7892830</v>
      </c>
      <c r="M417" s="81">
        <v>15387900</v>
      </c>
      <c r="N417" s="82">
        <v>0.196952565455668</v>
      </c>
    </row>
    <row r="418" spans="1:14" ht="14.25" hidden="1" customHeight="1">
      <c r="A418" s="78">
        <v>2025</v>
      </c>
      <c r="B418" s="78">
        <v>7</v>
      </c>
      <c r="C418" s="79" t="s">
        <v>185</v>
      </c>
      <c r="D418" s="78" t="s">
        <v>126</v>
      </c>
      <c r="E418" s="80" t="s">
        <v>127</v>
      </c>
      <c r="F418" s="78" t="str">
        <f>VLOOKUP('표1'!$E418,구분!$C$3:$D$72,2,0)</f>
        <v>동일</v>
      </c>
      <c r="G418" s="81">
        <v>88173910</v>
      </c>
      <c r="H418" s="81">
        <v>56108116</v>
      </c>
      <c r="I418" s="81">
        <v>51007378</v>
      </c>
      <c r="J418" s="81">
        <v>25282865</v>
      </c>
      <c r="K418" s="81">
        <v>25724513</v>
      </c>
      <c r="L418" s="81">
        <v>13226930</v>
      </c>
      <c r="M418" s="81">
        <v>12497583</v>
      </c>
      <c r="N418" s="82">
        <v>0.14173787915268801</v>
      </c>
    </row>
    <row r="419" spans="1:14" ht="14.25" customHeight="1">
      <c r="A419" s="78">
        <v>2025</v>
      </c>
      <c r="B419" s="78">
        <v>7</v>
      </c>
      <c r="C419" s="79" t="s">
        <v>185</v>
      </c>
      <c r="D419" s="78" t="s">
        <v>128</v>
      </c>
      <c r="E419" s="80" t="s">
        <v>129</v>
      </c>
      <c r="F419" s="78" t="str">
        <f>VLOOKUP('표1'!$E419,구분!$C$3:$D$72,2,0)</f>
        <v>동일</v>
      </c>
      <c r="G419" s="81">
        <v>117575190</v>
      </c>
      <c r="H419" s="81">
        <v>75033288</v>
      </c>
      <c r="I419" s="81">
        <v>68212080</v>
      </c>
      <c r="J419" s="81">
        <v>38383750</v>
      </c>
      <c r="K419" s="81">
        <v>29828330</v>
      </c>
      <c r="L419" s="81">
        <v>17049250</v>
      </c>
      <c r="M419" s="81">
        <v>12779080</v>
      </c>
      <c r="N419" s="82">
        <v>0.108688576220885</v>
      </c>
    </row>
    <row r="420" spans="1:14" ht="14.25" hidden="1" customHeight="1">
      <c r="A420" s="78">
        <v>2025</v>
      </c>
      <c r="B420" s="78">
        <v>7</v>
      </c>
      <c r="C420" s="79" t="s">
        <v>185</v>
      </c>
      <c r="D420" s="78" t="s">
        <v>130</v>
      </c>
      <c r="E420" s="80" t="s">
        <v>131</v>
      </c>
      <c r="F420" s="78" t="str">
        <f>VLOOKUP('표1'!$E420,구분!$C$3:$D$72,2,0)</f>
        <v>동일</v>
      </c>
      <c r="G420" s="81">
        <v>51243230</v>
      </c>
      <c r="H420" s="81">
        <v>32502212</v>
      </c>
      <c r="I420" s="81">
        <v>29547465</v>
      </c>
      <c r="J420" s="81">
        <v>14177476</v>
      </c>
      <c r="K420" s="81">
        <v>15369989</v>
      </c>
      <c r="L420" s="81">
        <v>6555500</v>
      </c>
      <c r="M420" s="81">
        <v>8814489</v>
      </c>
      <c r="N420" s="82">
        <v>0.17201275173325301</v>
      </c>
    </row>
    <row r="421" spans="1:14" ht="14.25" hidden="1" customHeight="1">
      <c r="A421" s="78">
        <v>2025</v>
      </c>
      <c r="B421" s="78">
        <v>7</v>
      </c>
      <c r="C421" s="79" t="s">
        <v>185</v>
      </c>
      <c r="D421" s="78" t="s">
        <v>132</v>
      </c>
      <c r="E421" s="80" t="s">
        <v>133</v>
      </c>
      <c r="F421" s="78" t="str">
        <f>VLOOKUP('표1'!$E421,구분!$C$3:$D$72,2,0)</f>
        <v>동일</v>
      </c>
      <c r="G421" s="81">
        <v>30938800</v>
      </c>
      <c r="H421" s="81">
        <v>20110081</v>
      </c>
      <c r="I421" s="81">
        <v>18281892</v>
      </c>
      <c r="J421" s="81">
        <v>9135794</v>
      </c>
      <c r="K421" s="81">
        <v>9146098</v>
      </c>
      <c r="L421" s="81">
        <v>5649290</v>
      </c>
      <c r="M421" s="81">
        <v>3496808</v>
      </c>
      <c r="N421" s="82">
        <v>0.113023388108136</v>
      </c>
    </row>
    <row r="422" spans="1:14" ht="14.25" hidden="1" customHeight="1">
      <c r="A422" s="78">
        <v>2025</v>
      </c>
      <c r="B422" s="78">
        <v>7</v>
      </c>
      <c r="C422" s="79" t="s">
        <v>185</v>
      </c>
      <c r="D422" s="78" t="s">
        <v>134</v>
      </c>
      <c r="E422" s="80" t="s">
        <v>135</v>
      </c>
      <c r="F422" s="78" t="str">
        <f>VLOOKUP('표1'!$E422,구분!$C$3:$D$72,2,0)</f>
        <v>동일</v>
      </c>
      <c r="G422" s="81">
        <v>41395430</v>
      </c>
      <c r="H422" s="81">
        <v>26318994</v>
      </c>
      <c r="I422" s="81">
        <v>23926358</v>
      </c>
      <c r="J422" s="81">
        <v>12203143</v>
      </c>
      <c r="K422" s="81">
        <v>11723215</v>
      </c>
      <c r="L422" s="81">
        <v>7368000</v>
      </c>
      <c r="M422" s="81">
        <v>4355215</v>
      </c>
      <c r="N422" s="82">
        <v>0.105210043717386</v>
      </c>
    </row>
    <row r="423" spans="1:14" ht="14.25" hidden="1" customHeight="1">
      <c r="A423" s="78">
        <v>2025</v>
      </c>
      <c r="B423" s="78">
        <v>7</v>
      </c>
      <c r="C423" s="79" t="s">
        <v>185</v>
      </c>
      <c r="D423" s="78" t="s">
        <v>136</v>
      </c>
      <c r="E423" s="80" t="s">
        <v>137</v>
      </c>
      <c r="F423" s="78" t="str">
        <f>VLOOKUP('표1'!$E423,구분!$C$3:$D$72,2,0)</f>
        <v>동일</v>
      </c>
      <c r="G423" s="81">
        <v>58416880</v>
      </c>
      <c r="H423" s="81">
        <v>37340588</v>
      </c>
      <c r="I423" s="81">
        <v>33945989</v>
      </c>
      <c r="J423" s="81">
        <v>17709768</v>
      </c>
      <c r="K423" s="81">
        <v>16236221</v>
      </c>
      <c r="L423" s="81">
        <v>6577420</v>
      </c>
      <c r="M423" s="81">
        <v>9658801</v>
      </c>
      <c r="N423" s="82">
        <v>0.165342637265119</v>
      </c>
    </row>
    <row r="424" spans="1:14" ht="14.25" hidden="1" customHeight="1">
      <c r="A424" s="78">
        <v>2025</v>
      </c>
      <c r="B424" s="78">
        <v>7</v>
      </c>
      <c r="C424" s="79" t="s">
        <v>185</v>
      </c>
      <c r="D424" s="78" t="s">
        <v>138</v>
      </c>
      <c r="E424" s="80" t="s">
        <v>139</v>
      </c>
      <c r="F424" s="78" t="str">
        <f>VLOOKUP('표1'!$E424,구분!$C$3:$D$72,2,0)</f>
        <v>동일</v>
      </c>
      <c r="G424" s="81">
        <v>34646100</v>
      </c>
      <c r="H424" s="81">
        <v>22022378</v>
      </c>
      <c r="I424" s="81">
        <v>20020344</v>
      </c>
      <c r="J424" s="81">
        <v>9672871</v>
      </c>
      <c r="K424" s="81">
        <v>10347473</v>
      </c>
      <c r="L424" s="81">
        <v>4747860</v>
      </c>
      <c r="M424" s="81">
        <v>5599613</v>
      </c>
      <c r="N424" s="82">
        <v>0.161623184139052</v>
      </c>
    </row>
    <row r="425" spans="1:14" ht="14.25" hidden="1" customHeight="1">
      <c r="A425" s="78">
        <v>2025</v>
      </c>
      <c r="B425" s="78">
        <v>7</v>
      </c>
      <c r="C425" s="79" t="s">
        <v>185</v>
      </c>
      <c r="D425" s="78" t="s">
        <v>140</v>
      </c>
      <c r="E425" s="80" t="s">
        <v>141</v>
      </c>
      <c r="F425" s="78" t="str">
        <f>VLOOKUP('표1'!$E425,구분!$C$3:$D$72,2,0)</f>
        <v>동일</v>
      </c>
      <c r="G425" s="81">
        <v>81924450</v>
      </c>
      <c r="H425" s="81">
        <v>51768774</v>
      </c>
      <c r="I425" s="81">
        <v>47062522</v>
      </c>
      <c r="J425" s="81">
        <v>23307174</v>
      </c>
      <c r="K425" s="81">
        <v>23755348</v>
      </c>
      <c r="L425" s="81">
        <v>11259360</v>
      </c>
      <c r="M425" s="81">
        <v>12495988</v>
      </c>
      <c r="N425" s="82">
        <v>0.15253063035516301</v>
      </c>
    </row>
    <row r="426" spans="1:14" ht="14.25" hidden="1" customHeight="1">
      <c r="A426" s="78">
        <v>2025</v>
      </c>
      <c r="B426" s="78">
        <v>7</v>
      </c>
      <c r="C426" s="79" t="s">
        <v>185</v>
      </c>
      <c r="D426" s="78" t="s">
        <v>142</v>
      </c>
      <c r="E426" s="80" t="s">
        <v>143</v>
      </c>
      <c r="F426" s="78" t="str">
        <f>VLOOKUP('표1'!$E426,구분!$C$3:$D$72,2,0)</f>
        <v>동일</v>
      </c>
      <c r="G426" s="81">
        <v>55789160</v>
      </c>
      <c r="H426" s="81">
        <v>35776760</v>
      </c>
      <c r="I426" s="81">
        <v>32524327</v>
      </c>
      <c r="J426" s="81">
        <v>16756824</v>
      </c>
      <c r="K426" s="81">
        <v>15767503</v>
      </c>
      <c r="L426" s="81">
        <v>5100080</v>
      </c>
      <c r="M426" s="81">
        <v>10667423</v>
      </c>
      <c r="N426" s="82">
        <v>0.19120960057473499</v>
      </c>
    </row>
    <row r="427" spans="1:14" ht="14.25" hidden="1" customHeight="1">
      <c r="A427" s="78">
        <v>2025</v>
      </c>
      <c r="B427" s="78">
        <v>7</v>
      </c>
      <c r="C427" s="79" t="s">
        <v>185</v>
      </c>
      <c r="D427" s="78" t="s">
        <v>144</v>
      </c>
      <c r="E427" s="80" t="s">
        <v>145</v>
      </c>
      <c r="F427" s="78" t="str">
        <f>VLOOKUP('표1'!$E427,구분!$C$3:$D$72,2,0)</f>
        <v>동일</v>
      </c>
      <c r="G427" s="81">
        <v>46000100</v>
      </c>
      <c r="H427" s="81">
        <v>29717527</v>
      </c>
      <c r="I427" s="81">
        <v>27015934</v>
      </c>
      <c r="J427" s="81">
        <v>13459831</v>
      </c>
      <c r="K427" s="81">
        <v>13556103</v>
      </c>
      <c r="L427" s="81">
        <v>6625530</v>
      </c>
      <c r="M427" s="81">
        <v>6930573</v>
      </c>
      <c r="N427" s="82">
        <v>0.15066430290368901</v>
      </c>
    </row>
    <row r="428" spans="1:14" ht="14.25" hidden="1" customHeight="1">
      <c r="A428" s="78">
        <v>2025</v>
      </c>
      <c r="B428" s="78">
        <v>7</v>
      </c>
      <c r="C428" s="79" t="s">
        <v>185</v>
      </c>
      <c r="D428" s="78" t="s">
        <v>146</v>
      </c>
      <c r="E428" s="80" t="s">
        <v>147</v>
      </c>
      <c r="F428" s="78" t="str">
        <f>VLOOKUP('표1'!$E428,구분!$C$3:$D$72,2,0)</f>
        <v>동일</v>
      </c>
      <c r="G428" s="81">
        <v>86559940</v>
      </c>
      <c r="H428" s="81">
        <v>54539738</v>
      </c>
      <c r="I428" s="81">
        <v>49581580</v>
      </c>
      <c r="J428" s="81">
        <v>26094403</v>
      </c>
      <c r="K428" s="81">
        <v>23487177</v>
      </c>
      <c r="L428" s="81">
        <v>10488130</v>
      </c>
      <c r="M428" s="81">
        <v>12999047</v>
      </c>
      <c r="N428" s="82">
        <v>0.15017393727398601</v>
      </c>
    </row>
    <row r="429" spans="1:14" ht="14.25" hidden="1" customHeight="1">
      <c r="A429" s="78">
        <v>2025</v>
      </c>
      <c r="B429" s="78">
        <v>7</v>
      </c>
      <c r="C429" s="79" t="s">
        <v>185</v>
      </c>
      <c r="D429" s="78" t="s">
        <v>148</v>
      </c>
      <c r="E429" s="80" t="s">
        <v>149</v>
      </c>
      <c r="F429" s="78" t="str">
        <f>VLOOKUP('표1'!$E429,구분!$C$3:$D$72,2,0)</f>
        <v>동일</v>
      </c>
      <c r="G429" s="81">
        <v>18288330</v>
      </c>
      <c r="H429" s="81">
        <v>11590445</v>
      </c>
      <c r="I429" s="81">
        <v>10536768</v>
      </c>
      <c r="J429" s="81">
        <v>5444156</v>
      </c>
      <c r="K429" s="81">
        <v>5092612</v>
      </c>
      <c r="L429" s="81">
        <v>4803590</v>
      </c>
      <c r="M429" s="81">
        <v>289022</v>
      </c>
      <c r="N429" s="82">
        <v>1.58036299651198E-2</v>
      </c>
    </row>
    <row r="430" spans="1:14" ht="14.25" hidden="1" customHeight="1">
      <c r="A430" s="78">
        <v>2025</v>
      </c>
      <c r="B430" s="78">
        <v>7</v>
      </c>
      <c r="C430" s="79" t="s">
        <v>185</v>
      </c>
      <c r="D430" s="78" t="s">
        <v>150</v>
      </c>
      <c r="E430" s="80" t="s">
        <v>151</v>
      </c>
      <c r="F430" s="78" t="str">
        <f>VLOOKUP('표1'!$E430,구분!$C$3:$D$72,2,0)</f>
        <v>동일</v>
      </c>
      <c r="G430" s="81">
        <v>48641670</v>
      </c>
      <c r="H430" s="81">
        <v>31585871</v>
      </c>
      <c r="I430" s="81">
        <v>28714428</v>
      </c>
      <c r="J430" s="81">
        <v>14735971</v>
      </c>
      <c r="K430" s="81">
        <v>13978457</v>
      </c>
      <c r="L430" s="81">
        <v>6169237</v>
      </c>
      <c r="M430" s="81">
        <v>7809220</v>
      </c>
      <c r="N430" s="82">
        <v>0.16054588586288299</v>
      </c>
    </row>
    <row r="431" spans="1:14" ht="15" hidden="1" customHeight="1">
      <c r="A431" s="78">
        <v>2025</v>
      </c>
      <c r="B431" s="78">
        <v>7</v>
      </c>
      <c r="C431" s="79" t="s">
        <v>185</v>
      </c>
      <c r="D431" s="78" t="s">
        <v>152</v>
      </c>
      <c r="E431" s="78" t="s">
        <v>153</v>
      </c>
      <c r="F431" s="78" t="str">
        <f>VLOOKUP('표1'!$E431,구분!$C$3:$D$72,2,0)</f>
        <v>동일</v>
      </c>
      <c r="G431" s="81">
        <v>33288550</v>
      </c>
      <c r="H431" s="81">
        <v>20698432</v>
      </c>
      <c r="I431" s="81">
        <v>18816756</v>
      </c>
      <c r="J431" s="81">
        <v>9301554</v>
      </c>
      <c r="K431" s="81">
        <v>9515202</v>
      </c>
      <c r="L431" s="81">
        <v>6634080</v>
      </c>
      <c r="M431" s="81">
        <v>2881122</v>
      </c>
      <c r="N431" s="82">
        <v>8.6549939844180704E-2</v>
      </c>
    </row>
    <row r="432" spans="1:14" ht="14.25" hidden="1" customHeight="1">
      <c r="A432" s="78">
        <v>2025</v>
      </c>
      <c r="B432" s="78">
        <v>7</v>
      </c>
      <c r="C432" s="79" t="s">
        <v>185</v>
      </c>
      <c r="D432" s="78" t="s">
        <v>154</v>
      </c>
      <c r="E432" s="80" t="s">
        <v>155</v>
      </c>
      <c r="F432" s="78" t="str">
        <f>VLOOKUP('표1'!$E432,구분!$C$3:$D$72,2,0)</f>
        <v>동일</v>
      </c>
      <c r="G432" s="81">
        <v>91051270</v>
      </c>
      <c r="H432" s="81">
        <v>57903993</v>
      </c>
      <c r="I432" s="81">
        <v>52639994</v>
      </c>
      <c r="J432" s="81">
        <v>26485923</v>
      </c>
      <c r="K432" s="81">
        <v>26154071</v>
      </c>
      <c r="L432" s="81">
        <v>14398090</v>
      </c>
      <c r="M432" s="81">
        <v>11755981</v>
      </c>
      <c r="N432" s="82">
        <v>0.12911386079513201</v>
      </c>
    </row>
    <row r="433" spans="1:14" ht="14.25" hidden="1" customHeight="1">
      <c r="A433" s="78">
        <v>2025</v>
      </c>
      <c r="B433" s="78">
        <v>7</v>
      </c>
      <c r="C433" s="79" t="s">
        <v>185</v>
      </c>
      <c r="D433" s="78" t="s">
        <v>156</v>
      </c>
      <c r="E433" s="80" t="s">
        <v>157</v>
      </c>
      <c r="F433" s="78" t="str">
        <f>VLOOKUP('표1'!$E433,구분!$C$3:$D$72,2,0)</f>
        <v>동일</v>
      </c>
      <c r="G433" s="81">
        <v>61848870</v>
      </c>
      <c r="H433" s="81">
        <v>47314447</v>
      </c>
      <c r="I433" s="81">
        <v>43013134</v>
      </c>
      <c r="J433" s="81">
        <v>20770441</v>
      </c>
      <c r="K433" s="81">
        <v>22242693</v>
      </c>
      <c r="L433" s="81">
        <v>8350440</v>
      </c>
      <c r="M433" s="81">
        <v>13892253</v>
      </c>
      <c r="N433" s="82">
        <v>0.224616116672786</v>
      </c>
    </row>
    <row r="434" spans="1:14" ht="14.25" hidden="1" customHeight="1">
      <c r="A434" s="78">
        <v>2025</v>
      </c>
      <c r="B434" s="78">
        <v>7</v>
      </c>
      <c r="C434" s="79" t="s">
        <v>185</v>
      </c>
      <c r="D434" s="78" t="s">
        <v>158</v>
      </c>
      <c r="E434" s="80" t="s">
        <v>159</v>
      </c>
      <c r="F434" s="78" t="str">
        <f>VLOOKUP('표1'!$E434,구분!$C$3:$D$72,2,0)</f>
        <v>동일</v>
      </c>
      <c r="G434" s="81">
        <v>44350400</v>
      </c>
      <c r="H434" s="81">
        <v>34149840</v>
      </c>
      <c r="I434" s="81">
        <v>31045309</v>
      </c>
      <c r="J434" s="81">
        <v>14678697</v>
      </c>
      <c r="K434" s="81">
        <v>16366612</v>
      </c>
      <c r="L434" s="81">
        <v>7090810</v>
      </c>
      <c r="M434" s="81">
        <v>9275802</v>
      </c>
      <c r="N434" s="82">
        <v>0.20914810238464601</v>
      </c>
    </row>
    <row r="435" spans="1:14" ht="14.25" hidden="1" customHeight="1">
      <c r="A435" s="78">
        <v>2025</v>
      </c>
      <c r="B435" s="78">
        <v>7</v>
      </c>
      <c r="C435" s="79" t="s">
        <v>185</v>
      </c>
      <c r="D435" s="78" t="s">
        <v>160</v>
      </c>
      <c r="E435" s="80" t="s">
        <v>161</v>
      </c>
      <c r="F435" s="78" t="str">
        <f>VLOOKUP('표1'!$E435,구분!$C$3:$D$72,2,0)</f>
        <v>동일</v>
      </c>
      <c r="G435" s="81">
        <v>42440630</v>
      </c>
      <c r="H435" s="81">
        <v>32467101</v>
      </c>
      <c r="I435" s="81">
        <v>29515546</v>
      </c>
      <c r="J435" s="81">
        <v>13789647</v>
      </c>
      <c r="K435" s="81">
        <v>15725899</v>
      </c>
      <c r="L435" s="81">
        <v>7068580</v>
      </c>
      <c r="M435" s="81">
        <v>8657319</v>
      </c>
      <c r="N435" s="82">
        <v>0.203986580783556</v>
      </c>
    </row>
    <row r="436" spans="1:14" ht="14.25" hidden="1" customHeight="1">
      <c r="A436" s="78">
        <v>2025</v>
      </c>
      <c r="B436" s="78">
        <v>7</v>
      </c>
      <c r="C436" s="79" t="s">
        <v>185</v>
      </c>
      <c r="D436" s="78" t="s">
        <v>162</v>
      </c>
      <c r="E436" s="80" t="s">
        <v>163</v>
      </c>
      <c r="F436" s="78" t="str">
        <f>VLOOKUP('표1'!$E436,구분!$C$3:$D$72,2,0)</f>
        <v>동일</v>
      </c>
      <c r="G436" s="81">
        <v>36581100</v>
      </c>
      <c r="H436" s="81">
        <v>28167496</v>
      </c>
      <c r="I436" s="81">
        <v>25606815</v>
      </c>
      <c r="J436" s="81">
        <v>13140881</v>
      </c>
      <c r="K436" s="81">
        <v>12465934</v>
      </c>
      <c r="L436" s="81">
        <v>4992540</v>
      </c>
      <c r="M436" s="81">
        <v>7473394</v>
      </c>
      <c r="N436" s="82">
        <v>0.204296590315764</v>
      </c>
    </row>
    <row r="437" spans="1:14" ht="14.25" hidden="1" customHeight="1">
      <c r="A437" s="78">
        <v>2025</v>
      </c>
      <c r="B437" s="78">
        <v>7</v>
      </c>
      <c r="C437" s="79" t="s">
        <v>185</v>
      </c>
      <c r="D437" s="78" t="s">
        <v>164</v>
      </c>
      <c r="E437" s="80" t="s">
        <v>165</v>
      </c>
      <c r="F437" s="78" t="str">
        <f>VLOOKUP('표1'!$E437,구분!$C$3:$D$72,2,0)</f>
        <v>동일</v>
      </c>
      <c r="G437" s="81">
        <v>43293260</v>
      </c>
      <c r="H437" s="81">
        <v>33335845</v>
      </c>
      <c r="I437" s="81">
        <v>30305314</v>
      </c>
      <c r="J437" s="81">
        <v>14912694</v>
      </c>
      <c r="K437" s="81">
        <v>15392620</v>
      </c>
      <c r="L437" s="81">
        <v>6446960</v>
      </c>
      <c r="M437" s="81">
        <v>8945660</v>
      </c>
      <c r="N437" s="82">
        <v>0.20662939219638399</v>
      </c>
    </row>
    <row r="438" spans="1:14" ht="14.25" hidden="1" customHeight="1">
      <c r="A438" s="78">
        <v>2025</v>
      </c>
      <c r="B438" s="78">
        <v>7</v>
      </c>
      <c r="C438" s="79" t="s">
        <v>185</v>
      </c>
      <c r="D438" s="78" t="s">
        <v>166</v>
      </c>
      <c r="E438" s="80" t="s">
        <v>167</v>
      </c>
      <c r="F438" s="78" t="str">
        <f>VLOOKUP('표1'!$E438,구분!$C$3:$D$72,2,0)</f>
        <v>동일</v>
      </c>
      <c r="G438" s="81">
        <v>53274350</v>
      </c>
      <c r="H438" s="81">
        <v>41021303</v>
      </c>
      <c r="I438" s="81">
        <v>37292094</v>
      </c>
      <c r="J438" s="81">
        <v>19522408</v>
      </c>
      <c r="K438" s="81">
        <v>17769686</v>
      </c>
      <c r="L438" s="81">
        <v>6607480</v>
      </c>
      <c r="M438" s="81">
        <v>11162206</v>
      </c>
      <c r="N438" s="82">
        <v>0.209523081933426</v>
      </c>
    </row>
    <row r="439" spans="1:14" ht="14.25" hidden="1" customHeight="1">
      <c r="A439" s="78">
        <v>2025</v>
      </c>
      <c r="B439" s="78">
        <v>7</v>
      </c>
      <c r="C439" s="79" t="s">
        <v>185</v>
      </c>
      <c r="D439" s="78" t="s">
        <v>168</v>
      </c>
      <c r="E439" s="80" t="s">
        <v>169</v>
      </c>
      <c r="F439" s="78" t="str">
        <f>VLOOKUP('표1'!$E439,구분!$C$3:$D$72,2,0)</f>
        <v>동일</v>
      </c>
      <c r="G439" s="81">
        <v>30053590</v>
      </c>
      <c r="H439" s="81">
        <v>23141278</v>
      </c>
      <c r="I439" s="81">
        <v>21037525</v>
      </c>
      <c r="J439" s="81">
        <v>9772680</v>
      </c>
      <c r="K439" s="81">
        <v>11264845</v>
      </c>
      <c r="L439" s="81">
        <v>6035360</v>
      </c>
      <c r="M439" s="81">
        <v>5229485</v>
      </c>
      <c r="N439" s="82">
        <v>0.17400533513633501</v>
      </c>
    </row>
    <row r="440" spans="1:14" ht="15" hidden="1" customHeight="1">
      <c r="A440" s="78">
        <v>2025</v>
      </c>
      <c r="B440" s="78">
        <v>7</v>
      </c>
      <c r="C440" s="79" t="s">
        <v>185</v>
      </c>
      <c r="D440" s="78" t="s">
        <v>172</v>
      </c>
      <c r="E440" s="78" t="s">
        <v>173</v>
      </c>
      <c r="F440" s="78" t="str">
        <f>VLOOKUP('표1'!$E440,구분!$C$3:$D$72,2,0)</f>
        <v>동일</v>
      </c>
      <c r="G440" s="81">
        <v>41009000</v>
      </c>
      <c r="H440" s="81">
        <v>32397140</v>
      </c>
      <c r="I440" s="81">
        <v>29451945</v>
      </c>
      <c r="J440" s="81">
        <v>14662482</v>
      </c>
      <c r="K440" s="81">
        <v>14789463</v>
      </c>
      <c r="L440" s="81">
        <v>6997630</v>
      </c>
      <c r="M440" s="81">
        <v>7791833</v>
      </c>
      <c r="N440" s="82">
        <v>0.190002999341608</v>
      </c>
    </row>
    <row r="441" spans="1:14" ht="14.25" hidden="1" customHeight="1">
      <c r="A441" s="78">
        <v>2025</v>
      </c>
      <c r="B441" s="78">
        <v>7</v>
      </c>
      <c r="C441" s="79" t="s">
        <v>185</v>
      </c>
      <c r="D441" s="78" t="s">
        <v>174</v>
      </c>
      <c r="E441" s="80" t="s">
        <v>175</v>
      </c>
      <c r="F441" s="78" t="str">
        <f>VLOOKUP('표1'!$E441,구분!$C$3:$D$72,2,0)</f>
        <v>동일</v>
      </c>
      <c r="G441" s="81">
        <v>21762290</v>
      </c>
      <c r="H441" s="81">
        <v>18280325</v>
      </c>
      <c r="I441" s="81">
        <v>16618477</v>
      </c>
      <c r="J441" s="81">
        <v>8479034</v>
      </c>
      <c r="K441" s="81">
        <v>8139443</v>
      </c>
      <c r="L441" s="81">
        <v>4888080</v>
      </c>
      <c r="M441" s="81">
        <v>3251363</v>
      </c>
      <c r="N441" s="82">
        <v>0.14940353244075</v>
      </c>
    </row>
    <row r="442" spans="1:14" ht="14.25" hidden="1" customHeight="1">
      <c r="A442" s="78">
        <v>2025</v>
      </c>
      <c r="B442" s="78">
        <v>7</v>
      </c>
      <c r="C442" s="79" t="s">
        <v>185</v>
      </c>
      <c r="D442" s="78" t="s">
        <v>176</v>
      </c>
      <c r="E442" s="80" t="s">
        <v>177</v>
      </c>
      <c r="F442" s="78" t="str">
        <f>VLOOKUP('표1'!$E442,구분!$C$3:$D$72,2,0)</f>
        <v>동일</v>
      </c>
      <c r="G442" s="81">
        <v>95936270</v>
      </c>
      <c r="H442" s="81">
        <v>73870996</v>
      </c>
      <c r="I442" s="81">
        <v>67155451</v>
      </c>
      <c r="J442" s="81">
        <v>32342141</v>
      </c>
      <c r="K442" s="81">
        <v>34813310</v>
      </c>
      <c r="L442" s="81">
        <v>16310010</v>
      </c>
      <c r="M442" s="81">
        <v>18503300</v>
      </c>
      <c r="N442" s="82">
        <v>0.19287074638194701</v>
      </c>
    </row>
    <row r="443" spans="1:14" ht="14.25" hidden="1" customHeight="1">
      <c r="A443" s="78">
        <v>2025</v>
      </c>
      <c r="B443" s="78">
        <v>7</v>
      </c>
      <c r="C443" s="79" t="s">
        <v>185</v>
      </c>
      <c r="D443" s="78" t="s">
        <v>178</v>
      </c>
      <c r="E443" s="80" t="s">
        <v>179</v>
      </c>
      <c r="F443" s="78" t="str">
        <f>VLOOKUP('표1'!$E443,구분!$C$3:$D$72,2,0)</f>
        <v>동일</v>
      </c>
      <c r="G443" s="81">
        <v>106017050</v>
      </c>
      <c r="H443" s="81">
        <v>81633186</v>
      </c>
      <c r="I443" s="81">
        <v>74211987</v>
      </c>
      <c r="J443" s="81">
        <v>33925951</v>
      </c>
      <c r="K443" s="81">
        <v>40286036</v>
      </c>
      <c r="L443" s="81">
        <v>13783060</v>
      </c>
      <c r="M443" s="81">
        <v>26502976</v>
      </c>
      <c r="N443" s="82">
        <v>0.249987865159425</v>
      </c>
    </row>
    <row r="444" spans="1:14" ht="14.25" hidden="1" customHeight="1">
      <c r="A444" s="73">
        <v>2025</v>
      </c>
      <c r="B444" s="73">
        <v>8</v>
      </c>
      <c r="C444" s="79" t="s">
        <v>186</v>
      </c>
      <c r="D444" s="73" t="s">
        <v>54</v>
      </c>
      <c r="E444" s="75" t="s">
        <v>55</v>
      </c>
      <c r="F444" s="73" t="str">
        <f>VLOOKUP('표1'!$E444,구분!$C$3:$D$72,2,0)</f>
        <v>동일</v>
      </c>
      <c r="G444" s="76">
        <v>39352930</v>
      </c>
      <c r="H444" s="76">
        <v>25172681</v>
      </c>
      <c r="I444" s="76">
        <v>22884255</v>
      </c>
      <c r="J444" s="76">
        <v>11289412</v>
      </c>
      <c r="K444" s="76">
        <v>11594843</v>
      </c>
      <c r="L444" s="76">
        <v>6758970</v>
      </c>
      <c r="M444" s="76">
        <v>4835873</v>
      </c>
      <c r="N444" s="77">
        <v>0.122884700071888</v>
      </c>
    </row>
    <row r="445" spans="1:14" ht="14.25" hidden="1" customHeight="1">
      <c r="A445" s="78">
        <v>2025</v>
      </c>
      <c r="B445" s="78">
        <v>8</v>
      </c>
      <c r="C445" s="79" t="s">
        <v>186</v>
      </c>
      <c r="D445" s="78" t="s">
        <v>56</v>
      </c>
      <c r="E445" s="80" t="s">
        <v>57</v>
      </c>
      <c r="F445" s="78" t="str">
        <f>VLOOKUP('표1'!$E445,구분!$C$3:$D$72,2,0)</f>
        <v>동일</v>
      </c>
      <c r="G445" s="81">
        <v>14216920</v>
      </c>
      <c r="H445" s="81">
        <v>9209036</v>
      </c>
      <c r="I445" s="81">
        <v>8371851</v>
      </c>
      <c r="J445" s="81">
        <v>4558340</v>
      </c>
      <c r="K445" s="81">
        <v>3813511</v>
      </c>
      <c r="L445" s="81">
        <v>4778920</v>
      </c>
      <c r="M445" s="81">
        <v>-965409</v>
      </c>
      <c r="N445" s="82">
        <v>-6.7905636382563903E-2</v>
      </c>
    </row>
    <row r="446" spans="1:14" ht="14.25" hidden="1" customHeight="1">
      <c r="A446" s="78">
        <v>2025</v>
      </c>
      <c r="B446" s="78">
        <v>8</v>
      </c>
      <c r="C446" s="79" t="s">
        <v>186</v>
      </c>
      <c r="D446" s="78" t="s">
        <v>58</v>
      </c>
      <c r="E446" s="80" t="s">
        <v>59</v>
      </c>
      <c r="F446" s="78" t="str">
        <f>VLOOKUP('표1'!$E446,구분!$C$3:$D$72,2,0)</f>
        <v>동일</v>
      </c>
      <c r="G446" s="81">
        <v>34408260</v>
      </c>
      <c r="H446" s="81">
        <v>22001382</v>
      </c>
      <c r="I446" s="81">
        <v>20001256</v>
      </c>
      <c r="J446" s="81">
        <v>10169066</v>
      </c>
      <c r="K446" s="81">
        <v>9832190</v>
      </c>
      <c r="L446" s="81">
        <v>4441600</v>
      </c>
      <c r="M446" s="81">
        <v>5390590</v>
      </c>
      <c r="N446" s="82">
        <v>0.15666557971835801</v>
      </c>
    </row>
    <row r="447" spans="1:14" ht="14.25" hidden="1" customHeight="1">
      <c r="A447" s="78">
        <v>2025</v>
      </c>
      <c r="B447" s="78">
        <v>8</v>
      </c>
      <c r="C447" s="79" t="s">
        <v>186</v>
      </c>
      <c r="D447" s="78" t="s">
        <v>60</v>
      </c>
      <c r="E447" s="80" t="s">
        <v>61</v>
      </c>
      <c r="F447" s="78" t="str">
        <f>VLOOKUP('표1'!$E447,구분!$C$3:$D$72,2,0)</f>
        <v>동일</v>
      </c>
      <c r="G447" s="81">
        <v>23631380</v>
      </c>
      <c r="H447" s="81">
        <v>15124081</v>
      </c>
      <c r="I447" s="81">
        <v>13749165</v>
      </c>
      <c r="J447" s="81">
        <v>6623522</v>
      </c>
      <c r="K447" s="81">
        <v>7125643</v>
      </c>
      <c r="L447" s="81">
        <v>5094530</v>
      </c>
      <c r="M447" s="81">
        <v>2031113</v>
      </c>
      <c r="N447" s="82">
        <v>8.5949826036397406E-2</v>
      </c>
    </row>
    <row r="448" spans="1:14" ht="14.25" hidden="1" customHeight="1">
      <c r="A448" s="78">
        <v>2025</v>
      </c>
      <c r="B448" s="78">
        <v>8</v>
      </c>
      <c r="C448" s="79" t="s">
        <v>186</v>
      </c>
      <c r="D448" s="78" t="s">
        <v>62</v>
      </c>
      <c r="E448" s="80" t="s">
        <v>63</v>
      </c>
      <c r="F448" s="78" t="str">
        <f>VLOOKUP('표1'!$E448,구분!$C$3:$D$72,2,0)</f>
        <v>동일</v>
      </c>
      <c r="G448" s="81">
        <v>54270920</v>
      </c>
      <c r="H448" s="81">
        <v>34731464</v>
      </c>
      <c r="I448" s="81">
        <v>31574058</v>
      </c>
      <c r="J448" s="81">
        <v>15562869</v>
      </c>
      <c r="K448" s="81">
        <v>16011189</v>
      </c>
      <c r="L448" s="81">
        <v>7948250</v>
      </c>
      <c r="M448" s="81">
        <v>8062939</v>
      </c>
      <c r="N448" s="82">
        <v>0.148568312459048</v>
      </c>
    </row>
    <row r="449" spans="1:14" ht="14.25" hidden="1" customHeight="1">
      <c r="A449" s="78">
        <v>2025</v>
      </c>
      <c r="B449" s="78">
        <v>8</v>
      </c>
      <c r="C449" s="79" t="s">
        <v>186</v>
      </c>
      <c r="D449" s="78" t="s">
        <v>64</v>
      </c>
      <c r="E449" s="80" t="s">
        <v>65</v>
      </c>
      <c r="F449" s="78" t="str">
        <f>VLOOKUP('표1'!$E449,구분!$C$3:$D$72,2,0)</f>
        <v>동일</v>
      </c>
      <c r="G449" s="81">
        <v>22000190</v>
      </c>
      <c r="H449" s="81">
        <v>14066963</v>
      </c>
      <c r="I449" s="81">
        <v>12788148</v>
      </c>
      <c r="J449" s="81">
        <v>6552973</v>
      </c>
      <c r="K449" s="81">
        <v>6235175</v>
      </c>
      <c r="L449" s="81">
        <v>5401330</v>
      </c>
      <c r="M449" s="81">
        <v>833845</v>
      </c>
      <c r="N449" s="82">
        <v>3.7901718121525298E-2</v>
      </c>
    </row>
    <row r="450" spans="1:14" ht="14.25" hidden="1" customHeight="1">
      <c r="A450" s="78">
        <v>2025</v>
      </c>
      <c r="B450" s="78">
        <v>8</v>
      </c>
      <c r="C450" s="79" t="s">
        <v>186</v>
      </c>
      <c r="D450" s="78" t="s">
        <v>66</v>
      </c>
      <c r="E450" s="80" t="s">
        <v>67</v>
      </c>
      <c r="F450" s="78" t="str">
        <f>VLOOKUP('표1'!$E450,구분!$C$3:$D$72,2,0)</f>
        <v>동일</v>
      </c>
      <c r="G450" s="81">
        <v>21486680</v>
      </c>
      <c r="H450" s="81">
        <v>13959983</v>
      </c>
      <c r="I450" s="81">
        <v>12690894</v>
      </c>
      <c r="J450" s="81">
        <v>8111721</v>
      </c>
      <c r="K450" s="81">
        <v>4579173</v>
      </c>
      <c r="L450" s="81">
        <v>5775770</v>
      </c>
      <c r="M450" s="81">
        <v>-1196597</v>
      </c>
      <c r="N450" s="82">
        <v>-5.5690176425580898E-2</v>
      </c>
    </row>
    <row r="451" spans="1:14" ht="14.25" hidden="1" customHeight="1">
      <c r="A451" s="78">
        <v>2025</v>
      </c>
      <c r="B451" s="78">
        <v>8</v>
      </c>
      <c r="C451" s="79" t="s">
        <v>186</v>
      </c>
      <c r="D451" s="78" t="s">
        <v>68</v>
      </c>
      <c r="E451" s="80" t="s">
        <v>69</v>
      </c>
      <c r="F451" s="78" t="str">
        <f>VLOOKUP('표1'!$E451,구분!$C$3:$D$72,2,0)</f>
        <v>동일</v>
      </c>
      <c r="G451" s="81">
        <v>48808200</v>
      </c>
      <c r="H451" s="81">
        <v>31237247</v>
      </c>
      <c r="I451" s="81">
        <v>28397497</v>
      </c>
      <c r="J451" s="81">
        <v>15129187</v>
      </c>
      <c r="K451" s="81">
        <v>13268310</v>
      </c>
      <c r="L451" s="81">
        <v>6538260</v>
      </c>
      <c r="M451" s="81">
        <v>6730050</v>
      </c>
      <c r="N451" s="82">
        <v>0.13788769100274101</v>
      </c>
    </row>
    <row r="452" spans="1:14" ht="14.25" hidden="1" customHeight="1">
      <c r="A452" s="78">
        <v>2025</v>
      </c>
      <c r="B452" s="78">
        <v>8</v>
      </c>
      <c r="C452" s="79" t="s">
        <v>186</v>
      </c>
      <c r="D452" s="78" t="s">
        <v>70</v>
      </c>
      <c r="E452" s="80" t="s">
        <v>71</v>
      </c>
      <c r="F452" s="78" t="str">
        <f>VLOOKUP('표1'!$E452,구분!$C$3:$D$72,2,0)</f>
        <v>동일</v>
      </c>
      <c r="G452" s="81">
        <v>21277910</v>
      </c>
      <c r="H452" s="81">
        <v>13617870</v>
      </c>
      <c r="I452" s="81">
        <v>12379882</v>
      </c>
      <c r="J452" s="81">
        <v>6055160</v>
      </c>
      <c r="K452" s="81">
        <v>6324722</v>
      </c>
      <c r="L452" s="81">
        <v>5239630</v>
      </c>
      <c r="M452" s="81">
        <v>1085092</v>
      </c>
      <c r="N452" s="82">
        <v>5.0996173966334102E-2</v>
      </c>
    </row>
    <row r="453" spans="1:14" ht="14.25" hidden="1" customHeight="1">
      <c r="A453" s="78">
        <v>2025</v>
      </c>
      <c r="B453" s="78">
        <v>8</v>
      </c>
      <c r="C453" s="79" t="s">
        <v>186</v>
      </c>
      <c r="D453" s="78" t="s">
        <v>72</v>
      </c>
      <c r="E453" s="80" t="s">
        <v>73</v>
      </c>
      <c r="F453" s="78" t="str">
        <f>VLOOKUP('표1'!$E453,구분!$C$3:$D$72,2,0)</f>
        <v>동일</v>
      </c>
      <c r="G453" s="81">
        <v>12771150</v>
      </c>
      <c r="H453" s="81">
        <v>8301254</v>
      </c>
      <c r="I453" s="81">
        <v>7546595</v>
      </c>
      <c r="J453" s="81">
        <v>4067001</v>
      </c>
      <c r="K453" s="81">
        <v>3479594</v>
      </c>
      <c r="L453" s="81">
        <v>4634040</v>
      </c>
      <c r="M453" s="81">
        <v>-1154446</v>
      </c>
      <c r="N453" s="82">
        <v>-9.0394835234101897E-2</v>
      </c>
    </row>
    <row r="454" spans="1:14" ht="14.25" hidden="1" customHeight="1">
      <c r="A454" s="78">
        <v>2025</v>
      </c>
      <c r="B454" s="78">
        <v>8</v>
      </c>
      <c r="C454" s="79" t="s">
        <v>186</v>
      </c>
      <c r="D454" s="78" t="s">
        <v>74</v>
      </c>
      <c r="E454" s="80" t="s">
        <v>75</v>
      </c>
      <c r="F454" s="78" t="str">
        <f>VLOOKUP('표1'!$E454,구분!$C$3:$D$72,2,0)</f>
        <v>동일</v>
      </c>
      <c r="G454" s="81">
        <v>21851350</v>
      </c>
      <c r="H454" s="81">
        <v>13974608</v>
      </c>
      <c r="I454" s="81">
        <v>12704189</v>
      </c>
      <c r="J454" s="81">
        <v>6997049</v>
      </c>
      <c r="K454" s="81">
        <v>5707140</v>
      </c>
      <c r="L454" s="81">
        <v>5685700</v>
      </c>
      <c r="M454" s="81">
        <v>21440</v>
      </c>
      <c r="N454" s="82">
        <v>9.8117507613946098E-4</v>
      </c>
    </row>
    <row r="455" spans="1:14" ht="14.25" hidden="1" customHeight="1">
      <c r="A455" s="78">
        <v>2025</v>
      </c>
      <c r="B455" s="78">
        <v>8</v>
      </c>
      <c r="C455" s="79" t="s">
        <v>186</v>
      </c>
      <c r="D455" s="78" t="s">
        <v>76</v>
      </c>
      <c r="E455" s="80" t="s">
        <v>77</v>
      </c>
      <c r="F455" s="78" t="str">
        <f>VLOOKUP('표1'!$E455,구분!$C$3:$D$72,2,0)</f>
        <v>동일</v>
      </c>
      <c r="G455" s="81">
        <v>32240530</v>
      </c>
      <c r="H455" s="81">
        <v>20612707</v>
      </c>
      <c r="I455" s="81">
        <v>18738825</v>
      </c>
      <c r="J455" s="81">
        <v>9433657</v>
      </c>
      <c r="K455" s="81">
        <v>9305168</v>
      </c>
      <c r="L455" s="81">
        <v>4998240</v>
      </c>
      <c r="M455" s="81">
        <v>4306928</v>
      </c>
      <c r="N455" s="82">
        <v>0.133587382093284</v>
      </c>
    </row>
    <row r="456" spans="1:14" ht="14.25" hidden="1" customHeight="1">
      <c r="A456" s="78">
        <v>2025</v>
      </c>
      <c r="B456" s="78">
        <v>8</v>
      </c>
      <c r="C456" s="79" t="s">
        <v>186</v>
      </c>
      <c r="D456" s="78" t="s">
        <v>78</v>
      </c>
      <c r="E456" s="80" t="s">
        <v>79</v>
      </c>
      <c r="F456" s="78" t="str">
        <f>VLOOKUP('표1'!$E456,구분!$C$3:$D$72,2,0)</f>
        <v>동일</v>
      </c>
      <c r="G456" s="81">
        <v>34750630</v>
      </c>
      <c r="H456" s="81">
        <v>22234047</v>
      </c>
      <c r="I456" s="81">
        <v>20212770</v>
      </c>
      <c r="J456" s="81">
        <v>10653427</v>
      </c>
      <c r="K456" s="81">
        <v>9559343</v>
      </c>
      <c r="L456" s="81">
        <v>6669700</v>
      </c>
      <c r="M456" s="81">
        <v>2889643</v>
      </c>
      <c r="N456" s="82">
        <v>8.3153686710140201E-2</v>
      </c>
    </row>
    <row r="457" spans="1:14" ht="14.25" hidden="1" customHeight="1">
      <c r="A457" s="78">
        <v>2025</v>
      </c>
      <c r="B457" s="78">
        <v>8</v>
      </c>
      <c r="C457" s="79" t="s">
        <v>186</v>
      </c>
      <c r="D457" s="78" t="s">
        <v>80</v>
      </c>
      <c r="E457" s="80" t="s">
        <v>81</v>
      </c>
      <c r="F457" s="78" t="str">
        <f>VLOOKUP('표1'!$E457,구분!$C$3:$D$72,2,0)</f>
        <v>동일</v>
      </c>
      <c r="G457" s="81">
        <v>51433750</v>
      </c>
      <c r="H457" s="81">
        <v>32913930</v>
      </c>
      <c r="I457" s="81">
        <v>29921755</v>
      </c>
      <c r="J457" s="81">
        <v>15776706</v>
      </c>
      <c r="K457" s="81">
        <v>14145049</v>
      </c>
      <c r="L457" s="81">
        <v>7178390</v>
      </c>
      <c r="M457" s="81">
        <v>6966659</v>
      </c>
      <c r="N457" s="82">
        <v>0.135449174909471</v>
      </c>
    </row>
    <row r="458" spans="1:14" ht="14.25" hidden="1" customHeight="1">
      <c r="A458" s="78">
        <v>2025</v>
      </c>
      <c r="B458" s="78">
        <v>8</v>
      </c>
      <c r="C458" s="79" t="s">
        <v>186</v>
      </c>
      <c r="D458" s="78" t="s">
        <v>82</v>
      </c>
      <c r="E458" s="80" t="s">
        <v>83</v>
      </c>
      <c r="F458" s="78" t="str">
        <f>VLOOKUP('표1'!$E458,구분!$C$3:$D$72,2,0)</f>
        <v>동일</v>
      </c>
      <c r="G458" s="81">
        <v>27331900</v>
      </c>
      <c r="H458" s="81">
        <v>17927011</v>
      </c>
      <c r="I458" s="81">
        <v>16297283</v>
      </c>
      <c r="J458" s="81">
        <v>8362596</v>
      </c>
      <c r="K458" s="81">
        <v>7934687</v>
      </c>
      <c r="L458" s="81">
        <v>6473120</v>
      </c>
      <c r="M458" s="81">
        <v>1461567</v>
      </c>
      <c r="N458" s="82">
        <v>5.3474767579275502E-2</v>
      </c>
    </row>
    <row r="459" spans="1:14" ht="14.25" hidden="1" customHeight="1">
      <c r="A459" s="78">
        <v>2025</v>
      </c>
      <c r="B459" s="78">
        <v>8</v>
      </c>
      <c r="C459" s="79" t="s">
        <v>186</v>
      </c>
      <c r="D459" s="78" t="s">
        <v>84</v>
      </c>
      <c r="E459" s="80" t="s">
        <v>85</v>
      </c>
      <c r="F459" s="78" t="str">
        <f>VLOOKUP('표1'!$E459,구분!$C$3:$D$72,2,0)</f>
        <v>동일</v>
      </c>
      <c r="G459" s="81">
        <v>20105200</v>
      </c>
      <c r="H459" s="81">
        <v>12862870</v>
      </c>
      <c r="I459" s="81">
        <v>11693518</v>
      </c>
      <c r="J459" s="81">
        <v>5613257</v>
      </c>
      <c r="K459" s="81">
        <v>6080261</v>
      </c>
      <c r="L459" s="81">
        <v>2969390</v>
      </c>
      <c r="M459" s="81">
        <v>3110871</v>
      </c>
      <c r="N459" s="82">
        <v>0.154729671925671</v>
      </c>
    </row>
    <row r="460" spans="1:14" ht="14.25" hidden="1" customHeight="1">
      <c r="A460" s="78">
        <v>2025</v>
      </c>
      <c r="B460" s="78">
        <v>8</v>
      </c>
      <c r="C460" s="79" t="s">
        <v>186</v>
      </c>
      <c r="D460" s="78" t="s">
        <v>86</v>
      </c>
      <c r="E460" s="80" t="s">
        <v>87</v>
      </c>
      <c r="F460" s="78" t="str">
        <f>VLOOKUP('표1'!$E460,구분!$C$3:$D$72,2,0)</f>
        <v>동일</v>
      </c>
      <c r="G460" s="81">
        <v>19456540</v>
      </c>
      <c r="H460" s="81">
        <v>12452185</v>
      </c>
      <c r="I460" s="81">
        <v>11320168</v>
      </c>
      <c r="J460" s="81">
        <v>5568674</v>
      </c>
      <c r="K460" s="81">
        <v>5751494</v>
      </c>
      <c r="L460" s="81">
        <v>5078390</v>
      </c>
      <c r="M460" s="81">
        <v>673104</v>
      </c>
      <c r="N460" s="82">
        <v>3.4595256916183502E-2</v>
      </c>
    </row>
    <row r="461" spans="1:14" ht="14.25" hidden="1" customHeight="1">
      <c r="A461" s="78">
        <v>2025</v>
      </c>
      <c r="B461" s="78">
        <v>8</v>
      </c>
      <c r="C461" s="79" t="s">
        <v>186</v>
      </c>
      <c r="D461" s="78" t="s">
        <v>88</v>
      </c>
      <c r="E461" s="80" t="s">
        <v>89</v>
      </c>
      <c r="F461" s="78" t="str">
        <f>VLOOKUP('표1'!$E461,구분!$C$3:$D$72,2,0)</f>
        <v>동일</v>
      </c>
      <c r="G461" s="81">
        <v>19602550</v>
      </c>
      <c r="H461" s="81">
        <v>12545405</v>
      </c>
      <c r="I461" s="81">
        <v>11404914</v>
      </c>
      <c r="J461" s="81">
        <v>5914049</v>
      </c>
      <c r="K461" s="81">
        <v>5490865</v>
      </c>
      <c r="L461" s="81">
        <v>5752180</v>
      </c>
      <c r="M461" s="81">
        <v>-261315</v>
      </c>
      <c r="N461" s="82">
        <v>-1.33306636126422E-2</v>
      </c>
    </row>
    <row r="462" spans="1:14" ht="14.25" hidden="1" customHeight="1">
      <c r="A462" s="78">
        <v>2025</v>
      </c>
      <c r="B462" s="78">
        <v>8</v>
      </c>
      <c r="C462" s="79" t="s">
        <v>186</v>
      </c>
      <c r="D462" s="78" t="s">
        <v>90</v>
      </c>
      <c r="E462" s="80" t="s">
        <v>91</v>
      </c>
      <c r="F462" s="78" t="str">
        <f>VLOOKUP('표1'!$E462,구분!$C$3:$D$72,2,0)</f>
        <v>동일</v>
      </c>
      <c r="G462" s="81">
        <v>14575060</v>
      </c>
      <c r="H462" s="81">
        <v>9328039</v>
      </c>
      <c r="I462" s="81">
        <v>8480035</v>
      </c>
      <c r="J462" s="81">
        <v>5965615</v>
      </c>
      <c r="K462" s="81">
        <v>2514420</v>
      </c>
      <c r="L462" s="81">
        <v>5654920</v>
      </c>
      <c r="M462" s="81">
        <v>-3140500</v>
      </c>
      <c r="N462" s="82">
        <v>-0.21547081109786201</v>
      </c>
    </row>
    <row r="463" spans="1:14" ht="14.25" hidden="1" customHeight="1">
      <c r="A463" s="78">
        <v>2025</v>
      </c>
      <c r="B463" s="78">
        <v>8</v>
      </c>
      <c r="C463" s="79" t="s">
        <v>186</v>
      </c>
      <c r="D463" s="78" t="s">
        <v>92</v>
      </c>
      <c r="E463" s="80" t="s">
        <v>93</v>
      </c>
      <c r="F463" s="78" t="str">
        <f>VLOOKUP('표1'!$E463,구분!$C$3:$D$72,2,0)</f>
        <v>동일</v>
      </c>
      <c r="G463" s="81">
        <v>22381440</v>
      </c>
      <c r="H463" s="81">
        <v>14324121</v>
      </c>
      <c r="I463" s="81">
        <v>13021928</v>
      </c>
      <c r="J463" s="81">
        <v>6425999</v>
      </c>
      <c r="K463" s="81">
        <v>6595929</v>
      </c>
      <c r="L463" s="81">
        <v>5329670</v>
      </c>
      <c r="M463" s="81">
        <v>1266259</v>
      </c>
      <c r="N463" s="82">
        <v>5.6576297146206898E-2</v>
      </c>
    </row>
    <row r="464" spans="1:14" ht="14.25" hidden="1" customHeight="1">
      <c r="A464" s="78">
        <v>2025</v>
      </c>
      <c r="B464" s="78">
        <v>8</v>
      </c>
      <c r="C464" s="79" t="s">
        <v>186</v>
      </c>
      <c r="D464" s="78" t="s">
        <v>94</v>
      </c>
      <c r="E464" s="80" t="s">
        <v>95</v>
      </c>
      <c r="F464" s="78" t="str">
        <f>VLOOKUP('표1'!$E464,구분!$C$3:$D$72,2,0)</f>
        <v>폐점</v>
      </c>
      <c r="G464" s="81">
        <v>21385250</v>
      </c>
      <c r="H464" s="81">
        <v>13686561</v>
      </c>
      <c r="I464" s="81">
        <v>12442328</v>
      </c>
      <c r="J464" s="81">
        <v>6254810</v>
      </c>
      <c r="K464" s="81">
        <v>6187518</v>
      </c>
      <c r="L464" s="81">
        <v>5867360</v>
      </c>
      <c r="M464" s="81">
        <v>320158</v>
      </c>
      <c r="N464" s="82">
        <v>1.49709729837154E-2</v>
      </c>
    </row>
    <row r="465" spans="1:14" ht="14.25" hidden="1" customHeight="1">
      <c r="A465" s="78">
        <v>2025</v>
      </c>
      <c r="B465" s="78">
        <v>8</v>
      </c>
      <c r="C465" s="79" t="s">
        <v>186</v>
      </c>
      <c r="D465" s="78" t="s">
        <v>96</v>
      </c>
      <c r="E465" s="80" t="s">
        <v>97</v>
      </c>
      <c r="F465" s="78" t="str">
        <f>VLOOKUP('표1'!$E465,구분!$C$3:$D$72,2,0)</f>
        <v>동일</v>
      </c>
      <c r="G465" s="81">
        <v>55508800</v>
      </c>
      <c r="H465" s="81">
        <v>35514600</v>
      </c>
      <c r="I465" s="81">
        <v>32286000</v>
      </c>
      <c r="J465" s="81">
        <v>16770342</v>
      </c>
      <c r="K465" s="81">
        <v>15515658</v>
      </c>
      <c r="L465" s="81">
        <v>9845880</v>
      </c>
      <c r="M465" s="81">
        <v>5669778</v>
      </c>
      <c r="N465" s="82">
        <v>0.102141966679157</v>
      </c>
    </row>
    <row r="466" spans="1:14" ht="14.25" hidden="1" customHeight="1">
      <c r="A466" s="78">
        <v>2025</v>
      </c>
      <c r="B466" s="78">
        <v>8</v>
      </c>
      <c r="C466" s="79" t="s">
        <v>186</v>
      </c>
      <c r="D466" s="78" t="s">
        <v>98</v>
      </c>
      <c r="E466" s="80" t="s">
        <v>99</v>
      </c>
      <c r="F466" s="78" t="str">
        <f>VLOOKUP('표1'!$E466,구분!$C$3:$D$72,2,0)</f>
        <v>동일</v>
      </c>
      <c r="G466" s="81">
        <v>49149580</v>
      </c>
      <c r="H466" s="81">
        <v>31454629</v>
      </c>
      <c r="I466" s="81">
        <v>28595117</v>
      </c>
      <c r="J466" s="81">
        <v>14506816</v>
      </c>
      <c r="K466" s="81">
        <v>14088301</v>
      </c>
      <c r="L466" s="81">
        <v>7534850</v>
      </c>
      <c r="M466" s="81">
        <v>6553451</v>
      </c>
      <c r="N466" s="82">
        <v>0.13333686676468001</v>
      </c>
    </row>
    <row r="467" spans="1:14" ht="14.25" hidden="1" customHeight="1">
      <c r="A467" s="78">
        <v>2025</v>
      </c>
      <c r="B467" s="78">
        <v>8</v>
      </c>
      <c r="C467" s="79" t="s">
        <v>186</v>
      </c>
      <c r="D467" s="78" t="s">
        <v>100</v>
      </c>
      <c r="E467" s="80" t="s">
        <v>101</v>
      </c>
      <c r="F467" s="78" t="str">
        <f>VLOOKUP('표1'!$E467,구분!$C$3:$D$72,2,0)</f>
        <v>동일</v>
      </c>
      <c r="G467" s="81">
        <v>70006900</v>
      </c>
      <c r="H467" s="81">
        <v>45725602</v>
      </c>
      <c r="I467" s="81">
        <v>41568729</v>
      </c>
      <c r="J467" s="81">
        <v>20217880</v>
      </c>
      <c r="K467" s="81">
        <v>21350849</v>
      </c>
      <c r="L467" s="81">
        <v>10141810</v>
      </c>
      <c r="M467" s="81">
        <v>11209039</v>
      </c>
      <c r="N467" s="82">
        <v>0.16011334597018301</v>
      </c>
    </row>
    <row r="468" spans="1:14" ht="14.25" hidden="1" customHeight="1">
      <c r="A468" s="78">
        <v>2025</v>
      </c>
      <c r="B468" s="78">
        <v>8</v>
      </c>
      <c r="C468" s="79" t="s">
        <v>186</v>
      </c>
      <c r="D468" s="78" t="s">
        <v>102</v>
      </c>
      <c r="E468" s="80" t="s">
        <v>103</v>
      </c>
      <c r="F468" s="78" t="str">
        <f>VLOOKUP('표1'!$E468,구분!$C$3:$D$72,2,0)</f>
        <v>동일</v>
      </c>
      <c r="G468" s="81">
        <v>35755870</v>
      </c>
      <c r="H468" s="81">
        <v>22650698</v>
      </c>
      <c r="I468" s="81">
        <v>20591544</v>
      </c>
      <c r="J468" s="81">
        <v>9690320</v>
      </c>
      <c r="K468" s="81">
        <v>10901224</v>
      </c>
      <c r="L468" s="81">
        <v>6911500</v>
      </c>
      <c r="M468" s="81">
        <v>3989724</v>
      </c>
      <c r="N468" s="82">
        <v>0.11158234997498299</v>
      </c>
    </row>
    <row r="469" spans="1:14" ht="14.25" hidden="1" customHeight="1">
      <c r="A469" s="78">
        <v>2025</v>
      </c>
      <c r="B469" s="78">
        <v>8</v>
      </c>
      <c r="C469" s="79" t="s">
        <v>186</v>
      </c>
      <c r="D469" s="78" t="s">
        <v>104</v>
      </c>
      <c r="E469" s="80" t="s">
        <v>105</v>
      </c>
      <c r="F469" s="78" t="str">
        <f>VLOOKUP('표1'!$E469,구분!$C$3:$D$72,2,0)</f>
        <v>동일</v>
      </c>
      <c r="G469" s="81">
        <v>21346280</v>
      </c>
      <c r="H469" s="81">
        <v>13168429</v>
      </c>
      <c r="I469" s="81">
        <v>11971299</v>
      </c>
      <c r="J469" s="81">
        <v>6453988</v>
      </c>
      <c r="K469" s="81">
        <v>5517311</v>
      </c>
      <c r="L469" s="81">
        <v>3628280</v>
      </c>
      <c r="M469" s="81">
        <v>1889031</v>
      </c>
      <c r="N469" s="82">
        <v>8.8494622950696794E-2</v>
      </c>
    </row>
    <row r="470" spans="1:14" ht="14.25" hidden="1" customHeight="1">
      <c r="A470" s="78">
        <v>2025</v>
      </c>
      <c r="B470" s="78">
        <v>8</v>
      </c>
      <c r="C470" s="79" t="s">
        <v>186</v>
      </c>
      <c r="D470" s="78" t="s">
        <v>106</v>
      </c>
      <c r="E470" s="80" t="s">
        <v>107</v>
      </c>
      <c r="F470" s="78" t="str">
        <f>VLOOKUP('표1'!$E470,구분!$C$3:$D$72,2,0)</f>
        <v>폐점</v>
      </c>
      <c r="G470" s="81">
        <v>34992390</v>
      </c>
      <c r="H470" s="81">
        <v>21707375</v>
      </c>
      <c r="I470" s="81">
        <v>19733977</v>
      </c>
      <c r="J470" s="81">
        <v>9586386</v>
      </c>
      <c r="K470" s="81">
        <v>10147591</v>
      </c>
      <c r="L470" s="81">
        <v>6220010</v>
      </c>
      <c r="M470" s="81">
        <v>3927581</v>
      </c>
      <c r="N470" s="82">
        <v>0.112241004401243</v>
      </c>
    </row>
    <row r="471" spans="1:14" ht="14.25" hidden="1" customHeight="1">
      <c r="A471" s="78">
        <v>2025</v>
      </c>
      <c r="B471" s="78">
        <v>8</v>
      </c>
      <c r="C471" s="79" t="s">
        <v>186</v>
      </c>
      <c r="D471" s="78" t="s">
        <v>108</v>
      </c>
      <c r="E471" s="80" t="s">
        <v>109</v>
      </c>
      <c r="F471" s="78" t="str">
        <f>VLOOKUP('표1'!$E471,구분!$C$3:$D$72,2,0)</f>
        <v>동일</v>
      </c>
      <c r="G471" s="81">
        <v>26088320</v>
      </c>
      <c r="H471" s="81">
        <v>16174763</v>
      </c>
      <c r="I471" s="81">
        <v>14704330</v>
      </c>
      <c r="J471" s="81">
        <v>6878410</v>
      </c>
      <c r="K471" s="81">
        <v>7825920</v>
      </c>
      <c r="L471" s="81">
        <v>6608880</v>
      </c>
      <c r="M471" s="81">
        <v>1217040</v>
      </c>
      <c r="N471" s="82">
        <v>4.6650761720187402E-2</v>
      </c>
    </row>
    <row r="472" spans="1:14" ht="14.25" hidden="1" customHeight="1">
      <c r="A472" s="78">
        <v>2025</v>
      </c>
      <c r="B472" s="78">
        <v>8</v>
      </c>
      <c r="C472" s="79" t="s">
        <v>186</v>
      </c>
      <c r="D472" s="78" t="s">
        <v>187</v>
      </c>
      <c r="E472" s="80" t="s">
        <v>188</v>
      </c>
      <c r="F472" s="78" t="str">
        <f>VLOOKUP('표1'!$E472,구분!$C$3:$D$72,2,0)</f>
        <v>동일</v>
      </c>
      <c r="G472" s="81">
        <v>17481620</v>
      </c>
      <c r="H472" s="81">
        <v>10902315</v>
      </c>
      <c r="I472" s="81">
        <v>9911195</v>
      </c>
      <c r="J472" s="81">
        <v>4815063</v>
      </c>
      <c r="K472" s="81">
        <v>5096132</v>
      </c>
      <c r="L472" s="81">
        <v>3851940</v>
      </c>
      <c r="M472" s="81">
        <v>1244192</v>
      </c>
      <c r="N472" s="82">
        <v>7.1171436056841397E-2</v>
      </c>
    </row>
    <row r="473" spans="1:14" ht="14.25" hidden="1" customHeight="1">
      <c r="A473" s="78">
        <v>2025</v>
      </c>
      <c r="B473" s="78">
        <v>8</v>
      </c>
      <c r="C473" s="79" t="s">
        <v>186</v>
      </c>
      <c r="D473" s="78" t="s">
        <v>110</v>
      </c>
      <c r="E473" s="80" t="s">
        <v>111</v>
      </c>
      <c r="F473" s="78" t="str">
        <f>VLOOKUP('표1'!$E473,구분!$C$3:$D$72,2,0)</f>
        <v>동일</v>
      </c>
      <c r="G473" s="81">
        <v>90919390</v>
      </c>
      <c r="H473" s="81">
        <v>58913323</v>
      </c>
      <c r="I473" s="81">
        <v>53557566</v>
      </c>
      <c r="J473" s="81">
        <v>27518381</v>
      </c>
      <c r="K473" s="81">
        <v>26039185</v>
      </c>
      <c r="L473" s="81">
        <v>12713740</v>
      </c>
      <c r="M473" s="81">
        <v>13325445</v>
      </c>
      <c r="N473" s="82">
        <v>0.14656329084478001</v>
      </c>
    </row>
    <row r="474" spans="1:14" ht="14.25" hidden="1" customHeight="1">
      <c r="A474" s="78">
        <v>2025</v>
      </c>
      <c r="B474" s="78">
        <v>8</v>
      </c>
      <c r="C474" s="79" t="s">
        <v>186</v>
      </c>
      <c r="D474" s="78" t="s">
        <v>112</v>
      </c>
      <c r="E474" s="80" t="s">
        <v>113</v>
      </c>
      <c r="F474" s="78" t="str">
        <f>VLOOKUP('표1'!$E474,구분!$C$3:$D$72,2,0)</f>
        <v>동일</v>
      </c>
      <c r="G474" s="81">
        <v>23358630</v>
      </c>
      <c r="H474" s="81">
        <v>15524951</v>
      </c>
      <c r="I474" s="81">
        <v>14113592</v>
      </c>
      <c r="J474" s="81">
        <v>6827737</v>
      </c>
      <c r="K474" s="81">
        <v>7285855</v>
      </c>
      <c r="L474" s="81">
        <v>5842740</v>
      </c>
      <c r="M474" s="81">
        <v>1443115</v>
      </c>
      <c r="N474" s="82">
        <v>6.1780806494216502E-2</v>
      </c>
    </row>
    <row r="475" spans="1:14" ht="14.25" hidden="1" customHeight="1">
      <c r="A475" s="78">
        <v>2025</v>
      </c>
      <c r="B475" s="78">
        <v>8</v>
      </c>
      <c r="C475" s="79" t="s">
        <v>186</v>
      </c>
      <c r="D475" s="78" t="s">
        <v>116</v>
      </c>
      <c r="E475" s="80" t="s">
        <v>117</v>
      </c>
      <c r="F475" s="78" t="str">
        <f>VLOOKUP('표1'!$E475,구분!$C$3:$D$72,2,0)</f>
        <v>동일</v>
      </c>
      <c r="G475" s="81">
        <v>16486340</v>
      </c>
      <c r="H475" s="81">
        <v>11319796</v>
      </c>
      <c r="I475" s="81">
        <v>10290724</v>
      </c>
      <c r="J475" s="81">
        <v>5069555</v>
      </c>
      <c r="K475" s="81">
        <v>5221169</v>
      </c>
      <c r="L475" s="81">
        <v>6514820</v>
      </c>
      <c r="M475" s="81">
        <v>-1293651</v>
      </c>
      <c r="N475" s="82">
        <v>-7.8468052945650804E-2</v>
      </c>
    </row>
    <row r="476" spans="1:14" ht="14.25" hidden="1" customHeight="1">
      <c r="A476" s="78">
        <v>2025</v>
      </c>
      <c r="B476" s="78">
        <v>8</v>
      </c>
      <c r="C476" s="79" t="s">
        <v>186</v>
      </c>
      <c r="D476" s="78" t="s">
        <v>118</v>
      </c>
      <c r="E476" s="80" t="s">
        <v>119</v>
      </c>
      <c r="F476" s="78" t="str">
        <f>VLOOKUP('표1'!$E476,구분!$C$3:$D$72,2,0)</f>
        <v>동일</v>
      </c>
      <c r="G476" s="81">
        <v>59760080</v>
      </c>
      <c r="H476" s="81">
        <v>38389459</v>
      </c>
      <c r="I476" s="81">
        <v>34899508</v>
      </c>
      <c r="J476" s="81">
        <v>16756255</v>
      </c>
      <c r="K476" s="81">
        <v>18143253</v>
      </c>
      <c r="L476" s="81">
        <v>8549140</v>
      </c>
      <c r="M476" s="81">
        <v>9594113</v>
      </c>
      <c r="N476" s="82">
        <v>0.160543844653488</v>
      </c>
    </row>
    <row r="477" spans="1:14" ht="14.25" hidden="1" customHeight="1">
      <c r="A477" s="78">
        <v>2025</v>
      </c>
      <c r="B477" s="78">
        <v>8</v>
      </c>
      <c r="C477" s="79" t="s">
        <v>186</v>
      </c>
      <c r="D477" s="78" t="s">
        <v>180</v>
      </c>
      <c r="E477" s="80" t="s">
        <v>181</v>
      </c>
      <c r="F477" s="78" t="str">
        <f>VLOOKUP('표1'!$E477,구분!$C$3:$D$72,2,0)</f>
        <v>동일</v>
      </c>
      <c r="G477" s="81">
        <v>24186310</v>
      </c>
      <c r="H477" s="81">
        <v>15000711</v>
      </c>
      <c r="I477" s="81">
        <v>13637010</v>
      </c>
      <c r="J477" s="81">
        <v>6773277</v>
      </c>
      <c r="K477" s="81">
        <v>6863733</v>
      </c>
      <c r="L477" s="81">
        <v>5873870</v>
      </c>
      <c r="M477" s="81">
        <v>989863</v>
      </c>
      <c r="N477" s="82">
        <v>4.0926582020986299E-2</v>
      </c>
    </row>
    <row r="478" spans="1:14" ht="14.25" hidden="1" customHeight="1">
      <c r="A478" s="78">
        <v>2025</v>
      </c>
      <c r="B478" s="78">
        <v>8</v>
      </c>
      <c r="C478" s="79" t="s">
        <v>186</v>
      </c>
      <c r="D478" s="78" t="s">
        <v>120</v>
      </c>
      <c r="E478" s="80" t="s">
        <v>121</v>
      </c>
      <c r="F478" s="78" t="str">
        <f>VLOOKUP('표1'!$E478,구분!$C$3:$D$72,2,0)</f>
        <v>동일</v>
      </c>
      <c r="G478" s="81">
        <v>68796630</v>
      </c>
      <c r="H478" s="81">
        <v>44055125</v>
      </c>
      <c r="I478" s="81">
        <v>40050114</v>
      </c>
      <c r="J478" s="81">
        <v>20411756</v>
      </c>
      <c r="K478" s="81">
        <v>19638358</v>
      </c>
      <c r="L478" s="81">
        <v>8182250</v>
      </c>
      <c r="M478" s="81">
        <v>11456108</v>
      </c>
      <c r="N478" s="82">
        <v>0.16652135431633799</v>
      </c>
    </row>
    <row r="479" spans="1:14" ht="14.25" hidden="1" customHeight="1">
      <c r="A479" s="78">
        <v>2025</v>
      </c>
      <c r="B479" s="78">
        <v>8</v>
      </c>
      <c r="C479" s="79" t="s">
        <v>186</v>
      </c>
      <c r="D479" s="78" t="s">
        <v>122</v>
      </c>
      <c r="E479" s="80" t="s">
        <v>123</v>
      </c>
      <c r="F479" s="78" t="str">
        <f>VLOOKUP('표1'!$E479,구분!$C$3:$D$72,2,0)</f>
        <v>동일</v>
      </c>
      <c r="G479" s="81">
        <v>35111450</v>
      </c>
      <c r="H479" s="81">
        <v>22267903</v>
      </c>
      <c r="I479" s="81">
        <v>20243548</v>
      </c>
      <c r="J479" s="81">
        <v>10282891</v>
      </c>
      <c r="K479" s="81">
        <v>9960657</v>
      </c>
      <c r="L479" s="81">
        <v>6123680</v>
      </c>
      <c r="M479" s="81">
        <v>3836977</v>
      </c>
      <c r="N479" s="82">
        <v>0.10927993574745599</v>
      </c>
    </row>
    <row r="480" spans="1:14" ht="14.25" hidden="1" customHeight="1">
      <c r="A480" s="78">
        <v>2025</v>
      </c>
      <c r="B480" s="78">
        <v>8</v>
      </c>
      <c r="C480" s="79" t="s">
        <v>186</v>
      </c>
      <c r="D480" s="78" t="s">
        <v>124</v>
      </c>
      <c r="E480" s="80" t="s">
        <v>125</v>
      </c>
      <c r="F480" s="78" t="str">
        <f>VLOOKUP('표1'!$E480,구분!$C$3:$D$72,2,0)</f>
        <v>동일</v>
      </c>
      <c r="G480" s="81">
        <v>57338270</v>
      </c>
      <c r="H480" s="81">
        <v>36123111</v>
      </c>
      <c r="I480" s="81">
        <v>32839192</v>
      </c>
      <c r="J480" s="81">
        <v>15213512</v>
      </c>
      <c r="K480" s="81">
        <v>17625680</v>
      </c>
      <c r="L480" s="81">
        <v>8484450</v>
      </c>
      <c r="M480" s="81">
        <v>9141230</v>
      </c>
      <c r="N480" s="82">
        <v>0.15942633079093599</v>
      </c>
    </row>
    <row r="481" spans="1:14" ht="14.25" hidden="1" customHeight="1">
      <c r="A481" s="78">
        <v>2025</v>
      </c>
      <c r="B481" s="78">
        <v>8</v>
      </c>
      <c r="C481" s="79" t="s">
        <v>186</v>
      </c>
      <c r="D481" s="78" t="s">
        <v>126</v>
      </c>
      <c r="E481" s="80" t="s">
        <v>127</v>
      </c>
      <c r="F481" s="78" t="str">
        <f>VLOOKUP('표1'!$E481,구분!$C$3:$D$72,2,0)</f>
        <v>동일</v>
      </c>
      <c r="G481" s="81">
        <v>44007520</v>
      </c>
      <c r="H481" s="81">
        <v>27880221</v>
      </c>
      <c r="I481" s="81">
        <v>25345655</v>
      </c>
      <c r="J481" s="81">
        <v>12457556</v>
      </c>
      <c r="K481" s="81">
        <v>12888099</v>
      </c>
      <c r="L481" s="81">
        <v>6601940</v>
      </c>
      <c r="M481" s="81">
        <v>6286159</v>
      </c>
      <c r="N481" s="82">
        <v>0.142842836860609</v>
      </c>
    </row>
    <row r="482" spans="1:14" ht="14.25" customHeight="1">
      <c r="A482" s="78">
        <v>2025</v>
      </c>
      <c r="B482" s="78">
        <v>8</v>
      </c>
      <c r="C482" s="79" t="s">
        <v>186</v>
      </c>
      <c r="D482" s="78" t="s">
        <v>128</v>
      </c>
      <c r="E482" s="80" t="s">
        <v>129</v>
      </c>
      <c r="F482" s="78" t="str">
        <f>VLOOKUP('표1'!$E482,구분!$C$3:$D$72,2,0)</f>
        <v>동일</v>
      </c>
      <c r="G482" s="81">
        <v>80984910</v>
      </c>
      <c r="H482" s="81">
        <v>51012121</v>
      </c>
      <c r="I482" s="81">
        <v>46374655</v>
      </c>
      <c r="J482" s="81">
        <v>25299655</v>
      </c>
      <c r="K482" s="81">
        <v>21075000</v>
      </c>
      <c r="L482" s="81">
        <v>11743630</v>
      </c>
      <c r="M482" s="81">
        <v>9331370</v>
      </c>
      <c r="N482" s="82">
        <v>0.11522356448874201</v>
      </c>
    </row>
    <row r="483" spans="1:14" ht="14.25" hidden="1" customHeight="1">
      <c r="A483" s="78">
        <v>2025</v>
      </c>
      <c r="B483" s="78">
        <v>8</v>
      </c>
      <c r="C483" s="79" t="s">
        <v>186</v>
      </c>
      <c r="D483" s="78" t="s">
        <v>130</v>
      </c>
      <c r="E483" s="80" t="s">
        <v>131</v>
      </c>
      <c r="F483" s="78" t="str">
        <f>VLOOKUP('표1'!$E483,구분!$C$3:$D$72,2,0)</f>
        <v>동일</v>
      </c>
      <c r="G483" s="81">
        <v>38628800</v>
      </c>
      <c r="H483" s="81">
        <v>24336173</v>
      </c>
      <c r="I483" s="81">
        <v>22123794</v>
      </c>
      <c r="J483" s="81">
        <v>11366503</v>
      </c>
      <c r="K483" s="81">
        <v>10757291</v>
      </c>
      <c r="L483" s="81">
        <v>4962340</v>
      </c>
      <c r="M483" s="81">
        <v>5794951</v>
      </c>
      <c r="N483" s="82">
        <v>0.15001633496251501</v>
      </c>
    </row>
    <row r="484" spans="1:14" ht="14.25" hidden="1" customHeight="1">
      <c r="A484" s="78">
        <v>2025</v>
      </c>
      <c r="B484" s="78">
        <v>8</v>
      </c>
      <c r="C484" s="79" t="s">
        <v>186</v>
      </c>
      <c r="D484" s="78" t="s">
        <v>132</v>
      </c>
      <c r="E484" s="80" t="s">
        <v>133</v>
      </c>
      <c r="F484" s="78" t="str">
        <f>VLOOKUP('표1'!$E484,구분!$C$3:$D$72,2,0)</f>
        <v>동일</v>
      </c>
      <c r="G484" s="81">
        <v>17588000</v>
      </c>
      <c r="H484" s="81">
        <v>11078543</v>
      </c>
      <c r="I484" s="81">
        <v>10071403</v>
      </c>
      <c r="J484" s="81">
        <v>4761072</v>
      </c>
      <c r="K484" s="81">
        <v>5310331</v>
      </c>
      <c r="L484" s="81">
        <v>4837110</v>
      </c>
      <c r="M484" s="81">
        <v>473221</v>
      </c>
      <c r="N484" s="82">
        <v>2.6905901751193999E-2</v>
      </c>
    </row>
    <row r="485" spans="1:14" ht="14.25" hidden="1" customHeight="1">
      <c r="A485" s="78">
        <v>2025</v>
      </c>
      <c r="B485" s="78">
        <v>8</v>
      </c>
      <c r="C485" s="79" t="s">
        <v>186</v>
      </c>
      <c r="D485" s="78" t="s">
        <v>134</v>
      </c>
      <c r="E485" s="80" t="s">
        <v>135</v>
      </c>
      <c r="F485" s="78" t="str">
        <f>VLOOKUP('표1'!$E485,구분!$C$3:$D$72,2,0)</f>
        <v>동일</v>
      </c>
      <c r="G485" s="81">
        <v>37182160</v>
      </c>
      <c r="H485" s="81">
        <v>23559050</v>
      </c>
      <c r="I485" s="81">
        <v>21417318</v>
      </c>
      <c r="J485" s="81">
        <v>10951660</v>
      </c>
      <c r="K485" s="81">
        <v>10465658</v>
      </c>
      <c r="L485" s="81">
        <v>7871000</v>
      </c>
      <c r="M485" s="81">
        <v>2594658</v>
      </c>
      <c r="N485" s="82">
        <v>6.9782336475341905E-2</v>
      </c>
    </row>
    <row r="486" spans="1:14" ht="14.25" hidden="1" customHeight="1">
      <c r="A486" s="78">
        <v>2025</v>
      </c>
      <c r="B486" s="78">
        <v>8</v>
      </c>
      <c r="C486" s="79" t="s">
        <v>186</v>
      </c>
      <c r="D486" s="78" t="s">
        <v>136</v>
      </c>
      <c r="E486" s="80" t="s">
        <v>137</v>
      </c>
      <c r="F486" s="78" t="str">
        <f>VLOOKUP('표1'!$E486,구분!$C$3:$D$72,2,0)</f>
        <v>동일</v>
      </c>
      <c r="G486" s="81">
        <v>32477100</v>
      </c>
      <c r="H486" s="81">
        <v>20813825</v>
      </c>
      <c r="I486" s="81">
        <v>18921659</v>
      </c>
      <c r="J486" s="81">
        <v>10000640</v>
      </c>
      <c r="K486" s="81">
        <v>8921019</v>
      </c>
      <c r="L486" s="81">
        <v>6203560</v>
      </c>
      <c r="M486" s="81">
        <v>2717459</v>
      </c>
      <c r="N486" s="82">
        <v>8.3673080416662798E-2</v>
      </c>
    </row>
    <row r="487" spans="1:14" ht="14.25" hidden="1" customHeight="1">
      <c r="A487" s="78">
        <v>2025</v>
      </c>
      <c r="B487" s="78">
        <v>8</v>
      </c>
      <c r="C487" s="79" t="s">
        <v>186</v>
      </c>
      <c r="D487" s="78" t="s">
        <v>138</v>
      </c>
      <c r="E487" s="80" t="s">
        <v>139</v>
      </c>
      <c r="F487" s="78" t="str">
        <f>VLOOKUP('표1'!$E487,구분!$C$3:$D$72,2,0)</f>
        <v>동일</v>
      </c>
      <c r="G487" s="81">
        <v>22019930</v>
      </c>
      <c r="H487" s="81">
        <v>13872564</v>
      </c>
      <c r="I487" s="81">
        <v>12611422</v>
      </c>
      <c r="J487" s="81">
        <v>6035403</v>
      </c>
      <c r="K487" s="81">
        <v>6576019</v>
      </c>
      <c r="L487" s="81">
        <v>5170230</v>
      </c>
      <c r="M487" s="81">
        <v>1405789</v>
      </c>
      <c r="N487" s="82">
        <v>6.3841665255066696E-2</v>
      </c>
    </row>
    <row r="488" spans="1:14" ht="14.25" hidden="1" customHeight="1">
      <c r="A488" s="78">
        <v>2025</v>
      </c>
      <c r="B488" s="78">
        <v>8</v>
      </c>
      <c r="C488" s="79" t="s">
        <v>186</v>
      </c>
      <c r="D488" s="78" t="s">
        <v>140</v>
      </c>
      <c r="E488" s="80" t="s">
        <v>141</v>
      </c>
      <c r="F488" s="78" t="str">
        <f>VLOOKUP('표1'!$E488,구분!$C$3:$D$72,2,0)</f>
        <v>동일</v>
      </c>
      <c r="G488" s="81">
        <v>80300400</v>
      </c>
      <c r="H488" s="81">
        <v>51069525</v>
      </c>
      <c r="I488" s="81">
        <v>46426841</v>
      </c>
      <c r="J488" s="81">
        <v>23748358</v>
      </c>
      <c r="K488" s="81">
        <v>22678483</v>
      </c>
      <c r="L488" s="81">
        <v>11201180</v>
      </c>
      <c r="M488" s="81">
        <v>11477303</v>
      </c>
      <c r="N488" s="82">
        <v>0.14292958690118601</v>
      </c>
    </row>
    <row r="489" spans="1:14" ht="14.25" hidden="1" customHeight="1">
      <c r="A489" s="78">
        <v>2025</v>
      </c>
      <c r="B489" s="78">
        <v>8</v>
      </c>
      <c r="C489" s="79" t="s">
        <v>186</v>
      </c>
      <c r="D489" s="78" t="s">
        <v>142</v>
      </c>
      <c r="E489" s="80" t="s">
        <v>143</v>
      </c>
      <c r="F489" s="78" t="str">
        <f>VLOOKUP('표1'!$E489,구분!$C$3:$D$72,2,0)</f>
        <v>동일</v>
      </c>
      <c r="G489" s="81">
        <v>31242820</v>
      </c>
      <c r="H489" s="81">
        <v>19829794</v>
      </c>
      <c r="I489" s="81">
        <v>18027085</v>
      </c>
      <c r="J489" s="81">
        <v>8907482</v>
      </c>
      <c r="K489" s="81">
        <v>9119603</v>
      </c>
      <c r="L489" s="81">
        <v>5147050</v>
      </c>
      <c r="M489" s="81">
        <v>3972553</v>
      </c>
      <c r="N489" s="82">
        <v>0.12715091019312599</v>
      </c>
    </row>
    <row r="490" spans="1:14" ht="14.25" hidden="1" customHeight="1">
      <c r="A490" s="78">
        <v>2025</v>
      </c>
      <c r="B490" s="78">
        <v>8</v>
      </c>
      <c r="C490" s="79" t="s">
        <v>186</v>
      </c>
      <c r="D490" s="78" t="s">
        <v>144</v>
      </c>
      <c r="E490" s="80" t="s">
        <v>145</v>
      </c>
      <c r="F490" s="78" t="str">
        <f>VLOOKUP('표1'!$E490,구분!$C$3:$D$72,2,0)</f>
        <v>동일</v>
      </c>
      <c r="G490" s="81">
        <v>34176110</v>
      </c>
      <c r="H490" s="81">
        <v>21823651</v>
      </c>
      <c r="I490" s="81">
        <v>19839683</v>
      </c>
      <c r="J490" s="81">
        <v>10243890</v>
      </c>
      <c r="K490" s="81">
        <v>9595793</v>
      </c>
      <c r="L490" s="81">
        <v>6495600</v>
      </c>
      <c r="M490" s="81">
        <v>3100193</v>
      </c>
      <c r="N490" s="82">
        <v>9.0712284107231603E-2</v>
      </c>
    </row>
    <row r="491" spans="1:14" ht="14.25" hidden="1" customHeight="1">
      <c r="A491" s="78">
        <v>2025</v>
      </c>
      <c r="B491" s="78">
        <v>8</v>
      </c>
      <c r="C491" s="79" t="s">
        <v>186</v>
      </c>
      <c r="D491" s="78" t="s">
        <v>146</v>
      </c>
      <c r="E491" s="80" t="s">
        <v>147</v>
      </c>
      <c r="F491" s="78" t="str">
        <f>VLOOKUP('표1'!$E491,구분!$C$3:$D$72,2,0)</f>
        <v>동일</v>
      </c>
      <c r="G491" s="81">
        <v>66440030</v>
      </c>
      <c r="H491" s="81">
        <v>41904946</v>
      </c>
      <c r="I491" s="81">
        <v>38095405</v>
      </c>
      <c r="J491" s="81">
        <v>19468370</v>
      </c>
      <c r="K491" s="81">
        <v>18627035</v>
      </c>
      <c r="L491" s="81">
        <v>7550880</v>
      </c>
      <c r="M491" s="81">
        <v>11076155</v>
      </c>
      <c r="N491" s="82">
        <v>0.166709060787601</v>
      </c>
    </row>
    <row r="492" spans="1:14" ht="14.25" hidden="1" customHeight="1">
      <c r="A492" s="78">
        <v>2025</v>
      </c>
      <c r="B492" s="78">
        <v>8</v>
      </c>
      <c r="C492" s="79" t="s">
        <v>186</v>
      </c>
      <c r="D492" s="78" t="s">
        <v>148</v>
      </c>
      <c r="E492" s="80" t="s">
        <v>149</v>
      </c>
      <c r="F492" s="78" t="str">
        <f>VLOOKUP('표1'!$E492,구분!$C$3:$D$72,2,0)</f>
        <v>동일</v>
      </c>
      <c r="G492" s="81">
        <v>17130250</v>
      </c>
      <c r="H492" s="81">
        <v>10974869</v>
      </c>
      <c r="I492" s="81">
        <v>9977154</v>
      </c>
      <c r="J492" s="81">
        <v>5394676</v>
      </c>
      <c r="K492" s="81">
        <v>4582478</v>
      </c>
      <c r="L492" s="81">
        <v>5269390</v>
      </c>
      <c r="M492" s="81">
        <v>-686912</v>
      </c>
      <c r="N492" s="82">
        <v>-4.0099356401687103E-2</v>
      </c>
    </row>
    <row r="493" spans="1:14" ht="14.25" hidden="1" customHeight="1">
      <c r="A493" s="78">
        <v>2025</v>
      </c>
      <c r="B493" s="78">
        <v>8</v>
      </c>
      <c r="C493" s="79" t="s">
        <v>186</v>
      </c>
      <c r="D493" s="78" t="s">
        <v>150</v>
      </c>
      <c r="E493" s="80" t="s">
        <v>151</v>
      </c>
      <c r="F493" s="78" t="str">
        <f>VLOOKUP('표1'!$E493,구분!$C$3:$D$72,2,0)</f>
        <v>동일</v>
      </c>
      <c r="G493" s="81">
        <v>26672190</v>
      </c>
      <c r="H493" s="81">
        <v>16953703</v>
      </c>
      <c r="I493" s="81">
        <v>15412457</v>
      </c>
      <c r="J493" s="81">
        <v>7921499</v>
      </c>
      <c r="K493" s="81">
        <v>7490958</v>
      </c>
      <c r="L493" s="81">
        <v>5844630</v>
      </c>
      <c r="M493" s="81">
        <v>1646328</v>
      </c>
      <c r="N493" s="82">
        <v>6.1724515309766498E-2</v>
      </c>
    </row>
    <row r="494" spans="1:14" ht="15" hidden="1" customHeight="1">
      <c r="A494" s="78">
        <v>2025</v>
      </c>
      <c r="B494" s="78">
        <v>8</v>
      </c>
      <c r="C494" s="79" t="s">
        <v>186</v>
      </c>
      <c r="D494" s="78" t="s">
        <v>152</v>
      </c>
      <c r="E494" s="78" t="s">
        <v>153</v>
      </c>
      <c r="F494" s="78" t="str">
        <f>VLOOKUP('표1'!$E494,구분!$C$3:$D$72,2,0)</f>
        <v>동일</v>
      </c>
      <c r="G494" s="81">
        <v>19824740</v>
      </c>
      <c r="H494" s="81">
        <v>12313675</v>
      </c>
      <c r="I494" s="81">
        <v>11194250</v>
      </c>
      <c r="J494" s="81">
        <v>5375141</v>
      </c>
      <c r="K494" s="81">
        <v>5819109</v>
      </c>
      <c r="L494" s="81">
        <v>6288550</v>
      </c>
      <c r="M494" s="81">
        <v>-469441</v>
      </c>
      <c r="N494" s="82">
        <v>-2.3679553931098201E-2</v>
      </c>
    </row>
    <row r="495" spans="1:14" ht="15" hidden="1" customHeight="1">
      <c r="A495" s="78">
        <v>2025</v>
      </c>
      <c r="B495" s="78">
        <v>8</v>
      </c>
      <c r="C495" s="79" t="s">
        <v>186</v>
      </c>
      <c r="D495" s="78" t="s">
        <v>189</v>
      </c>
      <c r="E495" s="78" t="s">
        <v>190</v>
      </c>
      <c r="F495" s="78" t="str">
        <f>VLOOKUP('표1'!$E495,구분!$C$3:$D$72,2,0)</f>
        <v>동일</v>
      </c>
      <c r="G495" s="81">
        <v>27241190</v>
      </c>
      <c r="H495" s="81">
        <v>17462320</v>
      </c>
      <c r="I495" s="81">
        <v>15874836</v>
      </c>
      <c r="J495" s="81">
        <v>7295781</v>
      </c>
      <c r="K495" s="81">
        <v>8579055</v>
      </c>
      <c r="L495" s="81">
        <v>5728830</v>
      </c>
      <c r="M495" s="81">
        <v>2850225</v>
      </c>
      <c r="N495" s="82">
        <v>0.10462923976522299</v>
      </c>
    </row>
    <row r="496" spans="1:14" ht="14.25" hidden="1" customHeight="1">
      <c r="A496" s="78">
        <v>2025</v>
      </c>
      <c r="B496" s="78">
        <v>8</v>
      </c>
      <c r="C496" s="79" t="s">
        <v>186</v>
      </c>
      <c r="D496" s="78" t="s">
        <v>154</v>
      </c>
      <c r="E496" s="80" t="s">
        <v>155</v>
      </c>
      <c r="F496" s="78" t="str">
        <f>VLOOKUP('표1'!$E496,구분!$C$3:$D$72,2,0)</f>
        <v>동일</v>
      </c>
      <c r="G496" s="81">
        <v>66453275</v>
      </c>
      <c r="H496" s="81">
        <v>41819681</v>
      </c>
      <c r="I496" s="81">
        <v>38017892</v>
      </c>
      <c r="J496" s="81">
        <v>19484597</v>
      </c>
      <c r="K496" s="81">
        <v>18533295</v>
      </c>
      <c r="L496" s="81">
        <v>10622790</v>
      </c>
      <c r="M496" s="81">
        <v>7910505</v>
      </c>
      <c r="N496" s="82">
        <v>0.119038602687377</v>
      </c>
    </row>
    <row r="497" spans="1:14" ht="14.25" hidden="1" customHeight="1">
      <c r="A497" s="78">
        <v>2025</v>
      </c>
      <c r="B497" s="78">
        <v>8</v>
      </c>
      <c r="C497" s="79" t="s">
        <v>186</v>
      </c>
      <c r="D497" s="78" t="s">
        <v>156</v>
      </c>
      <c r="E497" s="80" t="s">
        <v>157</v>
      </c>
      <c r="F497" s="78" t="str">
        <f>VLOOKUP('표1'!$E497,구분!$C$3:$D$72,2,0)</f>
        <v>동일</v>
      </c>
      <c r="G497" s="81">
        <v>41211620</v>
      </c>
      <c r="H497" s="81">
        <v>31526932</v>
      </c>
      <c r="I497" s="81">
        <v>28660847</v>
      </c>
      <c r="J497" s="81">
        <v>12190972</v>
      </c>
      <c r="K497" s="81">
        <v>16469875</v>
      </c>
      <c r="L497" s="81">
        <v>5564380</v>
      </c>
      <c r="M497" s="81">
        <v>10905495</v>
      </c>
      <c r="N497" s="82">
        <v>0.26462184694510898</v>
      </c>
    </row>
    <row r="498" spans="1:14" ht="14.25" hidden="1" customHeight="1">
      <c r="A498" s="78">
        <v>2025</v>
      </c>
      <c r="B498" s="78">
        <v>8</v>
      </c>
      <c r="C498" s="79" t="s">
        <v>186</v>
      </c>
      <c r="D498" s="78" t="s">
        <v>158</v>
      </c>
      <c r="E498" s="80" t="s">
        <v>159</v>
      </c>
      <c r="F498" s="78" t="str">
        <f>VLOOKUP('표1'!$E498,구분!$C$3:$D$72,2,0)</f>
        <v>동일</v>
      </c>
      <c r="G498" s="81">
        <v>37651380</v>
      </c>
      <c r="H498" s="81">
        <v>28991597</v>
      </c>
      <c r="I498" s="81">
        <v>26355997</v>
      </c>
      <c r="J498" s="81">
        <v>11220608</v>
      </c>
      <c r="K498" s="81">
        <v>15135389</v>
      </c>
      <c r="L498" s="81">
        <v>5994290</v>
      </c>
      <c r="M498" s="81">
        <v>9141099</v>
      </c>
      <c r="N498" s="82">
        <v>0.242782575300029</v>
      </c>
    </row>
    <row r="499" spans="1:14" ht="14.25" hidden="1" customHeight="1">
      <c r="A499" s="78">
        <v>2025</v>
      </c>
      <c r="B499" s="78">
        <v>8</v>
      </c>
      <c r="C499" s="79" t="s">
        <v>186</v>
      </c>
      <c r="D499" s="78" t="s">
        <v>160</v>
      </c>
      <c r="E499" s="80" t="s">
        <v>161</v>
      </c>
      <c r="F499" s="78" t="str">
        <f>VLOOKUP('표1'!$E499,구분!$C$3:$D$72,2,0)</f>
        <v>동일</v>
      </c>
      <c r="G499" s="81">
        <v>31670110</v>
      </c>
      <c r="H499" s="81">
        <v>24227666</v>
      </c>
      <c r="I499" s="81">
        <v>22025151</v>
      </c>
      <c r="J499" s="81">
        <v>9342821</v>
      </c>
      <c r="K499" s="81">
        <v>12682330</v>
      </c>
      <c r="L499" s="81">
        <v>7338050</v>
      </c>
      <c r="M499" s="81">
        <v>5344280</v>
      </c>
      <c r="N499" s="82">
        <v>0.16874838767531899</v>
      </c>
    </row>
    <row r="500" spans="1:14" ht="14.25" hidden="1" customHeight="1">
      <c r="A500" s="78">
        <v>2025</v>
      </c>
      <c r="B500" s="78">
        <v>8</v>
      </c>
      <c r="C500" s="79" t="s">
        <v>186</v>
      </c>
      <c r="D500" s="78" t="s">
        <v>162</v>
      </c>
      <c r="E500" s="80" t="s">
        <v>163</v>
      </c>
      <c r="F500" s="78" t="str">
        <f>VLOOKUP('표1'!$E500,구분!$C$3:$D$72,2,0)</f>
        <v>동일</v>
      </c>
      <c r="G500" s="81">
        <v>21579120</v>
      </c>
      <c r="H500" s="81">
        <v>16615944</v>
      </c>
      <c r="I500" s="81">
        <v>15105404</v>
      </c>
      <c r="J500" s="81">
        <v>6998585</v>
      </c>
      <c r="K500" s="81">
        <v>8106819</v>
      </c>
      <c r="L500" s="81">
        <v>5042510</v>
      </c>
      <c r="M500" s="81">
        <v>3064309</v>
      </c>
      <c r="N500" s="82">
        <v>0.142003427387215</v>
      </c>
    </row>
    <row r="501" spans="1:14" ht="14.25" hidden="1" customHeight="1">
      <c r="A501" s="78">
        <v>2025</v>
      </c>
      <c r="B501" s="78">
        <v>8</v>
      </c>
      <c r="C501" s="79" t="s">
        <v>186</v>
      </c>
      <c r="D501" s="78" t="s">
        <v>164</v>
      </c>
      <c r="E501" s="80" t="s">
        <v>165</v>
      </c>
      <c r="F501" s="78" t="str">
        <f>VLOOKUP('표1'!$E501,구분!$C$3:$D$72,2,0)</f>
        <v>동일</v>
      </c>
      <c r="G501" s="81">
        <v>36140060</v>
      </c>
      <c r="H501" s="81">
        <v>27827868</v>
      </c>
      <c r="I501" s="81">
        <v>25298062</v>
      </c>
      <c r="J501" s="81">
        <v>11482803</v>
      </c>
      <c r="K501" s="81">
        <v>13815259</v>
      </c>
      <c r="L501" s="81">
        <v>8484630</v>
      </c>
      <c r="M501" s="81">
        <v>5330629</v>
      </c>
      <c r="N501" s="82">
        <v>0.14749917404675</v>
      </c>
    </row>
    <row r="502" spans="1:14" ht="14.25" hidden="1" customHeight="1">
      <c r="A502" s="78">
        <v>2025</v>
      </c>
      <c r="B502" s="78">
        <v>8</v>
      </c>
      <c r="C502" s="79" t="s">
        <v>186</v>
      </c>
      <c r="D502" s="78" t="s">
        <v>166</v>
      </c>
      <c r="E502" s="80" t="s">
        <v>167</v>
      </c>
      <c r="F502" s="78" t="str">
        <f>VLOOKUP('표1'!$E502,구분!$C$3:$D$72,2,0)</f>
        <v>동일</v>
      </c>
      <c r="G502" s="81">
        <v>23126680</v>
      </c>
      <c r="H502" s="81">
        <v>17807564</v>
      </c>
      <c r="I502" s="81">
        <v>16188695</v>
      </c>
      <c r="J502" s="81">
        <v>8314209</v>
      </c>
      <c r="K502" s="81">
        <v>7874486</v>
      </c>
      <c r="L502" s="81">
        <v>5658050</v>
      </c>
      <c r="M502" s="81">
        <v>2216436</v>
      </c>
      <c r="N502" s="82">
        <v>9.5838918513163202E-2</v>
      </c>
    </row>
    <row r="503" spans="1:14" ht="14.25" hidden="1" customHeight="1">
      <c r="A503" s="78">
        <v>2025</v>
      </c>
      <c r="B503" s="78">
        <v>8</v>
      </c>
      <c r="C503" s="79" t="s">
        <v>186</v>
      </c>
      <c r="D503" s="78" t="s">
        <v>168</v>
      </c>
      <c r="E503" s="80" t="s">
        <v>169</v>
      </c>
      <c r="F503" s="78" t="str">
        <f>VLOOKUP('표1'!$E503,구분!$C$3:$D$72,2,0)</f>
        <v>동일</v>
      </c>
      <c r="G503" s="81">
        <v>30022340</v>
      </c>
      <c r="H503" s="81">
        <v>23117213</v>
      </c>
      <c r="I503" s="81">
        <v>21015648</v>
      </c>
      <c r="J503" s="81">
        <v>8962111</v>
      </c>
      <c r="K503" s="81">
        <v>12053537</v>
      </c>
      <c r="L503" s="81">
        <v>6322730</v>
      </c>
      <c r="M503" s="81">
        <v>5730807</v>
      </c>
      <c r="N503" s="82">
        <v>0.19088475448615899</v>
      </c>
    </row>
    <row r="504" spans="1:14" ht="15" hidden="1" customHeight="1">
      <c r="A504" s="78">
        <v>2025</v>
      </c>
      <c r="B504" s="78">
        <v>8</v>
      </c>
      <c r="C504" s="79" t="s">
        <v>186</v>
      </c>
      <c r="D504" s="78" t="s">
        <v>172</v>
      </c>
      <c r="E504" s="78" t="s">
        <v>173</v>
      </c>
      <c r="F504" s="78" t="str">
        <f>VLOOKUP('표1'!$E504,구분!$C$3:$D$72,2,0)</f>
        <v>동일</v>
      </c>
      <c r="G504" s="81">
        <v>26059870</v>
      </c>
      <c r="H504" s="81">
        <v>20326698</v>
      </c>
      <c r="I504" s="81">
        <v>18478816</v>
      </c>
      <c r="J504" s="81">
        <v>8882789</v>
      </c>
      <c r="K504" s="81">
        <v>9596027</v>
      </c>
      <c r="L504" s="81">
        <v>6897300</v>
      </c>
      <c r="M504" s="81">
        <v>2698727</v>
      </c>
      <c r="N504" s="82">
        <v>0.103558728420364</v>
      </c>
    </row>
    <row r="505" spans="1:14" ht="14.25" hidden="1" customHeight="1">
      <c r="A505" s="78">
        <v>2025</v>
      </c>
      <c r="B505" s="78">
        <v>8</v>
      </c>
      <c r="C505" s="79" t="s">
        <v>186</v>
      </c>
      <c r="D505" s="78" t="s">
        <v>174</v>
      </c>
      <c r="E505" s="80" t="s">
        <v>175</v>
      </c>
      <c r="F505" s="78" t="str">
        <f>VLOOKUP('표1'!$E505,구분!$C$3:$D$72,2,0)</f>
        <v>동일</v>
      </c>
      <c r="G505" s="81">
        <v>17067350</v>
      </c>
      <c r="H505" s="81">
        <v>14336576</v>
      </c>
      <c r="I505" s="81">
        <v>13033251</v>
      </c>
      <c r="J505" s="81">
        <v>6001265</v>
      </c>
      <c r="K505" s="81">
        <v>7031986</v>
      </c>
      <c r="L505" s="81">
        <v>5127550</v>
      </c>
      <c r="M505" s="81">
        <v>1904436</v>
      </c>
      <c r="N505" s="82">
        <v>0.11158357917309999</v>
      </c>
    </row>
    <row r="506" spans="1:14" ht="14.25" hidden="1" customHeight="1">
      <c r="A506" s="78">
        <v>2025</v>
      </c>
      <c r="B506" s="78">
        <v>8</v>
      </c>
      <c r="C506" s="79" t="s">
        <v>186</v>
      </c>
      <c r="D506" s="78" t="s">
        <v>176</v>
      </c>
      <c r="E506" s="80" t="s">
        <v>177</v>
      </c>
      <c r="F506" s="78" t="str">
        <f>VLOOKUP('표1'!$E506,구분!$C$3:$D$72,2,0)</f>
        <v>동일</v>
      </c>
      <c r="G506" s="81">
        <v>70636170</v>
      </c>
      <c r="H506" s="81">
        <v>54389899</v>
      </c>
      <c r="I506" s="81">
        <v>49445363</v>
      </c>
      <c r="J506" s="81">
        <v>21305111</v>
      </c>
      <c r="K506" s="81">
        <v>28140252</v>
      </c>
      <c r="L506" s="81">
        <v>12008960</v>
      </c>
      <c r="M506" s="81">
        <v>16131292</v>
      </c>
      <c r="N506" s="82">
        <v>0.22837155525278299</v>
      </c>
    </row>
    <row r="507" spans="1:14" ht="14.25" hidden="1" customHeight="1">
      <c r="A507" s="78">
        <v>2025</v>
      </c>
      <c r="B507" s="78">
        <v>8</v>
      </c>
      <c r="C507" s="79" t="s">
        <v>186</v>
      </c>
      <c r="D507" s="78" t="s">
        <v>178</v>
      </c>
      <c r="E507" s="80" t="s">
        <v>179</v>
      </c>
      <c r="F507" s="78" t="str">
        <f>VLOOKUP('표1'!$E507,구분!$C$3:$D$72,2,0)</f>
        <v>동일</v>
      </c>
      <c r="G507" s="81">
        <v>62976590</v>
      </c>
      <c r="H507" s="81">
        <v>48492006</v>
      </c>
      <c r="I507" s="81">
        <v>44083642</v>
      </c>
      <c r="J507" s="81">
        <v>19786389</v>
      </c>
      <c r="K507" s="81">
        <v>24297253</v>
      </c>
      <c r="L507" s="81">
        <v>8187770</v>
      </c>
      <c r="M507" s="81">
        <v>16109483</v>
      </c>
      <c r="N507" s="82">
        <v>0.255801131817394</v>
      </c>
    </row>
    <row r="508" spans="1:14" ht="14.25" hidden="1" customHeight="1">
      <c r="A508" s="73">
        <v>2025</v>
      </c>
      <c r="B508" s="73">
        <v>9</v>
      </c>
      <c r="C508" s="74" t="s">
        <v>191</v>
      </c>
      <c r="D508" s="73" t="s">
        <v>54</v>
      </c>
      <c r="E508" s="75" t="s">
        <v>55</v>
      </c>
      <c r="F508" s="73" t="str">
        <f>VLOOKUP('표1'!$E508,구분!$C$3:$D$72,2,0)</f>
        <v>동일</v>
      </c>
      <c r="G508" s="76">
        <v>55655480</v>
      </c>
      <c r="H508" s="76">
        <v>35923012</v>
      </c>
      <c r="I508" s="76">
        <v>32657284</v>
      </c>
      <c r="J508" s="76">
        <v>15880860</v>
      </c>
      <c r="K508" s="76">
        <v>16776424</v>
      </c>
      <c r="L508" s="76">
        <v>6657690</v>
      </c>
      <c r="M508" s="76">
        <v>10118734</v>
      </c>
      <c r="N508" s="77">
        <v>0.18181020090025299</v>
      </c>
    </row>
    <row r="509" spans="1:14" ht="14.25" hidden="1" customHeight="1">
      <c r="A509" s="78">
        <v>2025</v>
      </c>
      <c r="B509" s="78">
        <v>9</v>
      </c>
      <c r="C509" s="79" t="s">
        <v>191</v>
      </c>
      <c r="D509" s="78" t="s">
        <v>56</v>
      </c>
      <c r="E509" s="80" t="s">
        <v>57</v>
      </c>
      <c r="F509" s="78" t="str">
        <f>VLOOKUP('표1'!$E509,구분!$C$3:$D$72,2,0)</f>
        <v>동일</v>
      </c>
      <c r="G509" s="81">
        <v>17632430</v>
      </c>
      <c r="H509" s="81">
        <v>11588977</v>
      </c>
      <c r="I509" s="81">
        <v>10535434</v>
      </c>
      <c r="J509" s="81">
        <v>5280984</v>
      </c>
      <c r="K509" s="81">
        <v>5254450</v>
      </c>
      <c r="L509" s="81">
        <v>5526640</v>
      </c>
      <c r="M509" s="81">
        <v>-272190</v>
      </c>
      <c r="N509" s="82">
        <v>-1.54368966727785E-2</v>
      </c>
    </row>
    <row r="510" spans="1:14" ht="14.25" hidden="1" customHeight="1">
      <c r="A510" s="78">
        <v>2025</v>
      </c>
      <c r="B510" s="78">
        <v>9</v>
      </c>
      <c r="C510" s="79" t="s">
        <v>191</v>
      </c>
      <c r="D510" s="78" t="s">
        <v>58</v>
      </c>
      <c r="E510" s="80" t="s">
        <v>59</v>
      </c>
      <c r="F510" s="78" t="str">
        <f>VLOOKUP('표1'!$E510,구분!$C$3:$D$72,2,0)</f>
        <v>동일</v>
      </c>
      <c r="G510" s="81">
        <v>50159780</v>
      </c>
      <c r="H510" s="81">
        <v>32947160</v>
      </c>
      <c r="I510" s="81">
        <v>29951964</v>
      </c>
      <c r="J510" s="81">
        <v>16864485</v>
      </c>
      <c r="K510" s="81">
        <v>13087479</v>
      </c>
      <c r="L510" s="81">
        <v>6517320</v>
      </c>
      <c r="M510" s="81">
        <v>6570159</v>
      </c>
      <c r="N510" s="82">
        <v>0.13098460559436301</v>
      </c>
    </row>
    <row r="511" spans="1:14" ht="14.25" hidden="1" customHeight="1">
      <c r="A511" s="78">
        <v>2025</v>
      </c>
      <c r="B511" s="78">
        <v>9</v>
      </c>
      <c r="C511" s="79" t="s">
        <v>191</v>
      </c>
      <c r="D511" s="78" t="s">
        <v>60</v>
      </c>
      <c r="E511" s="80" t="s">
        <v>61</v>
      </c>
      <c r="F511" s="78" t="str">
        <f>VLOOKUP('표1'!$E511,구분!$C$3:$D$72,2,0)</f>
        <v>동일</v>
      </c>
      <c r="G511" s="81">
        <v>32038820</v>
      </c>
      <c r="H511" s="81">
        <v>20612911</v>
      </c>
      <c r="I511" s="81">
        <v>18739010</v>
      </c>
      <c r="J511" s="81">
        <v>8654335</v>
      </c>
      <c r="K511" s="81">
        <v>10084675</v>
      </c>
      <c r="L511" s="81">
        <v>5170970</v>
      </c>
      <c r="M511" s="81">
        <v>4913705</v>
      </c>
      <c r="N511" s="82">
        <v>0.15336722763197899</v>
      </c>
    </row>
    <row r="512" spans="1:14" ht="14.25" hidden="1" customHeight="1">
      <c r="A512" s="78">
        <v>2025</v>
      </c>
      <c r="B512" s="78">
        <v>9</v>
      </c>
      <c r="C512" s="79" t="s">
        <v>191</v>
      </c>
      <c r="D512" s="78" t="s">
        <v>62</v>
      </c>
      <c r="E512" s="80" t="s">
        <v>63</v>
      </c>
      <c r="F512" s="78" t="str">
        <f>VLOOKUP('표1'!$E512,구분!$C$3:$D$72,2,0)</f>
        <v>동일</v>
      </c>
      <c r="G512" s="81">
        <v>42227470</v>
      </c>
      <c r="H512" s="81">
        <v>27440861</v>
      </c>
      <c r="I512" s="81">
        <v>24946237</v>
      </c>
      <c r="J512" s="81">
        <v>12197740</v>
      </c>
      <c r="K512" s="81">
        <v>12748497</v>
      </c>
      <c r="L512" s="81">
        <v>6146550</v>
      </c>
      <c r="M512" s="81">
        <v>6601947</v>
      </c>
      <c r="N512" s="82">
        <v>0.15634247090815501</v>
      </c>
    </row>
    <row r="513" spans="1:14" ht="14.25" hidden="1" customHeight="1">
      <c r="A513" s="78">
        <v>2025</v>
      </c>
      <c r="B513" s="78">
        <v>9</v>
      </c>
      <c r="C513" s="79" t="s">
        <v>191</v>
      </c>
      <c r="D513" s="78" t="s">
        <v>64</v>
      </c>
      <c r="E513" s="80" t="s">
        <v>65</v>
      </c>
      <c r="F513" s="78" t="str">
        <f>VLOOKUP('표1'!$E513,구분!$C$3:$D$72,2,0)</f>
        <v>동일</v>
      </c>
      <c r="G513" s="81">
        <v>22344790</v>
      </c>
      <c r="H513" s="81">
        <v>14480256</v>
      </c>
      <c r="I513" s="81">
        <v>13163869</v>
      </c>
      <c r="J513" s="81">
        <v>6431692</v>
      </c>
      <c r="K513" s="81">
        <v>6732177</v>
      </c>
      <c r="L513" s="81">
        <v>4870210</v>
      </c>
      <c r="M513" s="81">
        <v>1861967</v>
      </c>
      <c r="N513" s="82">
        <v>8.3328910229185399E-2</v>
      </c>
    </row>
    <row r="514" spans="1:14" ht="14.25" hidden="1" customHeight="1">
      <c r="A514" s="78">
        <v>2025</v>
      </c>
      <c r="B514" s="78">
        <v>9</v>
      </c>
      <c r="C514" s="79" t="s">
        <v>191</v>
      </c>
      <c r="D514" s="78" t="s">
        <v>66</v>
      </c>
      <c r="E514" s="80" t="s">
        <v>67</v>
      </c>
      <c r="F514" s="78" t="str">
        <f>VLOOKUP('표1'!$E514,구분!$C$3:$D$72,2,0)</f>
        <v>동일</v>
      </c>
      <c r="G514" s="81">
        <v>18093040</v>
      </c>
      <c r="H514" s="81">
        <v>11753332</v>
      </c>
      <c r="I514" s="81">
        <v>10684847</v>
      </c>
      <c r="J514" s="81">
        <v>5706360</v>
      </c>
      <c r="K514" s="81">
        <v>4978487</v>
      </c>
      <c r="L514" s="81">
        <v>5784490</v>
      </c>
      <c r="M514" s="81">
        <v>-806003</v>
      </c>
      <c r="N514" s="82">
        <v>-4.4547682423738598E-2</v>
      </c>
    </row>
    <row r="515" spans="1:14" ht="14.25" hidden="1" customHeight="1">
      <c r="A515" s="78">
        <v>2025</v>
      </c>
      <c r="B515" s="78">
        <v>9</v>
      </c>
      <c r="C515" s="79" t="s">
        <v>191</v>
      </c>
      <c r="D515" s="78" t="s">
        <v>68</v>
      </c>
      <c r="E515" s="80" t="s">
        <v>69</v>
      </c>
      <c r="F515" s="78" t="str">
        <f>VLOOKUP('표1'!$E515,구분!$C$3:$D$72,2,0)</f>
        <v>동일</v>
      </c>
      <c r="G515" s="81">
        <v>46805430</v>
      </c>
      <c r="H515" s="81">
        <v>30096465</v>
      </c>
      <c r="I515" s="81">
        <v>27360423</v>
      </c>
      <c r="J515" s="81">
        <v>15234903</v>
      </c>
      <c r="K515" s="81">
        <v>12125520</v>
      </c>
      <c r="L515" s="81">
        <v>6183760</v>
      </c>
      <c r="M515" s="81">
        <v>5941760</v>
      </c>
      <c r="N515" s="82">
        <v>0.126945954774905</v>
      </c>
    </row>
    <row r="516" spans="1:14" ht="14.25" hidden="1" customHeight="1">
      <c r="A516" s="78">
        <v>2025</v>
      </c>
      <c r="B516" s="78">
        <v>9</v>
      </c>
      <c r="C516" s="79" t="s">
        <v>191</v>
      </c>
      <c r="D516" s="78" t="s">
        <v>70</v>
      </c>
      <c r="E516" s="80" t="s">
        <v>71</v>
      </c>
      <c r="F516" s="78" t="str">
        <f>VLOOKUP('표1'!$E516,구분!$C$3:$D$72,2,0)</f>
        <v>동일</v>
      </c>
      <c r="G516" s="81">
        <v>26801000</v>
      </c>
      <c r="H516" s="81">
        <v>17200646</v>
      </c>
      <c r="I516" s="81">
        <v>15636951</v>
      </c>
      <c r="J516" s="81">
        <v>7640732</v>
      </c>
      <c r="K516" s="81">
        <v>7996219</v>
      </c>
      <c r="L516" s="81">
        <v>4994350</v>
      </c>
      <c r="M516" s="81">
        <v>3001869</v>
      </c>
      <c r="N516" s="82">
        <v>0.11200585799037401</v>
      </c>
    </row>
    <row r="517" spans="1:14" ht="14.25" hidden="1" customHeight="1">
      <c r="A517" s="78">
        <v>2025</v>
      </c>
      <c r="B517" s="78">
        <v>9</v>
      </c>
      <c r="C517" s="79" t="s">
        <v>191</v>
      </c>
      <c r="D517" s="78" t="s">
        <v>72</v>
      </c>
      <c r="E517" s="80" t="s">
        <v>73</v>
      </c>
      <c r="F517" s="78" t="str">
        <f>VLOOKUP('표1'!$E517,구분!$C$3:$D$72,2,0)</f>
        <v>동일</v>
      </c>
      <c r="G517" s="81">
        <v>15297610</v>
      </c>
      <c r="H517" s="81">
        <v>10185936</v>
      </c>
      <c r="I517" s="81">
        <v>9259942</v>
      </c>
      <c r="J517" s="81">
        <v>6525216</v>
      </c>
      <c r="K517" s="81">
        <v>2734726</v>
      </c>
      <c r="L517" s="81">
        <v>4682960</v>
      </c>
      <c r="M517" s="81">
        <v>-1948234</v>
      </c>
      <c r="N517" s="82">
        <v>-0.12735544964213399</v>
      </c>
    </row>
    <row r="518" spans="1:14" ht="14.25" hidden="1" customHeight="1">
      <c r="A518" s="78">
        <v>2025</v>
      </c>
      <c r="B518" s="78">
        <v>9</v>
      </c>
      <c r="C518" s="79" t="s">
        <v>191</v>
      </c>
      <c r="D518" s="78" t="s">
        <v>74</v>
      </c>
      <c r="E518" s="80" t="s">
        <v>75</v>
      </c>
      <c r="F518" s="78" t="str">
        <f>VLOOKUP('표1'!$E518,구분!$C$3:$D$72,2,0)</f>
        <v>동일</v>
      </c>
      <c r="G518" s="81">
        <v>30546160</v>
      </c>
      <c r="H518" s="81">
        <v>19655588</v>
      </c>
      <c r="I518" s="81">
        <v>17868716</v>
      </c>
      <c r="J518" s="81">
        <v>9203483</v>
      </c>
      <c r="K518" s="81">
        <v>8665233</v>
      </c>
      <c r="L518" s="81">
        <v>5426420</v>
      </c>
      <c r="M518" s="81">
        <v>3238813</v>
      </c>
      <c r="N518" s="82">
        <v>0.106030119661522</v>
      </c>
    </row>
    <row r="519" spans="1:14" ht="14.25" hidden="1" customHeight="1">
      <c r="A519" s="78">
        <v>2025</v>
      </c>
      <c r="B519" s="78">
        <v>9</v>
      </c>
      <c r="C519" s="79" t="s">
        <v>191</v>
      </c>
      <c r="D519" s="78" t="s">
        <v>76</v>
      </c>
      <c r="E519" s="80" t="s">
        <v>77</v>
      </c>
      <c r="F519" s="78" t="str">
        <f>VLOOKUP('표1'!$E519,구분!$C$3:$D$72,2,0)</f>
        <v>동일</v>
      </c>
      <c r="G519" s="81">
        <v>34288150</v>
      </c>
      <c r="H519" s="81">
        <v>22131697</v>
      </c>
      <c r="I519" s="81">
        <v>20119725</v>
      </c>
      <c r="J519" s="81">
        <v>10888292</v>
      </c>
      <c r="K519" s="81">
        <v>9231433</v>
      </c>
      <c r="L519" s="81">
        <v>5267850</v>
      </c>
      <c r="M519" s="81">
        <v>3963583</v>
      </c>
      <c r="N519" s="82">
        <v>0.115596292013422</v>
      </c>
    </row>
    <row r="520" spans="1:14" ht="14.25" hidden="1" customHeight="1">
      <c r="A520" s="78">
        <v>2025</v>
      </c>
      <c r="B520" s="78">
        <v>9</v>
      </c>
      <c r="C520" s="79" t="s">
        <v>191</v>
      </c>
      <c r="D520" s="78" t="s">
        <v>78</v>
      </c>
      <c r="E520" s="80" t="s">
        <v>79</v>
      </c>
      <c r="F520" s="78" t="str">
        <f>VLOOKUP('표1'!$E520,구분!$C$3:$D$72,2,0)</f>
        <v>동일</v>
      </c>
      <c r="G520" s="81">
        <v>55841810</v>
      </c>
      <c r="H520" s="81">
        <v>36326734</v>
      </c>
      <c r="I520" s="81">
        <v>33024304</v>
      </c>
      <c r="J520" s="81">
        <v>15887698</v>
      </c>
      <c r="K520" s="81">
        <v>17136606</v>
      </c>
      <c r="L520" s="81">
        <v>7072120</v>
      </c>
      <c r="M520" s="81">
        <v>10064486</v>
      </c>
      <c r="N520" s="82">
        <v>0.18023208774930499</v>
      </c>
    </row>
    <row r="521" spans="1:14" ht="14.25" hidden="1" customHeight="1">
      <c r="A521" s="78">
        <v>2025</v>
      </c>
      <c r="B521" s="78">
        <v>9</v>
      </c>
      <c r="C521" s="79" t="s">
        <v>191</v>
      </c>
      <c r="D521" s="78" t="s">
        <v>80</v>
      </c>
      <c r="E521" s="80" t="s">
        <v>81</v>
      </c>
      <c r="F521" s="78" t="str">
        <f>VLOOKUP('표1'!$E521,구분!$C$3:$D$72,2,0)</f>
        <v>동일</v>
      </c>
      <c r="G521" s="81">
        <v>60161520</v>
      </c>
      <c r="H521" s="81">
        <v>39430177</v>
      </c>
      <c r="I521" s="81">
        <v>35845615</v>
      </c>
      <c r="J521" s="81">
        <v>18116480</v>
      </c>
      <c r="K521" s="81">
        <v>17729135</v>
      </c>
      <c r="L521" s="81">
        <v>8575430</v>
      </c>
      <c r="M521" s="81">
        <v>9153705</v>
      </c>
      <c r="N521" s="82">
        <v>0.152152156394985</v>
      </c>
    </row>
    <row r="522" spans="1:14" ht="14.25" hidden="1" customHeight="1">
      <c r="A522" s="78">
        <v>2025</v>
      </c>
      <c r="B522" s="78">
        <v>9</v>
      </c>
      <c r="C522" s="79" t="s">
        <v>191</v>
      </c>
      <c r="D522" s="78" t="s">
        <v>82</v>
      </c>
      <c r="E522" s="80" t="s">
        <v>83</v>
      </c>
      <c r="F522" s="78" t="str">
        <f>VLOOKUP('표1'!$E522,구분!$C$3:$D$72,2,0)</f>
        <v>동일</v>
      </c>
      <c r="G522" s="81">
        <v>29031010</v>
      </c>
      <c r="H522" s="81">
        <v>20019880</v>
      </c>
      <c r="I522" s="81">
        <v>18199891</v>
      </c>
      <c r="J522" s="81">
        <v>8886749</v>
      </c>
      <c r="K522" s="81">
        <v>9313142</v>
      </c>
      <c r="L522" s="81">
        <v>5493340</v>
      </c>
      <c r="M522" s="81">
        <v>3819802</v>
      </c>
      <c r="N522" s="82">
        <v>0.13157661411022201</v>
      </c>
    </row>
    <row r="523" spans="1:14" ht="14.25" hidden="1" customHeight="1">
      <c r="A523" s="78">
        <v>2025</v>
      </c>
      <c r="B523" s="78">
        <v>9</v>
      </c>
      <c r="C523" s="79" t="s">
        <v>191</v>
      </c>
      <c r="D523" s="78" t="s">
        <v>84</v>
      </c>
      <c r="E523" s="80" t="s">
        <v>85</v>
      </c>
      <c r="F523" s="78" t="str">
        <f>VLOOKUP('표1'!$E523,구분!$C$3:$D$72,2,0)</f>
        <v>동일</v>
      </c>
      <c r="G523" s="81">
        <v>39126470</v>
      </c>
      <c r="H523" s="81">
        <v>25442744</v>
      </c>
      <c r="I523" s="81">
        <v>23129767</v>
      </c>
      <c r="J523" s="81">
        <v>11308156</v>
      </c>
      <c r="K523" s="81">
        <v>11821611</v>
      </c>
      <c r="L523" s="81">
        <v>5734300</v>
      </c>
      <c r="M523" s="81">
        <v>6087311</v>
      </c>
      <c r="N523" s="82">
        <v>0.15558037819409701</v>
      </c>
    </row>
    <row r="524" spans="1:14" ht="14.25" hidden="1" customHeight="1">
      <c r="A524" s="78">
        <v>2025</v>
      </c>
      <c r="B524" s="78">
        <v>9</v>
      </c>
      <c r="C524" s="79" t="s">
        <v>191</v>
      </c>
      <c r="D524" s="78" t="s">
        <v>86</v>
      </c>
      <c r="E524" s="80" t="s">
        <v>87</v>
      </c>
      <c r="F524" s="78" t="str">
        <f>VLOOKUP('표1'!$E524,구분!$C$3:$D$72,2,0)</f>
        <v>동일</v>
      </c>
      <c r="G524" s="81">
        <v>19018230</v>
      </c>
      <c r="H524" s="81">
        <v>12169467</v>
      </c>
      <c r="I524" s="81">
        <v>11063152</v>
      </c>
      <c r="J524" s="81">
        <v>5496707</v>
      </c>
      <c r="K524" s="81">
        <v>5566445</v>
      </c>
      <c r="L524" s="81">
        <v>5649810</v>
      </c>
      <c r="M524" s="81">
        <v>-83365</v>
      </c>
      <c r="N524" s="82">
        <v>-4.3834257972482204E-3</v>
      </c>
    </row>
    <row r="525" spans="1:14" ht="14.25" hidden="1" customHeight="1">
      <c r="A525" s="78">
        <v>2025</v>
      </c>
      <c r="B525" s="78">
        <v>9</v>
      </c>
      <c r="C525" s="79" t="s">
        <v>191</v>
      </c>
      <c r="D525" s="78" t="s">
        <v>88</v>
      </c>
      <c r="E525" s="80" t="s">
        <v>89</v>
      </c>
      <c r="F525" s="78" t="str">
        <f>VLOOKUP('표1'!$E525,구분!$C$3:$D$72,2,0)</f>
        <v>동일</v>
      </c>
      <c r="G525" s="81">
        <v>31468070</v>
      </c>
      <c r="H525" s="81">
        <v>20235191</v>
      </c>
      <c r="I525" s="81">
        <v>18395628</v>
      </c>
      <c r="J525" s="81">
        <v>9830492</v>
      </c>
      <c r="K525" s="81">
        <v>8565136</v>
      </c>
      <c r="L525" s="81">
        <v>5859700</v>
      </c>
      <c r="M525" s="81">
        <v>2705436</v>
      </c>
      <c r="N525" s="82">
        <v>8.5974004761016506E-2</v>
      </c>
    </row>
    <row r="526" spans="1:14" ht="14.25" hidden="1" customHeight="1">
      <c r="A526" s="78">
        <v>2025</v>
      </c>
      <c r="B526" s="78">
        <v>9</v>
      </c>
      <c r="C526" s="79" t="s">
        <v>191</v>
      </c>
      <c r="D526" s="78" t="s">
        <v>90</v>
      </c>
      <c r="E526" s="80" t="s">
        <v>91</v>
      </c>
      <c r="F526" s="78" t="str">
        <f>VLOOKUP('표1'!$E526,구분!$C$3:$D$72,2,0)</f>
        <v>동일</v>
      </c>
      <c r="G526" s="81">
        <v>21513540</v>
      </c>
      <c r="H526" s="81">
        <v>13768667</v>
      </c>
      <c r="I526" s="81">
        <v>12516970</v>
      </c>
      <c r="J526" s="81">
        <v>6820861</v>
      </c>
      <c r="K526" s="81">
        <v>5696109</v>
      </c>
      <c r="L526" s="81">
        <v>5309040</v>
      </c>
      <c r="M526" s="81">
        <v>387069</v>
      </c>
      <c r="N526" s="82">
        <v>1.7991878602963501E-2</v>
      </c>
    </row>
    <row r="527" spans="1:14" ht="14.25" hidden="1" customHeight="1">
      <c r="A527" s="78">
        <v>2025</v>
      </c>
      <c r="B527" s="78">
        <v>9</v>
      </c>
      <c r="C527" s="79" t="s">
        <v>191</v>
      </c>
      <c r="D527" s="78" t="s">
        <v>92</v>
      </c>
      <c r="E527" s="80" t="s">
        <v>93</v>
      </c>
      <c r="F527" s="78" t="str">
        <f>VLOOKUP('표1'!$E527,구분!$C$3:$D$72,2,0)</f>
        <v>동일</v>
      </c>
      <c r="G527" s="81">
        <v>34583520</v>
      </c>
      <c r="H527" s="81">
        <v>22660669</v>
      </c>
      <c r="I527" s="81">
        <v>20600608</v>
      </c>
      <c r="J527" s="81">
        <v>9514934</v>
      </c>
      <c r="K527" s="81">
        <v>11085674</v>
      </c>
      <c r="L527" s="81">
        <v>5818730</v>
      </c>
      <c r="M527" s="81">
        <v>5266944</v>
      </c>
      <c r="N527" s="82">
        <v>0.15229635387028301</v>
      </c>
    </row>
    <row r="528" spans="1:14" ht="14.25" hidden="1" customHeight="1">
      <c r="A528" s="78">
        <v>2025</v>
      </c>
      <c r="B528" s="78">
        <v>9</v>
      </c>
      <c r="C528" s="79" t="s">
        <v>191</v>
      </c>
      <c r="D528" s="78" t="s">
        <v>94</v>
      </c>
      <c r="E528" s="80" t="s">
        <v>95</v>
      </c>
      <c r="F528" s="78" t="str">
        <f>VLOOKUP('표1'!$E528,구분!$C$3:$D$72,2,0)</f>
        <v>폐점</v>
      </c>
      <c r="G528" s="81">
        <v>40966670</v>
      </c>
      <c r="H528" s="81">
        <v>26653869</v>
      </c>
      <c r="I528" s="81">
        <v>24230790</v>
      </c>
      <c r="J528" s="81">
        <v>12396209</v>
      </c>
      <c r="K528" s="81">
        <v>11834581</v>
      </c>
      <c r="L528" s="81">
        <v>6502140</v>
      </c>
      <c r="M528" s="81">
        <v>5332441</v>
      </c>
      <c r="N528" s="82">
        <v>0.130165351491835</v>
      </c>
    </row>
    <row r="529" spans="1:14" ht="14.25" hidden="1" customHeight="1">
      <c r="A529" s="78">
        <v>2025</v>
      </c>
      <c r="B529" s="78">
        <v>9</v>
      </c>
      <c r="C529" s="79" t="s">
        <v>191</v>
      </c>
      <c r="D529" s="78" t="s">
        <v>96</v>
      </c>
      <c r="E529" s="80" t="s">
        <v>97</v>
      </c>
      <c r="F529" s="78" t="str">
        <f>VLOOKUP('표1'!$E529,구분!$C$3:$D$72,2,0)</f>
        <v>동일</v>
      </c>
      <c r="G529" s="81">
        <v>75763310</v>
      </c>
      <c r="H529" s="81">
        <v>49043856</v>
      </c>
      <c r="I529" s="81">
        <v>44585324</v>
      </c>
      <c r="J529" s="81">
        <v>22491532</v>
      </c>
      <c r="K529" s="81">
        <v>22093792</v>
      </c>
      <c r="L529" s="81">
        <v>9720500</v>
      </c>
      <c r="M529" s="81">
        <v>12373292</v>
      </c>
      <c r="N529" s="82">
        <v>0.163315092753999</v>
      </c>
    </row>
    <row r="530" spans="1:14" ht="14.25" hidden="1" customHeight="1">
      <c r="A530" s="78">
        <v>2025</v>
      </c>
      <c r="B530" s="78">
        <v>9</v>
      </c>
      <c r="C530" s="79" t="s">
        <v>191</v>
      </c>
      <c r="D530" s="78" t="s">
        <v>98</v>
      </c>
      <c r="E530" s="80" t="s">
        <v>99</v>
      </c>
      <c r="F530" s="78" t="str">
        <f>VLOOKUP('표1'!$E530,구분!$C$3:$D$72,2,0)</f>
        <v>동일</v>
      </c>
      <c r="G530" s="81">
        <v>70960950</v>
      </c>
      <c r="H530" s="81">
        <v>46513570</v>
      </c>
      <c r="I530" s="81">
        <v>42285064</v>
      </c>
      <c r="J530" s="81">
        <v>21446814</v>
      </c>
      <c r="K530" s="81">
        <v>20838250</v>
      </c>
      <c r="L530" s="81">
        <v>10425080</v>
      </c>
      <c r="M530" s="81">
        <v>10413170</v>
      </c>
      <c r="N530" s="82">
        <v>0.14674507598897699</v>
      </c>
    </row>
    <row r="531" spans="1:14" ht="14.25" hidden="1" customHeight="1">
      <c r="A531" s="78">
        <v>2025</v>
      </c>
      <c r="B531" s="78">
        <v>9</v>
      </c>
      <c r="C531" s="79" t="s">
        <v>191</v>
      </c>
      <c r="D531" s="78" t="s">
        <v>100</v>
      </c>
      <c r="E531" s="80" t="s">
        <v>101</v>
      </c>
      <c r="F531" s="78" t="str">
        <f>VLOOKUP('표1'!$E531,구분!$C$3:$D$72,2,0)</f>
        <v>동일</v>
      </c>
      <c r="G531" s="81">
        <v>70277700</v>
      </c>
      <c r="H531" s="81">
        <v>45120964</v>
      </c>
      <c r="I531" s="81">
        <v>41019058</v>
      </c>
      <c r="J531" s="81">
        <v>21453757</v>
      </c>
      <c r="K531" s="81">
        <v>19565301</v>
      </c>
      <c r="L531" s="81">
        <v>10151990</v>
      </c>
      <c r="M531" s="81">
        <v>9413311</v>
      </c>
      <c r="N531" s="82">
        <v>0.13394449448402601</v>
      </c>
    </row>
    <row r="532" spans="1:14" ht="14.25" hidden="1" customHeight="1">
      <c r="A532" s="78">
        <v>2025</v>
      </c>
      <c r="B532" s="78">
        <v>9</v>
      </c>
      <c r="C532" s="79" t="s">
        <v>191</v>
      </c>
      <c r="D532" s="78" t="s">
        <v>102</v>
      </c>
      <c r="E532" s="80" t="s">
        <v>103</v>
      </c>
      <c r="F532" s="78" t="str">
        <f>VLOOKUP('표1'!$E532,구분!$C$3:$D$72,2,0)</f>
        <v>동일</v>
      </c>
      <c r="G532" s="81">
        <v>60131560</v>
      </c>
      <c r="H532" s="81">
        <v>38253075</v>
      </c>
      <c r="I532" s="81">
        <v>34775523</v>
      </c>
      <c r="J532" s="81">
        <v>16421762</v>
      </c>
      <c r="K532" s="81">
        <v>18353761</v>
      </c>
      <c r="L532" s="81">
        <v>7560170</v>
      </c>
      <c r="M532" s="81">
        <v>10793591</v>
      </c>
      <c r="N532" s="82">
        <v>0.17949960054254399</v>
      </c>
    </row>
    <row r="533" spans="1:14" ht="14.25" hidden="1" customHeight="1">
      <c r="A533" s="78">
        <v>2025</v>
      </c>
      <c r="B533" s="78">
        <v>9</v>
      </c>
      <c r="C533" s="79" t="s">
        <v>191</v>
      </c>
      <c r="D533" s="78" t="s">
        <v>104</v>
      </c>
      <c r="E533" s="80" t="s">
        <v>105</v>
      </c>
      <c r="F533" s="78" t="str">
        <f>VLOOKUP('표1'!$E533,구분!$C$3:$D$72,2,0)</f>
        <v>동일</v>
      </c>
      <c r="G533" s="81">
        <v>35254440</v>
      </c>
      <c r="H533" s="81">
        <v>22144887</v>
      </c>
      <c r="I533" s="81">
        <v>20131715</v>
      </c>
      <c r="J533" s="81">
        <v>10496983</v>
      </c>
      <c r="K533" s="81">
        <v>9634732</v>
      </c>
      <c r="L533" s="81">
        <v>6057900</v>
      </c>
      <c r="M533" s="81">
        <v>3576832</v>
      </c>
      <c r="N533" s="82">
        <v>0.101457632003231</v>
      </c>
    </row>
    <row r="534" spans="1:14" ht="14.25" hidden="1" customHeight="1">
      <c r="A534" s="78">
        <v>2025</v>
      </c>
      <c r="B534" s="78">
        <v>9</v>
      </c>
      <c r="C534" s="79" t="s">
        <v>191</v>
      </c>
      <c r="D534" s="78" t="s">
        <v>106</v>
      </c>
      <c r="E534" s="80" t="s">
        <v>107</v>
      </c>
      <c r="F534" s="78" t="str">
        <f>VLOOKUP('표1'!$E534,구분!$C$3:$D$72,2,0)</f>
        <v>폐점</v>
      </c>
      <c r="G534" s="81">
        <v>31993350</v>
      </c>
      <c r="H534" s="81">
        <v>19835877</v>
      </c>
      <c r="I534" s="81">
        <v>18032615</v>
      </c>
      <c r="J534" s="81">
        <v>8735774</v>
      </c>
      <c r="K534" s="81">
        <v>9296841</v>
      </c>
      <c r="L534" s="81">
        <v>5433080</v>
      </c>
      <c r="M534" s="81">
        <v>3863761</v>
      </c>
      <c r="N534" s="82">
        <v>0.12076762827275001</v>
      </c>
    </row>
    <row r="535" spans="1:14" ht="14.25" hidden="1" customHeight="1">
      <c r="A535" s="78">
        <v>2025</v>
      </c>
      <c r="B535" s="78">
        <v>9</v>
      </c>
      <c r="C535" s="79" t="s">
        <v>191</v>
      </c>
      <c r="D535" s="78" t="s">
        <v>108</v>
      </c>
      <c r="E535" s="80" t="s">
        <v>109</v>
      </c>
      <c r="F535" s="78" t="str">
        <f>VLOOKUP('표1'!$E535,구분!$C$3:$D$72,2,0)</f>
        <v>동일</v>
      </c>
      <c r="G535" s="81">
        <v>46125550</v>
      </c>
      <c r="H535" s="81">
        <v>28597844</v>
      </c>
      <c r="I535" s="81">
        <v>25998040</v>
      </c>
      <c r="J535" s="81">
        <v>13083913</v>
      </c>
      <c r="K535" s="81">
        <v>12914127</v>
      </c>
      <c r="L535" s="81">
        <v>6912250</v>
      </c>
      <c r="M535" s="81">
        <v>6001877</v>
      </c>
      <c r="N535" s="82">
        <v>0.130120443008268</v>
      </c>
    </row>
    <row r="536" spans="1:14" ht="14.25" hidden="1" customHeight="1">
      <c r="A536" s="78">
        <v>2025</v>
      </c>
      <c r="B536" s="78">
        <v>9</v>
      </c>
      <c r="C536" s="79" t="s">
        <v>191</v>
      </c>
      <c r="D536" s="78" t="s">
        <v>187</v>
      </c>
      <c r="E536" s="80" t="s">
        <v>188</v>
      </c>
      <c r="F536" s="78" t="str">
        <f>VLOOKUP('표1'!$E536,구분!$C$3:$D$72,2,0)</f>
        <v>동일</v>
      </c>
      <c r="G536" s="81">
        <v>30070732</v>
      </c>
      <c r="H536" s="81">
        <v>18764213</v>
      </c>
      <c r="I536" s="81">
        <v>17058375</v>
      </c>
      <c r="J536" s="81">
        <v>8545646</v>
      </c>
      <c r="K536" s="81">
        <v>8512729</v>
      </c>
      <c r="L536" s="81">
        <v>5771910</v>
      </c>
      <c r="M536" s="81">
        <v>2740819</v>
      </c>
      <c r="N536" s="82">
        <v>9.11457359933905E-2</v>
      </c>
    </row>
    <row r="537" spans="1:14" ht="14.25" hidden="1" customHeight="1">
      <c r="A537" s="78">
        <v>2025</v>
      </c>
      <c r="B537" s="78">
        <v>9</v>
      </c>
      <c r="C537" s="79" t="s">
        <v>191</v>
      </c>
      <c r="D537" s="78" t="s">
        <v>110</v>
      </c>
      <c r="E537" s="80" t="s">
        <v>111</v>
      </c>
      <c r="F537" s="78" t="str">
        <f>VLOOKUP('표1'!$E537,구분!$C$3:$D$72,2,0)</f>
        <v>동일</v>
      </c>
      <c r="G537" s="81">
        <v>90014970</v>
      </c>
      <c r="H537" s="81">
        <v>58813250</v>
      </c>
      <c r="I537" s="81">
        <v>53466591</v>
      </c>
      <c r="J537" s="81">
        <v>27560988</v>
      </c>
      <c r="K537" s="81">
        <v>25905603</v>
      </c>
      <c r="L537" s="81">
        <v>12579220</v>
      </c>
      <c r="M537" s="81">
        <v>13326383</v>
      </c>
      <c r="N537" s="82">
        <v>0.14804629718812301</v>
      </c>
    </row>
    <row r="538" spans="1:14" ht="14.25" hidden="1" customHeight="1">
      <c r="A538" s="78">
        <v>2025</v>
      </c>
      <c r="B538" s="78">
        <v>9</v>
      </c>
      <c r="C538" s="79" t="s">
        <v>191</v>
      </c>
      <c r="D538" s="78" t="s">
        <v>112</v>
      </c>
      <c r="E538" s="80" t="s">
        <v>113</v>
      </c>
      <c r="F538" s="78" t="str">
        <f>VLOOKUP('표1'!$E538,구분!$C$3:$D$72,2,0)</f>
        <v>동일</v>
      </c>
      <c r="G538" s="81">
        <v>64939880</v>
      </c>
      <c r="H538" s="81">
        <v>44229819</v>
      </c>
      <c r="I538" s="81">
        <v>40208926</v>
      </c>
      <c r="J538" s="81">
        <v>18687133</v>
      </c>
      <c r="K538" s="81">
        <v>21521793</v>
      </c>
      <c r="L538" s="81">
        <v>8084210</v>
      </c>
      <c r="M538" s="81">
        <v>13437583</v>
      </c>
      <c r="N538" s="82">
        <v>0.20692343441349101</v>
      </c>
    </row>
    <row r="539" spans="1:14" ht="14.25" hidden="1" customHeight="1">
      <c r="A539" s="78">
        <v>2025</v>
      </c>
      <c r="B539" s="78">
        <v>9</v>
      </c>
      <c r="C539" s="79" t="s">
        <v>191</v>
      </c>
      <c r="D539" s="78" t="s">
        <v>116</v>
      </c>
      <c r="E539" s="80" t="s">
        <v>117</v>
      </c>
      <c r="F539" s="78" t="str">
        <f>VLOOKUP('표1'!$E539,구분!$C$3:$D$72,2,0)</f>
        <v>동일</v>
      </c>
      <c r="G539" s="81">
        <v>23007580</v>
      </c>
      <c r="H539" s="81">
        <v>15890722</v>
      </c>
      <c r="I539" s="81">
        <v>14446111</v>
      </c>
      <c r="J539" s="81">
        <v>6784996</v>
      </c>
      <c r="K539" s="81">
        <v>7661115</v>
      </c>
      <c r="L539" s="81">
        <v>6535290</v>
      </c>
      <c r="M539" s="81">
        <v>1125825</v>
      </c>
      <c r="N539" s="82">
        <v>4.8932786499058099E-2</v>
      </c>
    </row>
    <row r="540" spans="1:14" ht="14.25" hidden="1" customHeight="1">
      <c r="A540" s="78">
        <v>2025</v>
      </c>
      <c r="B540" s="78">
        <v>9</v>
      </c>
      <c r="C540" s="79" t="s">
        <v>191</v>
      </c>
      <c r="D540" s="78" t="s">
        <v>118</v>
      </c>
      <c r="E540" s="80" t="s">
        <v>119</v>
      </c>
      <c r="F540" s="78" t="str">
        <f>VLOOKUP('표1'!$E540,구분!$C$3:$D$72,2,0)</f>
        <v>동일</v>
      </c>
      <c r="G540" s="81">
        <v>83213260</v>
      </c>
      <c r="H540" s="81">
        <v>53802300</v>
      </c>
      <c r="I540" s="81">
        <v>48911182</v>
      </c>
      <c r="J540" s="81">
        <v>22795716</v>
      </c>
      <c r="K540" s="81">
        <v>26115466</v>
      </c>
      <c r="L540" s="81">
        <v>11876600</v>
      </c>
      <c r="M540" s="81">
        <v>14238866</v>
      </c>
      <c r="N540" s="82">
        <v>0.17111294522050899</v>
      </c>
    </row>
    <row r="541" spans="1:14" ht="14.25" hidden="1" customHeight="1">
      <c r="A541" s="78">
        <v>2025</v>
      </c>
      <c r="B541" s="78">
        <v>9</v>
      </c>
      <c r="C541" s="79" t="s">
        <v>191</v>
      </c>
      <c r="D541" s="78" t="s">
        <v>180</v>
      </c>
      <c r="E541" s="80" t="s">
        <v>181</v>
      </c>
      <c r="F541" s="78" t="str">
        <f>VLOOKUP('표1'!$E541,구분!$C$3:$D$72,2,0)</f>
        <v>동일</v>
      </c>
      <c r="G541" s="81">
        <v>24307490</v>
      </c>
      <c r="H541" s="81">
        <v>15235905</v>
      </c>
      <c r="I541" s="81">
        <v>13850823</v>
      </c>
      <c r="J541" s="81">
        <v>6991249</v>
      </c>
      <c r="K541" s="81">
        <v>6859574</v>
      </c>
      <c r="L541" s="81">
        <v>5709790</v>
      </c>
      <c r="M541" s="81">
        <v>1149784</v>
      </c>
      <c r="N541" s="82">
        <v>4.7301634187651598E-2</v>
      </c>
    </row>
    <row r="542" spans="1:14" ht="14.25" hidden="1" customHeight="1">
      <c r="A542" s="78">
        <v>2025</v>
      </c>
      <c r="B542" s="78">
        <v>9</v>
      </c>
      <c r="C542" s="79" t="s">
        <v>191</v>
      </c>
      <c r="D542" s="78" t="s">
        <v>120</v>
      </c>
      <c r="E542" s="80" t="s">
        <v>121</v>
      </c>
      <c r="F542" s="78" t="str">
        <f>VLOOKUP('표1'!$E542,구분!$C$3:$D$72,2,0)</f>
        <v>동일</v>
      </c>
      <c r="G542" s="81">
        <v>65102660</v>
      </c>
      <c r="H542" s="81">
        <v>42124690</v>
      </c>
      <c r="I542" s="81">
        <v>38295173</v>
      </c>
      <c r="J542" s="81">
        <v>19818234</v>
      </c>
      <c r="K542" s="81">
        <v>18476939</v>
      </c>
      <c r="L542" s="81">
        <v>7630580</v>
      </c>
      <c r="M542" s="81">
        <v>10846359</v>
      </c>
      <c r="N542" s="82">
        <v>0.166603929854786</v>
      </c>
    </row>
    <row r="543" spans="1:14" ht="14.25" hidden="1" customHeight="1">
      <c r="A543" s="78">
        <v>2025</v>
      </c>
      <c r="B543" s="78">
        <v>9</v>
      </c>
      <c r="C543" s="79" t="s">
        <v>191</v>
      </c>
      <c r="D543" s="78" t="s">
        <v>122</v>
      </c>
      <c r="E543" s="80" t="s">
        <v>123</v>
      </c>
      <c r="F543" s="78" t="str">
        <f>VLOOKUP('표1'!$E543,구분!$C$3:$D$72,2,0)</f>
        <v>동일</v>
      </c>
      <c r="G543" s="81">
        <v>51263160</v>
      </c>
      <c r="H543" s="81">
        <v>32802595</v>
      </c>
      <c r="I543" s="81">
        <v>29820541</v>
      </c>
      <c r="J543" s="81">
        <v>15042487</v>
      </c>
      <c r="K543" s="81">
        <v>14778054</v>
      </c>
      <c r="L543" s="81">
        <v>8879560</v>
      </c>
      <c r="M543" s="81">
        <v>5898494</v>
      </c>
      <c r="N543" s="82">
        <v>0.115063019915276</v>
      </c>
    </row>
    <row r="544" spans="1:14" ht="14.25" hidden="1" customHeight="1">
      <c r="A544" s="78">
        <v>2025</v>
      </c>
      <c r="B544" s="78">
        <v>9</v>
      </c>
      <c r="C544" s="79" t="s">
        <v>191</v>
      </c>
      <c r="D544" s="78" t="s">
        <v>124</v>
      </c>
      <c r="E544" s="80" t="s">
        <v>125</v>
      </c>
      <c r="F544" s="78" t="str">
        <f>VLOOKUP('표1'!$E544,구분!$C$3:$D$72,2,0)</f>
        <v>동일</v>
      </c>
      <c r="G544" s="81">
        <v>75195560</v>
      </c>
      <c r="H544" s="81">
        <v>47504129</v>
      </c>
      <c r="I544" s="81">
        <v>43185572</v>
      </c>
      <c r="J544" s="81">
        <v>20737748</v>
      </c>
      <c r="K544" s="81">
        <v>22447824</v>
      </c>
      <c r="L544" s="81">
        <v>7742970</v>
      </c>
      <c r="M544" s="81">
        <v>14704854</v>
      </c>
      <c r="N544" s="82">
        <v>0.19555481733230001</v>
      </c>
    </row>
    <row r="545" spans="1:14" ht="14.25" hidden="1" customHeight="1">
      <c r="A545" s="78">
        <v>2025</v>
      </c>
      <c r="B545" s="78">
        <v>9</v>
      </c>
      <c r="C545" s="79" t="s">
        <v>191</v>
      </c>
      <c r="D545" s="78" t="s">
        <v>126</v>
      </c>
      <c r="E545" s="80" t="s">
        <v>127</v>
      </c>
      <c r="F545" s="78" t="str">
        <f>VLOOKUP('표1'!$E545,구분!$C$3:$D$72,2,0)</f>
        <v>동일</v>
      </c>
      <c r="G545" s="81">
        <v>54563680</v>
      </c>
      <c r="H545" s="81">
        <v>34890228</v>
      </c>
      <c r="I545" s="81">
        <v>31718389</v>
      </c>
      <c r="J545" s="81">
        <v>15398842</v>
      </c>
      <c r="K545" s="81">
        <v>16319547</v>
      </c>
      <c r="L545" s="81">
        <v>8185580</v>
      </c>
      <c r="M545" s="81">
        <v>8133967</v>
      </c>
      <c r="N545" s="82">
        <v>0.149072918102298</v>
      </c>
    </row>
    <row r="546" spans="1:14" ht="14.25" customHeight="1">
      <c r="A546" s="78">
        <v>2025</v>
      </c>
      <c r="B546" s="78">
        <v>9</v>
      </c>
      <c r="C546" s="79" t="s">
        <v>191</v>
      </c>
      <c r="D546" s="78" t="s">
        <v>128</v>
      </c>
      <c r="E546" s="80" t="s">
        <v>129</v>
      </c>
      <c r="F546" s="78" t="str">
        <f>VLOOKUP('표1'!$E546,구분!$C$3:$D$72,2,0)</f>
        <v>동일</v>
      </c>
      <c r="G546" s="81">
        <v>76182010</v>
      </c>
      <c r="H546" s="81">
        <v>48341250</v>
      </c>
      <c r="I546" s="81">
        <v>43946591</v>
      </c>
      <c r="J546" s="81">
        <v>23725576</v>
      </c>
      <c r="K546" s="81">
        <v>20221015</v>
      </c>
      <c r="L546" s="81">
        <v>11047430</v>
      </c>
      <c r="M546" s="81">
        <v>9173585</v>
      </c>
      <c r="N546" s="82">
        <v>0.120416683676369</v>
      </c>
    </row>
    <row r="547" spans="1:14" ht="14.25" hidden="1" customHeight="1">
      <c r="A547" s="78">
        <v>2025</v>
      </c>
      <c r="B547" s="78">
        <v>9</v>
      </c>
      <c r="C547" s="79" t="s">
        <v>191</v>
      </c>
      <c r="D547" s="78" t="s">
        <v>130</v>
      </c>
      <c r="E547" s="80" t="s">
        <v>131</v>
      </c>
      <c r="F547" s="78" t="str">
        <f>VLOOKUP('표1'!$E547,구분!$C$3:$D$72,2,0)</f>
        <v>동일</v>
      </c>
      <c r="G547" s="81">
        <v>46384200</v>
      </c>
      <c r="H547" s="81">
        <v>29373253</v>
      </c>
      <c r="I547" s="81">
        <v>26702957</v>
      </c>
      <c r="J547" s="81">
        <v>12851679</v>
      </c>
      <c r="K547" s="81">
        <v>13851278</v>
      </c>
      <c r="L547" s="81">
        <v>5953220</v>
      </c>
      <c r="M547" s="81">
        <v>7898058</v>
      </c>
      <c r="N547" s="82">
        <v>0.17027474872909301</v>
      </c>
    </row>
    <row r="548" spans="1:14" ht="14.25" hidden="1" customHeight="1">
      <c r="A548" s="78">
        <v>2025</v>
      </c>
      <c r="B548" s="78">
        <v>9</v>
      </c>
      <c r="C548" s="79" t="s">
        <v>191</v>
      </c>
      <c r="D548" s="78" t="s">
        <v>132</v>
      </c>
      <c r="E548" s="80" t="s">
        <v>133</v>
      </c>
      <c r="F548" s="78" t="str">
        <f>VLOOKUP('표1'!$E548,구분!$C$3:$D$72,2,0)</f>
        <v>동일</v>
      </c>
      <c r="G548" s="81">
        <v>28119560</v>
      </c>
      <c r="H548" s="81">
        <v>18371707</v>
      </c>
      <c r="I548" s="81">
        <v>16701552</v>
      </c>
      <c r="J548" s="81">
        <v>7942213</v>
      </c>
      <c r="K548" s="81">
        <v>8759339</v>
      </c>
      <c r="L548" s="81">
        <v>5433580</v>
      </c>
      <c r="M548" s="81">
        <v>3325759</v>
      </c>
      <c r="N548" s="82">
        <v>0.11827208533846199</v>
      </c>
    </row>
    <row r="549" spans="1:14" ht="14.25" hidden="1" customHeight="1">
      <c r="A549" s="78">
        <v>2025</v>
      </c>
      <c r="B549" s="78">
        <v>9</v>
      </c>
      <c r="C549" s="79" t="s">
        <v>191</v>
      </c>
      <c r="D549" s="78" t="s">
        <v>134</v>
      </c>
      <c r="E549" s="80" t="s">
        <v>135</v>
      </c>
      <c r="F549" s="78" t="str">
        <f>VLOOKUP('표1'!$E549,구분!$C$3:$D$72,2,0)</f>
        <v>동일</v>
      </c>
      <c r="G549" s="81">
        <v>40667540</v>
      </c>
      <c r="H549" s="81">
        <v>25962093</v>
      </c>
      <c r="I549" s="81">
        <v>23601903</v>
      </c>
      <c r="J549" s="81">
        <v>12078981</v>
      </c>
      <c r="K549" s="81">
        <v>11522922</v>
      </c>
      <c r="L549" s="81">
        <v>7928250</v>
      </c>
      <c r="M549" s="81">
        <v>3594672</v>
      </c>
      <c r="N549" s="82">
        <v>8.8391675523033897E-2</v>
      </c>
    </row>
    <row r="550" spans="1:14" ht="14.25" hidden="1" customHeight="1">
      <c r="A550" s="78">
        <v>2025</v>
      </c>
      <c r="B550" s="78">
        <v>9</v>
      </c>
      <c r="C550" s="79" t="s">
        <v>191</v>
      </c>
      <c r="D550" s="78" t="s">
        <v>136</v>
      </c>
      <c r="E550" s="80" t="s">
        <v>137</v>
      </c>
      <c r="F550" s="78" t="str">
        <f>VLOOKUP('표1'!$E550,구분!$C$3:$D$72,2,0)</f>
        <v>동일</v>
      </c>
      <c r="G550" s="81">
        <v>40909930</v>
      </c>
      <c r="H550" s="81">
        <v>26211132</v>
      </c>
      <c r="I550" s="81">
        <v>23828302</v>
      </c>
      <c r="J550" s="81">
        <v>12413222</v>
      </c>
      <c r="K550" s="81">
        <v>11415080</v>
      </c>
      <c r="L550" s="81">
        <v>6578730</v>
      </c>
      <c r="M550" s="81">
        <v>4836350</v>
      </c>
      <c r="N550" s="82">
        <v>0.118219464076326</v>
      </c>
    </row>
    <row r="551" spans="1:14" ht="14.25" hidden="1" customHeight="1">
      <c r="A551" s="78">
        <v>2025</v>
      </c>
      <c r="B551" s="78">
        <v>9</v>
      </c>
      <c r="C551" s="79" t="s">
        <v>191</v>
      </c>
      <c r="D551" s="78" t="s">
        <v>138</v>
      </c>
      <c r="E551" s="80" t="s">
        <v>139</v>
      </c>
      <c r="F551" s="78" t="str">
        <f>VLOOKUP('표1'!$E551,구분!$C$3:$D$72,2,0)</f>
        <v>동일</v>
      </c>
      <c r="G551" s="81">
        <v>31089710</v>
      </c>
      <c r="H551" s="81">
        <v>20120522</v>
      </c>
      <c r="I551" s="81">
        <v>18291384</v>
      </c>
      <c r="J551" s="81">
        <v>8474947</v>
      </c>
      <c r="K551" s="81">
        <v>9816437</v>
      </c>
      <c r="L551" s="81">
        <v>4846220</v>
      </c>
      <c r="M551" s="81">
        <v>4970217</v>
      </c>
      <c r="N551" s="82">
        <v>0.15986694633047399</v>
      </c>
    </row>
    <row r="552" spans="1:14" ht="14.25" hidden="1" customHeight="1">
      <c r="A552" s="78">
        <v>2025</v>
      </c>
      <c r="B552" s="78">
        <v>9</v>
      </c>
      <c r="C552" s="79" t="s">
        <v>191</v>
      </c>
      <c r="D552" s="78" t="s">
        <v>140</v>
      </c>
      <c r="E552" s="80" t="s">
        <v>141</v>
      </c>
      <c r="F552" s="78" t="str">
        <f>VLOOKUP('표1'!$E552,구분!$C$3:$D$72,2,0)</f>
        <v>동일</v>
      </c>
      <c r="G552" s="81">
        <v>49247680</v>
      </c>
      <c r="H552" s="81">
        <v>31026052</v>
      </c>
      <c r="I552" s="81">
        <v>28205502</v>
      </c>
      <c r="J552" s="81">
        <v>13777959</v>
      </c>
      <c r="K552" s="81">
        <v>14427543</v>
      </c>
      <c r="L552" s="81">
        <v>6844950</v>
      </c>
      <c r="M552" s="81">
        <v>7582593</v>
      </c>
      <c r="N552" s="82">
        <v>0.15396853212171599</v>
      </c>
    </row>
    <row r="553" spans="1:14" ht="14.25" hidden="1" customHeight="1">
      <c r="A553" s="78">
        <v>2025</v>
      </c>
      <c r="B553" s="78">
        <v>9</v>
      </c>
      <c r="C553" s="79" t="s">
        <v>191</v>
      </c>
      <c r="D553" s="78" t="s">
        <v>142</v>
      </c>
      <c r="E553" s="80" t="s">
        <v>143</v>
      </c>
      <c r="F553" s="78" t="str">
        <f>VLOOKUP('표1'!$E553,구분!$C$3:$D$72,2,0)</f>
        <v>동일</v>
      </c>
      <c r="G553" s="81">
        <v>48807930</v>
      </c>
      <c r="H553" s="81">
        <v>31301469</v>
      </c>
      <c r="I553" s="81">
        <v>28455881</v>
      </c>
      <c r="J553" s="81">
        <v>13507794</v>
      </c>
      <c r="K553" s="81">
        <v>14948087</v>
      </c>
      <c r="L553" s="81">
        <v>6469070</v>
      </c>
      <c r="M553" s="81">
        <v>8479017</v>
      </c>
      <c r="N553" s="82">
        <v>0.17372211851639699</v>
      </c>
    </row>
    <row r="554" spans="1:14" ht="14.25" hidden="1" customHeight="1">
      <c r="A554" s="78">
        <v>2025</v>
      </c>
      <c r="B554" s="78">
        <v>9</v>
      </c>
      <c r="C554" s="79" t="s">
        <v>191</v>
      </c>
      <c r="D554" s="78" t="s">
        <v>144</v>
      </c>
      <c r="E554" s="80" t="s">
        <v>145</v>
      </c>
      <c r="F554" s="78" t="str">
        <f>VLOOKUP('표1'!$E554,구분!$C$3:$D$72,2,0)</f>
        <v>동일</v>
      </c>
      <c r="G554" s="81">
        <v>44086480</v>
      </c>
      <c r="H554" s="81">
        <v>27819289</v>
      </c>
      <c r="I554" s="81">
        <v>25290263</v>
      </c>
      <c r="J554" s="81">
        <v>13271044</v>
      </c>
      <c r="K554" s="81">
        <v>12019219</v>
      </c>
      <c r="L554" s="81">
        <v>6893620</v>
      </c>
      <c r="M554" s="81">
        <v>5125599</v>
      </c>
      <c r="N554" s="82">
        <v>0.11626237794444</v>
      </c>
    </row>
    <row r="555" spans="1:14" ht="14.25" hidden="1" customHeight="1">
      <c r="A555" s="78">
        <v>2025</v>
      </c>
      <c r="B555" s="78">
        <v>9</v>
      </c>
      <c r="C555" s="79" t="s">
        <v>191</v>
      </c>
      <c r="D555" s="78" t="s">
        <v>146</v>
      </c>
      <c r="E555" s="80" t="s">
        <v>147</v>
      </c>
      <c r="F555" s="78" t="str">
        <f>VLOOKUP('표1'!$E555,구분!$C$3:$D$72,2,0)</f>
        <v>동일</v>
      </c>
      <c r="G555" s="81">
        <v>92149080</v>
      </c>
      <c r="H555" s="81">
        <v>57679243</v>
      </c>
      <c r="I555" s="81">
        <v>52435675</v>
      </c>
      <c r="J555" s="81">
        <v>29044582</v>
      </c>
      <c r="K555" s="81">
        <v>23391093</v>
      </c>
      <c r="L555" s="81">
        <v>10336210</v>
      </c>
      <c r="M555" s="81">
        <v>13054883</v>
      </c>
      <c r="N555" s="82">
        <v>0.14167133301819201</v>
      </c>
    </row>
    <row r="556" spans="1:14" ht="14.25" hidden="1" customHeight="1">
      <c r="A556" s="78">
        <v>2025</v>
      </c>
      <c r="B556" s="78">
        <v>9</v>
      </c>
      <c r="C556" s="79" t="s">
        <v>191</v>
      </c>
      <c r="D556" s="78" t="s">
        <v>148</v>
      </c>
      <c r="E556" s="80" t="s">
        <v>149</v>
      </c>
      <c r="F556" s="78" t="str">
        <f>VLOOKUP('표1'!$E556,구분!$C$3:$D$72,2,0)</f>
        <v>동일</v>
      </c>
      <c r="G556" s="81">
        <v>19716960</v>
      </c>
      <c r="H556" s="81">
        <v>12729316</v>
      </c>
      <c r="I556" s="81">
        <v>11572105</v>
      </c>
      <c r="J556" s="81">
        <v>5438718</v>
      </c>
      <c r="K556" s="81">
        <v>6133387</v>
      </c>
      <c r="L556" s="81">
        <v>5276650</v>
      </c>
      <c r="M556" s="81">
        <v>856737</v>
      </c>
      <c r="N556" s="82">
        <v>4.3451779584682403E-2</v>
      </c>
    </row>
    <row r="557" spans="1:14" ht="14.25" hidden="1" customHeight="1">
      <c r="A557" s="78">
        <v>2025</v>
      </c>
      <c r="B557" s="78">
        <v>9</v>
      </c>
      <c r="C557" s="79" t="s">
        <v>191</v>
      </c>
      <c r="D557" s="78" t="s">
        <v>150</v>
      </c>
      <c r="E557" s="80" t="s">
        <v>151</v>
      </c>
      <c r="F557" s="78" t="str">
        <f>VLOOKUP('표1'!$E557,구분!$C$3:$D$72,2,0)</f>
        <v>동일</v>
      </c>
      <c r="G557" s="81">
        <v>26028930</v>
      </c>
      <c r="H557" s="81">
        <v>16383128</v>
      </c>
      <c r="I557" s="81">
        <v>14893753</v>
      </c>
      <c r="J557" s="81">
        <v>7389799</v>
      </c>
      <c r="K557" s="81">
        <v>7503954</v>
      </c>
      <c r="L557" s="81">
        <v>5870137</v>
      </c>
      <c r="M557" s="81">
        <v>1633817</v>
      </c>
      <c r="N557" s="82">
        <v>6.2769272497947504E-2</v>
      </c>
    </row>
    <row r="558" spans="1:14" ht="15" hidden="1" customHeight="1">
      <c r="A558" s="78">
        <v>2025</v>
      </c>
      <c r="B558" s="78">
        <v>9</v>
      </c>
      <c r="C558" s="79" t="s">
        <v>191</v>
      </c>
      <c r="D558" s="78" t="s">
        <v>152</v>
      </c>
      <c r="E558" s="78" t="s">
        <v>153</v>
      </c>
      <c r="F558" s="78" t="str">
        <f>VLOOKUP('표1'!$E558,구분!$C$3:$D$72,2,0)</f>
        <v>동일</v>
      </c>
      <c r="G558" s="81">
        <v>33019470</v>
      </c>
      <c r="H558" s="81">
        <v>20494972</v>
      </c>
      <c r="I558" s="81">
        <v>18631793</v>
      </c>
      <c r="J558" s="81">
        <v>8781037</v>
      </c>
      <c r="K558" s="81">
        <v>9850756</v>
      </c>
      <c r="L558" s="81">
        <v>6593770</v>
      </c>
      <c r="M558" s="81">
        <v>3256986</v>
      </c>
      <c r="N558" s="82">
        <v>9.8638348828736497E-2</v>
      </c>
    </row>
    <row r="559" spans="1:14" ht="15" hidden="1" customHeight="1">
      <c r="A559" s="78">
        <v>2025</v>
      </c>
      <c r="B559" s="78">
        <v>9</v>
      </c>
      <c r="C559" s="79" t="s">
        <v>191</v>
      </c>
      <c r="D559" s="83" t="s">
        <v>189</v>
      </c>
      <c r="E559" s="78" t="s">
        <v>190</v>
      </c>
      <c r="F559" s="78" t="str">
        <f>VLOOKUP('표1'!$E559,구분!$C$3:$D$72,2,0)</f>
        <v>동일</v>
      </c>
      <c r="G559" s="81">
        <v>20711470</v>
      </c>
      <c r="H559" s="81">
        <v>13247362</v>
      </c>
      <c r="I559" s="81">
        <v>12043056</v>
      </c>
      <c r="J559" s="81">
        <v>6456951</v>
      </c>
      <c r="K559" s="81">
        <v>5586105</v>
      </c>
      <c r="L559" s="81">
        <v>6667080</v>
      </c>
      <c r="M559" s="81">
        <v>-1080975</v>
      </c>
      <c r="N559" s="82">
        <v>-5.2192094525400697E-2</v>
      </c>
    </row>
    <row r="560" spans="1:14" ht="14.25" hidden="1" customHeight="1">
      <c r="A560" s="78">
        <v>2025</v>
      </c>
      <c r="B560" s="78">
        <v>9</v>
      </c>
      <c r="C560" s="79" t="s">
        <v>191</v>
      </c>
      <c r="D560" s="78" t="s">
        <v>154</v>
      </c>
      <c r="E560" s="80" t="s">
        <v>155</v>
      </c>
      <c r="F560" s="78" t="str">
        <f>VLOOKUP('표1'!$E560,구분!$C$3:$D$72,2,0)</f>
        <v>동일</v>
      </c>
      <c r="G560" s="81">
        <v>62209480</v>
      </c>
      <c r="H560" s="81">
        <v>39407648</v>
      </c>
      <c r="I560" s="81">
        <v>35825135</v>
      </c>
      <c r="J560" s="81">
        <v>17754529</v>
      </c>
      <c r="K560" s="81">
        <v>18070606</v>
      </c>
      <c r="L560" s="81">
        <v>9890910</v>
      </c>
      <c r="M560" s="81">
        <v>8179696</v>
      </c>
      <c r="N560" s="82">
        <v>0.13148632652129599</v>
      </c>
    </row>
    <row r="561" spans="1:14" ht="14.25" hidden="1" customHeight="1">
      <c r="A561" s="78">
        <v>2025</v>
      </c>
      <c r="B561" s="78">
        <v>9</v>
      </c>
      <c r="C561" s="79" t="s">
        <v>191</v>
      </c>
      <c r="D561" s="78" t="s">
        <v>156</v>
      </c>
      <c r="E561" s="80" t="s">
        <v>157</v>
      </c>
      <c r="F561" s="78" t="str">
        <f>VLOOKUP('표1'!$E561,구분!$C$3:$D$72,2,0)</f>
        <v>동일</v>
      </c>
      <c r="G561" s="81">
        <v>44229500</v>
      </c>
      <c r="H561" s="81">
        <v>33835603</v>
      </c>
      <c r="I561" s="81">
        <v>30759639</v>
      </c>
      <c r="J561" s="81">
        <v>13505462</v>
      </c>
      <c r="K561" s="81">
        <v>17254177</v>
      </c>
      <c r="L561" s="81">
        <v>5972020</v>
      </c>
      <c r="M561" s="81">
        <v>11282157</v>
      </c>
      <c r="N561" s="82">
        <v>0.25508217366237501</v>
      </c>
    </row>
    <row r="562" spans="1:14" ht="14.25" hidden="1" customHeight="1">
      <c r="A562" s="78">
        <v>2025</v>
      </c>
      <c r="B562" s="78">
        <v>9</v>
      </c>
      <c r="C562" s="79" t="s">
        <v>191</v>
      </c>
      <c r="D562" s="78" t="s">
        <v>158</v>
      </c>
      <c r="E562" s="80" t="s">
        <v>159</v>
      </c>
      <c r="F562" s="78" t="str">
        <f>VLOOKUP('표1'!$E562,구분!$C$3:$D$72,2,0)</f>
        <v>동일</v>
      </c>
      <c r="G562" s="81">
        <v>33412850</v>
      </c>
      <c r="H562" s="81">
        <v>25727913</v>
      </c>
      <c r="I562" s="81">
        <v>23389012</v>
      </c>
      <c r="J562" s="81">
        <v>10214898</v>
      </c>
      <c r="K562" s="81">
        <v>13174114</v>
      </c>
      <c r="L562" s="81">
        <v>5298460</v>
      </c>
      <c r="M562" s="81">
        <v>7875654</v>
      </c>
      <c r="N562" s="82">
        <v>0.23570734014009601</v>
      </c>
    </row>
    <row r="563" spans="1:14" ht="14.25" hidden="1" customHeight="1">
      <c r="A563" s="78">
        <v>2025</v>
      </c>
      <c r="B563" s="78">
        <v>9</v>
      </c>
      <c r="C563" s="79" t="s">
        <v>191</v>
      </c>
      <c r="D563" s="78" t="s">
        <v>160</v>
      </c>
      <c r="E563" s="80" t="s">
        <v>161</v>
      </c>
      <c r="F563" s="78" t="str">
        <f>VLOOKUP('표1'!$E563,구분!$C$3:$D$72,2,0)</f>
        <v>동일</v>
      </c>
      <c r="G563" s="81">
        <v>30611610</v>
      </c>
      <c r="H563" s="81">
        <v>23417901</v>
      </c>
      <c r="I563" s="81">
        <v>21289001</v>
      </c>
      <c r="J563" s="81">
        <v>9803483</v>
      </c>
      <c r="K563" s="81">
        <v>11485518</v>
      </c>
      <c r="L563" s="81">
        <v>6783470</v>
      </c>
      <c r="M563" s="81">
        <v>4702048</v>
      </c>
      <c r="N563" s="82">
        <v>0.15360342040160599</v>
      </c>
    </row>
    <row r="564" spans="1:14" ht="14.25" hidden="1" customHeight="1">
      <c r="A564" s="78">
        <v>2025</v>
      </c>
      <c r="B564" s="78">
        <v>9</v>
      </c>
      <c r="C564" s="79" t="s">
        <v>191</v>
      </c>
      <c r="D564" s="78" t="s">
        <v>162</v>
      </c>
      <c r="E564" s="80" t="s">
        <v>163</v>
      </c>
      <c r="F564" s="78" t="str">
        <f>VLOOKUP('표1'!$E564,구분!$C$3:$D$72,2,0)</f>
        <v>동일</v>
      </c>
      <c r="G564" s="81">
        <v>23069760</v>
      </c>
      <c r="H564" s="81">
        <v>17763734</v>
      </c>
      <c r="I564" s="81">
        <v>16148849</v>
      </c>
      <c r="J564" s="81">
        <v>7880096</v>
      </c>
      <c r="K564" s="81">
        <v>8268753</v>
      </c>
      <c r="L564" s="81">
        <v>4955730</v>
      </c>
      <c r="M564" s="81">
        <v>3313023</v>
      </c>
      <c r="N564" s="82">
        <v>0.14360890620448599</v>
      </c>
    </row>
    <row r="565" spans="1:14" ht="14.25" hidden="1" customHeight="1">
      <c r="A565" s="78">
        <v>2025</v>
      </c>
      <c r="B565" s="78">
        <v>9</v>
      </c>
      <c r="C565" s="79" t="s">
        <v>191</v>
      </c>
      <c r="D565" s="78" t="s">
        <v>164</v>
      </c>
      <c r="E565" s="80" t="s">
        <v>165</v>
      </c>
      <c r="F565" s="78" t="str">
        <f>VLOOKUP('표1'!$E565,구분!$C$3:$D$72,2,0)</f>
        <v>동일</v>
      </c>
      <c r="G565" s="81">
        <v>31701580</v>
      </c>
      <c r="H565" s="81">
        <v>24410241</v>
      </c>
      <c r="I565" s="81">
        <v>22191128</v>
      </c>
      <c r="J565" s="81">
        <v>9808598</v>
      </c>
      <c r="K565" s="81">
        <v>12382530</v>
      </c>
      <c r="L565" s="81">
        <v>7903850</v>
      </c>
      <c r="M565" s="81">
        <v>4478680</v>
      </c>
      <c r="N565" s="82">
        <v>0.141276239228455</v>
      </c>
    </row>
    <row r="566" spans="1:14" ht="14.25" hidden="1" customHeight="1">
      <c r="A566" s="78">
        <v>2025</v>
      </c>
      <c r="B566" s="78">
        <v>9</v>
      </c>
      <c r="C566" s="79" t="s">
        <v>191</v>
      </c>
      <c r="D566" s="78" t="s">
        <v>166</v>
      </c>
      <c r="E566" s="80" t="s">
        <v>167</v>
      </c>
      <c r="F566" s="78" t="str">
        <f>VLOOKUP('표1'!$E566,구분!$C$3:$D$72,2,0)</f>
        <v>동일</v>
      </c>
      <c r="G566" s="81">
        <v>21121070</v>
      </c>
      <c r="H566" s="81">
        <v>16263247</v>
      </c>
      <c r="I566" s="81">
        <v>14784770</v>
      </c>
      <c r="J566" s="81">
        <v>7295884</v>
      </c>
      <c r="K566" s="81">
        <v>7488886</v>
      </c>
      <c r="L566" s="81">
        <v>5230620</v>
      </c>
      <c r="M566" s="81">
        <v>2258266</v>
      </c>
      <c r="N566" s="82">
        <v>0.10692005660698101</v>
      </c>
    </row>
    <row r="567" spans="1:14" ht="14.25" hidden="1" customHeight="1">
      <c r="A567" s="78">
        <v>2025</v>
      </c>
      <c r="B567" s="78">
        <v>9</v>
      </c>
      <c r="C567" s="79" t="s">
        <v>191</v>
      </c>
      <c r="D567" s="78" t="s">
        <v>168</v>
      </c>
      <c r="E567" s="80" t="s">
        <v>169</v>
      </c>
      <c r="F567" s="78" t="str">
        <f>VLOOKUP('표1'!$E567,구분!$C$3:$D$72,2,0)</f>
        <v>동일</v>
      </c>
      <c r="G567" s="81">
        <v>32097740</v>
      </c>
      <c r="H567" s="81">
        <v>24715270</v>
      </c>
      <c r="I567" s="81">
        <v>22468427</v>
      </c>
      <c r="J567" s="81">
        <v>9894401</v>
      </c>
      <c r="K567" s="81">
        <v>12574026</v>
      </c>
      <c r="L567" s="81">
        <v>6419700</v>
      </c>
      <c r="M567" s="81">
        <v>6154326</v>
      </c>
      <c r="N567" s="82">
        <v>0.19173705064593299</v>
      </c>
    </row>
    <row r="568" spans="1:14" ht="15" hidden="1" customHeight="1">
      <c r="A568" s="78">
        <v>2025</v>
      </c>
      <c r="B568" s="78">
        <v>9</v>
      </c>
      <c r="C568" s="79" t="s">
        <v>191</v>
      </c>
      <c r="D568" s="78" t="s">
        <v>172</v>
      </c>
      <c r="E568" s="78" t="s">
        <v>173</v>
      </c>
      <c r="F568" s="78" t="str">
        <f>VLOOKUP('표1'!$E568,구분!$C$3:$D$72,2,0)</f>
        <v>동일</v>
      </c>
      <c r="G568" s="81">
        <v>26531590</v>
      </c>
      <c r="H568" s="81">
        <v>20694641</v>
      </c>
      <c r="I568" s="81">
        <v>18813310</v>
      </c>
      <c r="J568" s="81">
        <v>8611427</v>
      </c>
      <c r="K568" s="81">
        <v>10201883</v>
      </c>
      <c r="L568" s="81">
        <v>6883570</v>
      </c>
      <c r="M568" s="81">
        <v>3318313</v>
      </c>
      <c r="N568" s="82">
        <v>0.12507026529506901</v>
      </c>
    </row>
    <row r="569" spans="1:14" ht="14.25" hidden="1" customHeight="1">
      <c r="A569" s="78">
        <v>2025</v>
      </c>
      <c r="B569" s="78">
        <v>9</v>
      </c>
      <c r="C569" s="79" t="s">
        <v>191</v>
      </c>
      <c r="D569" s="78" t="s">
        <v>174</v>
      </c>
      <c r="E569" s="80" t="s">
        <v>175</v>
      </c>
      <c r="F569" s="78" t="str">
        <f>VLOOKUP('표1'!$E569,구분!$C$3:$D$72,2,0)</f>
        <v>동일</v>
      </c>
      <c r="G569" s="81">
        <v>12374280</v>
      </c>
      <c r="H569" s="81">
        <v>10394397</v>
      </c>
      <c r="I569" s="81">
        <v>9449452</v>
      </c>
      <c r="J569" s="81">
        <v>4276411</v>
      </c>
      <c r="K569" s="81">
        <v>5173041</v>
      </c>
      <c r="L569" s="81">
        <v>4849040</v>
      </c>
      <c r="M569" s="81">
        <v>324001</v>
      </c>
      <c r="N569" s="82">
        <v>2.61834223890198E-2</v>
      </c>
    </row>
    <row r="570" spans="1:14" ht="14.25" hidden="1" customHeight="1">
      <c r="A570" s="78">
        <v>2025</v>
      </c>
      <c r="B570" s="78">
        <v>9</v>
      </c>
      <c r="C570" s="79" t="s">
        <v>191</v>
      </c>
      <c r="D570" s="78" t="s">
        <v>176</v>
      </c>
      <c r="E570" s="80" t="s">
        <v>177</v>
      </c>
      <c r="F570" s="78" t="str">
        <f>VLOOKUP('표1'!$E570,구분!$C$3:$D$72,2,0)</f>
        <v>동일</v>
      </c>
      <c r="G570" s="81">
        <v>78987030</v>
      </c>
      <c r="H570" s="81">
        <v>60820045</v>
      </c>
      <c r="I570" s="81">
        <v>55290950</v>
      </c>
      <c r="J570" s="81">
        <v>24393752</v>
      </c>
      <c r="K570" s="81">
        <v>30897198</v>
      </c>
      <c r="L570" s="81">
        <v>13428830</v>
      </c>
      <c r="M570" s="81">
        <v>17468368</v>
      </c>
      <c r="N570" s="82">
        <v>0.22115489087258999</v>
      </c>
    </row>
    <row r="571" spans="1:14" ht="14.25" hidden="1" customHeight="1">
      <c r="A571" s="78">
        <v>2025</v>
      </c>
      <c r="B571" s="78">
        <v>9</v>
      </c>
      <c r="C571" s="79" t="s">
        <v>191</v>
      </c>
      <c r="D571" s="78" t="s">
        <v>178</v>
      </c>
      <c r="E571" s="80" t="s">
        <v>179</v>
      </c>
      <c r="F571" s="78" t="str">
        <f>VLOOKUP('표1'!$E571,구분!$C$3:$D$72,2,0)</f>
        <v>동일</v>
      </c>
      <c r="G571" s="81">
        <v>70074850</v>
      </c>
      <c r="H571" s="81">
        <v>53957667</v>
      </c>
      <c r="I571" s="81">
        <v>49052425</v>
      </c>
      <c r="J571" s="81">
        <v>20981923</v>
      </c>
      <c r="K571" s="81">
        <v>28070502</v>
      </c>
      <c r="L571" s="81">
        <v>9110770</v>
      </c>
      <c r="M571" s="81">
        <v>18959732</v>
      </c>
      <c r="N571" s="82">
        <v>0.27056400406137199</v>
      </c>
    </row>
    <row r="572" spans="1:14" ht="14.25" hidden="1" customHeight="1">
      <c r="A572" s="73">
        <v>2025</v>
      </c>
      <c r="B572" s="73">
        <v>10</v>
      </c>
      <c r="C572" s="74" t="s">
        <v>192</v>
      </c>
      <c r="D572" s="73" t="s">
        <v>54</v>
      </c>
      <c r="E572" s="75" t="s">
        <v>55</v>
      </c>
      <c r="F572" s="73" t="str">
        <f>VLOOKUP('표1'!$E572,구분!$C$3:$D$72,2,0)</f>
        <v>동일</v>
      </c>
      <c r="G572" s="76">
        <v>83090110</v>
      </c>
      <c r="H572" s="76">
        <v>57291210</v>
      </c>
      <c r="I572" s="76">
        <v>52082918</v>
      </c>
      <c r="J572" s="76">
        <v>25133631</v>
      </c>
      <c r="K572" s="76">
        <v>26949287</v>
      </c>
      <c r="L572" s="76">
        <v>7019080</v>
      </c>
      <c r="M572" s="76">
        <v>19930207</v>
      </c>
      <c r="N572" s="77">
        <v>0.23986256607435</v>
      </c>
    </row>
    <row r="573" spans="1:14" ht="14.25" hidden="1" customHeight="1">
      <c r="A573" s="78">
        <v>2025</v>
      </c>
      <c r="B573" s="78">
        <v>10</v>
      </c>
      <c r="C573" s="79" t="s">
        <v>192</v>
      </c>
      <c r="D573" s="78" t="s">
        <v>56</v>
      </c>
      <c r="E573" s="80" t="s">
        <v>57</v>
      </c>
      <c r="F573" s="78" t="str">
        <f>VLOOKUP('표1'!$E573,구분!$C$3:$D$72,2,0)</f>
        <v>동일</v>
      </c>
      <c r="G573" s="81">
        <v>27550410</v>
      </c>
      <c r="H573" s="81">
        <v>19897649</v>
      </c>
      <c r="I573" s="81">
        <v>18088772</v>
      </c>
      <c r="J573" s="81">
        <v>8834002</v>
      </c>
      <c r="K573" s="81">
        <v>9254770</v>
      </c>
      <c r="L573" s="81">
        <v>5051530</v>
      </c>
      <c r="M573" s="81">
        <v>4203240</v>
      </c>
      <c r="N573" s="82">
        <v>0.152565424616185</v>
      </c>
    </row>
    <row r="574" spans="1:14" ht="14.25" hidden="1" customHeight="1">
      <c r="A574" s="78">
        <v>2025</v>
      </c>
      <c r="B574" s="78">
        <v>10</v>
      </c>
      <c r="C574" s="79" t="s">
        <v>192</v>
      </c>
      <c r="D574" s="78" t="s">
        <v>58</v>
      </c>
      <c r="E574" s="80" t="s">
        <v>59</v>
      </c>
      <c r="F574" s="78" t="str">
        <f>VLOOKUP('표1'!$E574,구분!$C$3:$D$72,2,0)</f>
        <v>동일</v>
      </c>
      <c r="G574" s="81">
        <v>74070990</v>
      </c>
      <c r="H574" s="81">
        <v>52336848</v>
      </c>
      <c r="I574" s="81">
        <v>47578953</v>
      </c>
      <c r="J574" s="81">
        <v>25407381</v>
      </c>
      <c r="K574" s="81">
        <v>22171572</v>
      </c>
      <c r="L574" s="81">
        <v>9544110</v>
      </c>
      <c r="M574" s="81">
        <v>12627462</v>
      </c>
      <c r="N574" s="82">
        <v>0.17047783484465401</v>
      </c>
    </row>
    <row r="575" spans="1:14" ht="14.25" hidden="1" customHeight="1">
      <c r="A575" s="78">
        <v>2025</v>
      </c>
      <c r="B575" s="78">
        <v>10</v>
      </c>
      <c r="C575" s="79" t="s">
        <v>192</v>
      </c>
      <c r="D575" s="78" t="s">
        <v>60</v>
      </c>
      <c r="E575" s="80" t="s">
        <v>61</v>
      </c>
      <c r="F575" s="78" t="str">
        <f>VLOOKUP('표1'!$E575,구분!$C$3:$D$72,2,0)</f>
        <v>동일</v>
      </c>
      <c r="G575" s="81">
        <v>45413120</v>
      </c>
      <c r="H575" s="81">
        <v>31497600</v>
      </c>
      <c r="I575" s="81">
        <v>28634182</v>
      </c>
      <c r="J575" s="81">
        <v>14005096</v>
      </c>
      <c r="K575" s="81">
        <v>14629086</v>
      </c>
      <c r="L575" s="81">
        <v>5339540</v>
      </c>
      <c r="M575" s="81">
        <v>9289546</v>
      </c>
      <c r="N575" s="82">
        <v>0.20455643655401801</v>
      </c>
    </row>
    <row r="576" spans="1:14" ht="14.25" hidden="1" customHeight="1">
      <c r="A576" s="78">
        <v>2025</v>
      </c>
      <c r="B576" s="78">
        <v>10</v>
      </c>
      <c r="C576" s="79" t="s">
        <v>192</v>
      </c>
      <c r="D576" s="78" t="s">
        <v>62</v>
      </c>
      <c r="E576" s="80" t="s">
        <v>63</v>
      </c>
      <c r="F576" s="78" t="str">
        <f>VLOOKUP('표1'!$E576,구분!$C$3:$D$72,2,0)</f>
        <v>동일</v>
      </c>
      <c r="G576" s="81">
        <v>81313910</v>
      </c>
      <c r="H576" s="81">
        <v>60641980</v>
      </c>
      <c r="I576" s="81">
        <v>55129073</v>
      </c>
      <c r="J576" s="81">
        <v>24281730</v>
      </c>
      <c r="K576" s="81">
        <v>30847343</v>
      </c>
      <c r="L576" s="81">
        <v>11941810</v>
      </c>
      <c r="M576" s="81">
        <v>18905533</v>
      </c>
      <c r="N576" s="82">
        <v>0.23250060168057399</v>
      </c>
    </row>
    <row r="577" spans="1:14" ht="14.25" hidden="1" customHeight="1">
      <c r="A577" s="78">
        <v>2025</v>
      </c>
      <c r="B577" s="78">
        <v>10</v>
      </c>
      <c r="C577" s="79" t="s">
        <v>192</v>
      </c>
      <c r="D577" s="78" t="s">
        <v>64</v>
      </c>
      <c r="E577" s="80" t="s">
        <v>65</v>
      </c>
      <c r="F577" s="78" t="str">
        <f>VLOOKUP('표1'!$E577,구분!$C$3:$D$72,2,0)</f>
        <v>동일</v>
      </c>
      <c r="G577" s="81">
        <v>48227570</v>
      </c>
      <c r="H577" s="81">
        <v>35490945</v>
      </c>
      <c r="I577" s="81">
        <v>32264495</v>
      </c>
      <c r="J577" s="81">
        <v>14518957</v>
      </c>
      <c r="K577" s="81">
        <v>17745538</v>
      </c>
      <c r="L577" s="81">
        <v>5346920</v>
      </c>
      <c r="M577" s="81">
        <v>12398618</v>
      </c>
      <c r="N577" s="82">
        <v>0.25708568770933299</v>
      </c>
    </row>
    <row r="578" spans="1:14" ht="14.25" hidden="1" customHeight="1">
      <c r="A578" s="78">
        <v>2025</v>
      </c>
      <c r="B578" s="78">
        <v>10</v>
      </c>
      <c r="C578" s="79" t="s">
        <v>192</v>
      </c>
      <c r="D578" s="78" t="s">
        <v>66</v>
      </c>
      <c r="E578" s="80" t="s">
        <v>67</v>
      </c>
      <c r="F578" s="78" t="str">
        <f>VLOOKUP('표1'!$E578,구분!$C$3:$D$72,2,0)</f>
        <v>동일</v>
      </c>
      <c r="G578" s="81">
        <v>46731690</v>
      </c>
      <c r="H578" s="81">
        <v>33580568</v>
      </c>
      <c r="I578" s="81">
        <v>30527789</v>
      </c>
      <c r="J578" s="81">
        <v>16334808</v>
      </c>
      <c r="K578" s="81">
        <v>14192981</v>
      </c>
      <c r="L578" s="81">
        <v>6226580</v>
      </c>
      <c r="M578" s="81">
        <v>7966401</v>
      </c>
      <c r="N578" s="82">
        <v>0.170471065779988</v>
      </c>
    </row>
    <row r="579" spans="1:14" ht="14.25" hidden="1" customHeight="1">
      <c r="A579" s="78">
        <v>2025</v>
      </c>
      <c r="B579" s="78">
        <v>10</v>
      </c>
      <c r="C579" s="79" t="s">
        <v>192</v>
      </c>
      <c r="D579" s="78" t="s">
        <v>68</v>
      </c>
      <c r="E579" s="80" t="s">
        <v>69</v>
      </c>
      <c r="F579" s="78" t="str">
        <f>VLOOKUP('표1'!$E579,구분!$C$3:$D$72,2,0)</f>
        <v>동일</v>
      </c>
      <c r="G579" s="81">
        <v>71008590</v>
      </c>
      <c r="H579" s="81">
        <v>47030926</v>
      </c>
      <c r="I579" s="81">
        <v>42755387</v>
      </c>
      <c r="J579" s="81">
        <v>22110605</v>
      </c>
      <c r="K579" s="81">
        <v>20644782</v>
      </c>
      <c r="L579" s="81">
        <v>9446650</v>
      </c>
      <c r="M579" s="81">
        <v>11198132</v>
      </c>
      <c r="N579" s="82">
        <v>0.15770108940340899</v>
      </c>
    </row>
    <row r="580" spans="1:14" ht="14.25" hidden="1" customHeight="1">
      <c r="A580" s="78">
        <v>2025</v>
      </c>
      <c r="B580" s="78">
        <v>10</v>
      </c>
      <c r="C580" s="79" t="s">
        <v>192</v>
      </c>
      <c r="D580" s="78" t="s">
        <v>70</v>
      </c>
      <c r="E580" s="80" t="s">
        <v>71</v>
      </c>
      <c r="F580" s="78" t="str">
        <f>VLOOKUP('표1'!$E580,구분!$C$3:$D$72,2,0)</f>
        <v>동일</v>
      </c>
      <c r="G580" s="81">
        <v>49267580</v>
      </c>
      <c r="H580" s="81">
        <v>35975133</v>
      </c>
      <c r="I580" s="81">
        <v>32704666</v>
      </c>
      <c r="J580" s="81">
        <v>15052819</v>
      </c>
      <c r="K580" s="81">
        <v>17651847</v>
      </c>
      <c r="L580" s="81">
        <v>5822240</v>
      </c>
      <c r="M580" s="81">
        <v>11829607</v>
      </c>
      <c r="N580" s="82">
        <v>0.24010935791853399</v>
      </c>
    </row>
    <row r="581" spans="1:14" ht="14.25" hidden="1" customHeight="1">
      <c r="A581" s="78">
        <v>2025</v>
      </c>
      <c r="B581" s="78">
        <v>10</v>
      </c>
      <c r="C581" s="79" t="s">
        <v>192</v>
      </c>
      <c r="D581" s="78" t="s">
        <v>72</v>
      </c>
      <c r="E581" s="80" t="s">
        <v>73</v>
      </c>
      <c r="F581" s="78" t="str">
        <f>VLOOKUP('표1'!$E581,구분!$C$3:$D$72,2,0)</f>
        <v>동일</v>
      </c>
      <c r="G581" s="81">
        <v>24545650</v>
      </c>
      <c r="H581" s="81">
        <v>17442436</v>
      </c>
      <c r="I581" s="81">
        <v>15856760</v>
      </c>
      <c r="J581" s="81">
        <v>8348750</v>
      </c>
      <c r="K581" s="81">
        <v>7508010</v>
      </c>
      <c r="L581" s="81">
        <v>4783050</v>
      </c>
      <c r="M581" s="81">
        <v>2724960</v>
      </c>
      <c r="N581" s="82">
        <v>0.111016004872554</v>
      </c>
    </row>
    <row r="582" spans="1:14" ht="14.25" hidden="1" customHeight="1">
      <c r="A582" s="78">
        <v>2025</v>
      </c>
      <c r="B582" s="78">
        <v>10</v>
      </c>
      <c r="C582" s="79" t="s">
        <v>192</v>
      </c>
      <c r="D582" s="78" t="s">
        <v>74</v>
      </c>
      <c r="E582" s="80" t="s">
        <v>75</v>
      </c>
      <c r="F582" s="78" t="str">
        <f>VLOOKUP('표1'!$E582,구분!$C$3:$D$72,2,0)</f>
        <v>동일</v>
      </c>
      <c r="G582" s="81">
        <v>47632190</v>
      </c>
      <c r="H582" s="81">
        <v>32235109</v>
      </c>
      <c r="I582" s="81">
        <v>29304645</v>
      </c>
      <c r="J582" s="81">
        <v>14326868</v>
      </c>
      <c r="K582" s="81">
        <v>14977777</v>
      </c>
      <c r="L582" s="81">
        <v>5720740</v>
      </c>
      <c r="M582" s="81">
        <v>9257037</v>
      </c>
      <c r="N582" s="82">
        <v>0.19434413996081201</v>
      </c>
    </row>
    <row r="583" spans="1:14" ht="14.25" hidden="1" customHeight="1">
      <c r="A583" s="78">
        <v>2025</v>
      </c>
      <c r="B583" s="78">
        <v>10</v>
      </c>
      <c r="C583" s="79" t="s">
        <v>192</v>
      </c>
      <c r="D583" s="78" t="s">
        <v>76</v>
      </c>
      <c r="E583" s="80" t="s">
        <v>77</v>
      </c>
      <c r="F583" s="78" t="str">
        <f>VLOOKUP('표1'!$E583,구분!$C$3:$D$72,2,0)</f>
        <v>동일</v>
      </c>
      <c r="G583" s="81">
        <v>53891630</v>
      </c>
      <c r="H583" s="81">
        <v>36990305</v>
      </c>
      <c r="I583" s="81">
        <v>33627550</v>
      </c>
      <c r="J583" s="81">
        <v>17532202</v>
      </c>
      <c r="K583" s="81">
        <v>16095348</v>
      </c>
      <c r="L583" s="81">
        <v>8101220</v>
      </c>
      <c r="M583" s="81">
        <v>7994128</v>
      </c>
      <c r="N583" s="82">
        <v>0.14833709798720099</v>
      </c>
    </row>
    <row r="584" spans="1:14" ht="14.25" hidden="1" customHeight="1">
      <c r="A584" s="78">
        <v>2025</v>
      </c>
      <c r="B584" s="78">
        <v>10</v>
      </c>
      <c r="C584" s="79" t="s">
        <v>192</v>
      </c>
      <c r="D584" s="78" t="s">
        <v>78</v>
      </c>
      <c r="E584" s="80" t="s">
        <v>79</v>
      </c>
      <c r="F584" s="78" t="str">
        <f>VLOOKUP('표1'!$E584,구분!$C$3:$D$72,2,0)</f>
        <v>동일</v>
      </c>
      <c r="G584" s="81">
        <v>93419760</v>
      </c>
      <c r="H584" s="81">
        <v>65361766</v>
      </c>
      <c r="I584" s="81">
        <v>59419787</v>
      </c>
      <c r="J584" s="81">
        <v>28382550</v>
      </c>
      <c r="K584" s="81">
        <v>31037237</v>
      </c>
      <c r="L584" s="81">
        <v>9438895</v>
      </c>
      <c r="M584" s="81">
        <v>21598342</v>
      </c>
      <c r="N584" s="82">
        <v>0.23119671898108099</v>
      </c>
    </row>
    <row r="585" spans="1:14" ht="14.25" hidden="1" customHeight="1">
      <c r="A585" s="78">
        <v>2025</v>
      </c>
      <c r="B585" s="78">
        <v>10</v>
      </c>
      <c r="C585" s="79" t="s">
        <v>192</v>
      </c>
      <c r="D585" s="78" t="s">
        <v>80</v>
      </c>
      <c r="E585" s="80" t="s">
        <v>81</v>
      </c>
      <c r="F585" s="78" t="str">
        <f>VLOOKUP('표1'!$E585,구분!$C$3:$D$72,2,0)</f>
        <v>동일</v>
      </c>
      <c r="G585" s="81">
        <v>106853040</v>
      </c>
      <c r="H585" s="81">
        <v>79579771</v>
      </c>
      <c r="I585" s="81">
        <v>72345246</v>
      </c>
      <c r="J585" s="81">
        <v>33959267</v>
      </c>
      <c r="K585" s="81">
        <v>38385979</v>
      </c>
      <c r="L585" s="81">
        <v>15127210</v>
      </c>
      <c r="M585" s="81">
        <v>23258769</v>
      </c>
      <c r="N585" s="82">
        <v>0.21767063435911599</v>
      </c>
    </row>
    <row r="586" spans="1:14" ht="14.25" hidden="1" customHeight="1">
      <c r="A586" s="78">
        <v>2025</v>
      </c>
      <c r="B586" s="78">
        <v>10</v>
      </c>
      <c r="C586" s="79" t="s">
        <v>192</v>
      </c>
      <c r="D586" s="78" t="s">
        <v>82</v>
      </c>
      <c r="E586" s="80" t="s">
        <v>83</v>
      </c>
      <c r="F586" s="78" t="str">
        <f>VLOOKUP('표1'!$E586,구분!$C$3:$D$72,2,0)</f>
        <v>동일</v>
      </c>
      <c r="G586" s="81">
        <v>53903010</v>
      </c>
      <c r="H586" s="81">
        <v>36060032</v>
      </c>
      <c r="I586" s="81">
        <v>32781847</v>
      </c>
      <c r="J586" s="81">
        <v>17316130</v>
      </c>
      <c r="K586" s="81">
        <v>15465717</v>
      </c>
      <c r="L586" s="81">
        <v>6582930</v>
      </c>
      <c r="M586" s="81">
        <v>8882787</v>
      </c>
      <c r="N586" s="82">
        <v>0.164792040370287</v>
      </c>
    </row>
    <row r="587" spans="1:14" ht="14.25" hidden="1" customHeight="1">
      <c r="A587" s="78">
        <v>2025</v>
      </c>
      <c r="B587" s="78">
        <v>10</v>
      </c>
      <c r="C587" s="79" t="s">
        <v>192</v>
      </c>
      <c r="D587" s="78" t="s">
        <v>84</v>
      </c>
      <c r="E587" s="80" t="s">
        <v>85</v>
      </c>
      <c r="F587" s="78" t="str">
        <f>VLOOKUP('표1'!$E587,구분!$C$3:$D$72,2,0)</f>
        <v>동일</v>
      </c>
      <c r="G587" s="81">
        <v>49688020</v>
      </c>
      <c r="H587" s="81">
        <v>34330762</v>
      </c>
      <c r="I587" s="81">
        <v>31209784</v>
      </c>
      <c r="J587" s="81">
        <v>14178418</v>
      </c>
      <c r="K587" s="81">
        <v>17031366</v>
      </c>
      <c r="L587" s="81">
        <v>7146320</v>
      </c>
      <c r="M587" s="81">
        <v>9885046</v>
      </c>
      <c r="N587" s="82">
        <v>0.19894224000070801</v>
      </c>
    </row>
    <row r="588" spans="1:14" ht="14.25" hidden="1" customHeight="1">
      <c r="A588" s="78">
        <v>2025</v>
      </c>
      <c r="B588" s="78">
        <v>10</v>
      </c>
      <c r="C588" s="79" t="s">
        <v>192</v>
      </c>
      <c r="D588" s="78" t="s">
        <v>86</v>
      </c>
      <c r="E588" s="80" t="s">
        <v>87</v>
      </c>
      <c r="F588" s="78" t="str">
        <f>VLOOKUP('표1'!$E588,구분!$C$3:$D$72,2,0)</f>
        <v>동일</v>
      </c>
      <c r="G588" s="81">
        <v>32159400</v>
      </c>
      <c r="H588" s="81">
        <v>21703133</v>
      </c>
      <c r="I588" s="81">
        <v>19730121</v>
      </c>
      <c r="J588" s="81">
        <v>9498400</v>
      </c>
      <c r="K588" s="81">
        <v>10231721</v>
      </c>
      <c r="L588" s="81">
        <v>5825650</v>
      </c>
      <c r="M588" s="81">
        <v>4406071</v>
      </c>
      <c r="N588" s="82">
        <v>0.137007251379068</v>
      </c>
    </row>
    <row r="589" spans="1:14" ht="14.25" hidden="1" customHeight="1">
      <c r="A589" s="78">
        <v>2025</v>
      </c>
      <c r="B589" s="78">
        <v>10</v>
      </c>
      <c r="C589" s="79" t="s">
        <v>192</v>
      </c>
      <c r="D589" s="78" t="s">
        <v>88</v>
      </c>
      <c r="E589" s="80" t="s">
        <v>89</v>
      </c>
      <c r="F589" s="78" t="str">
        <f>VLOOKUP('표1'!$E589,구분!$C$3:$D$72,2,0)</f>
        <v>동일</v>
      </c>
      <c r="G589" s="81">
        <v>40807950</v>
      </c>
      <c r="H589" s="81">
        <v>28715583</v>
      </c>
      <c r="I589" s="81">
        <v>26105075</v>
      </c>
      <c r="J589" s="81">
        <v>13101720</v>
      </c>
      <c r="K589" s="81">
        <v>13003355</v>
      </c>
      <c r="L589" s="81">
        <v>6795190</v>
      </c>
      <c r="M589" s="81">
        <v>6208165</v>
      </c>
      <c r="N589" s="82">
        <v>0.15213126363858001</v>
      </c>
    </row>
    <row r="590" spans="1:14" ht="14.25" hidden="1" customHeight="1">
      <c r="A590" s="78">
        <v>2025</v>
      </c>
      <c r="B590" s="78">
        <v>10</v>
      </c>
      <c r="C590" s="79" t="s">
        <v>192</v>
      </c>
      <c r="D590" s="78" t="s">
        <v>90</v>
      </c>
      <c r="E590" s="80" t="s">
        <v>91</v>
      </c>
      <c r="F590" s="78" t="str">
        <f>VLOOKUP('표1'!$E590,구분!$C$3:$D$72,2,0)</f>
        <v>동일</v>
      </c>
      <c r="G590" s="81">
        <v>42113450</v>
      </c>
      <c r="H590" s="81">
        <v>30903524</v>
      </c>
      <c r="I590" s="81">
        <v>28094113</v>
      </c>
      <c r="J590" s="81">
        <v>13742015</v>
      </c>
      <c r="K590" s="81">
        <v>14352098</v>
      </c>
      <c r="L590" s="81">
        <v>5719930</v>
      </c>
      <c r="M590" s="81">
        <v>8632168</v>
      </c>
      <c r="N590" s="82">
        <v>0.20497413534156</v>
      </c>
    </row>
    <row r="591" spans="1:14" ht="14.25" hidden="1" customHeight="1">
      <c r="A591" s="78">
        <v>2025</v>
      </c>
      <c r="B591" s="78">
        <v>10</v>
      </c>
      <c r="C591" s="79" t="s">
        <v>192</v>
      </c>
      <c r="D591" s="78" t="s">
        <v>92</v>
      </c>
      <c r="E591" s="80" t="s">
        <v>93</v>
      </c>
      <c r="F591" s="78" t="str">
        <f>VLOOKUP('표1'!$E591,구분!$C$3:$D$72,2,0)</f>
        <v>동일</v>
      </c>
      <c r="G591" s="81">
        <v>43222080</v>
      </c>
      <c r="H591" s="81">
        <v>29104244</v>
      </c>
      <c r="I591" s="81">
        <v>26458404</v>
      </c>
      <c r="J591" s="81">
        <v>13312143</v>
      </c>
      <c r="K591" s="81">
        <v>13146261</v>
      </c>
      <c r="L591" s="81">
        <v>6214980</v>
      </c>
      <c r="M591" s="81">
        <v>6931281</v>
      </c>
      <c r="N591" s="82">
        <v>0.160364355440553</v>
      </c>
    </row>
    <row r="592" spans="1:14" ht="14.25" hidden="1" customHeight="1">
      <c r="A592" s="78">
        <v>2025</v>
      </c>
      <c r="B592" s="78">
        <v>10</v>
      </c>
      <c r="C592" s="79" t="s">
        <v>192</v>
      </c>
      <c r="D592" s="78" t="s">
        <v>94</v>
      </c>
      <c r="E592" s="80" t="s">
        <v>95</v>
      </c>
      <c r="F592" s="78" t="str">
        <f>VLOOKUP('표1'!$E592,구분!$C$3:$D$72,2,0)</f>
        <v>폐점</v>
      </c>
      <c r="G592" s="81">
        <v>77954550</v>
      </c>
      <c r="H592" s="81">
        <v>52634908</v>
      </c>
      <c r="I592" s="81">
        <v>47849916</v>
      </c>
      <c r="J592" s="81">
        <v>24834549</v>
      </c>
      <c r="K592" s="81">
        <v>23015367</v>
      </c>
      <c r="L592" s="81">
        <v>7206910</v>
      </c>
      <c r="M592" s="81">
        <v>15808457</v>
      </c>
      <c r="N592" s="82">
        <v>0.20279069021628601</v>
      </c>
    </row>
    <row r="593" spans="1:14" ht="14.25" hidden="1" customHeight="1">
      <c r="A593" s="78">
        <v>2025</v>
      </c>
      <c r="B593" s="78">
        <v>10</v>
      </c>
      <c r="C593" s="79" t="s">
        <v>192</v>
      </c>
      <c r="D593" s="78" t="s">
        <v>96</v>
      </c>
      <c r="E593" s="80" t="s">
        <v>97</v>
      </c>
      <c r="F593" s="78" t="str">
        <f>VLOOKUP('표1'!$E593,구분!$C$3:$D$72,2,0)</f>
        <v>동일</v>
      </c>
      <c r="G593" s="81">
        <v>107815250</v>
      </c>
      <c r="H593" s="81">
        <v>77612065</v>
      </c>
      <c r="I593" s="81">
        <v>70556423</v>
      </c>
      <c r="J593" s="81">
        <v>33199831</v>
      </c>
      <c r="K593" s="81">
        <v>37356592</v>
      </c>
      <c r="L593" s="81">
        <v>10850490</v>
      </c>
      <c r="M593" s="81">
        <v>26506102</v>
      </c>
      <c r="N593" s="82">
        <v>0.24584742881920699</v>
      </c>
    </row>
    <row r="594" spans="1:14" ht="14.25" hidden="1" customHeight="1">
      <c r="A594" s="78">
        <v>2025</v>
      </c>
      <c r="B594" s="78">
        <v>10</v>
      </c>
      <c r="C594" s="79" t="s">
        <v>192</v>
      </c>
      <c r="D594" s="78" t="s">
        <v>98</v>
      </c>
      <c r="E594" s="80" t="s">
        <v>99</v>
      </c>
      <c r="F594" s="78" t="str">
        <f>VLOOKUP('표1'!$E594,구분!$C$3:$D$72,2,0)</f>
        <v>동일</v>
      </c>
      <c r="G594" s="81">
        <v>73578150</v>
      </c>
      <c r="H594" s="81">
        <v>52274457</v>
      </c>
      <c r="I594" s="81">
        <v>47522234</v>
      </c>
      <c r="J594" s="81">
        <v>22773747</v>
      </c>
      <c r="K594" s="81">
        <v>24748487</v>
      </c>
      <c r="L594" s="81">
        <v>8643450</v>
      </c>
      <c r="M594" s="81">
        <v>16105037</v>
      </c>
      <c r="N594" s="82">
        <v>0.218883418514872</v>
      </c>
    </row>
    <row r="595" spans="1:14" ht="14.25" hidden="1" customHeight="1">
      <c r="A595" s="78">
        <v>2025</v>
      </c>
      <c r="B595" s="78">
        <v>10</v>
      </c>
      <c r="C595" s="79" t="s">
        <v>192</v>
      </c>
      <c r="D595" s="78" t="s">
        <v>100</v>
      </c>
      <c r="E595" s="80" t="s">
        <v>101</v>
      </c>
      <c r="F595" s="78" t="str">
        <f>VLOOKUP('표1'!$E595,구분!$C$3:$D$72,2,0)</f>
        <v>동일</v>
      </c>
      <c r="G595" s="81">
        <v>128347070</v>
      </c>
      <c r="H595" s="81">
        <v>83891480</v>
      </c>
      <c r="I595" s="81">
        <v>76264982</v>
      </c>
      <c r="J595" s="81">
        <v>39986561</v>
      </c>
      <c r="K595" s="81">
        <v>36278421</v>
      </c>
      <c r="L595" s="81">
        <v>18611250</v>
      </c>
      <c r="M595" s="81">
        <v>17667171</v>
      </c>
      <c r="N595" s="82">
        <v>0.13765153345534101</v>
      </c>
    </row>
    <row r="596" spans="1:14" ht="14.25" hidden="1" customHeight="1">
      <c r="A596" s="78">
        <v>2025</v>
      </c>
      <c r="B596" s="78">
        <v>10</v>
      </c>
      <c r="C596" s="79" t="s">
        <v>192</v>
      </c>
      <c r="D596" s="78" t="s">
        <v>102</v>
      </c>
      <c r="E596" s="80" t="s">
        <v>103</v>
      </c>
      <c r="F596" s="78" t="str">
        <f>VLOOKUP('표1'!$E596,구분!$C$3:$D$72,2,0)</f>
        <v>동일</v>
      </c>
      <c r="G596" s="81">
        <v>114424020</v>
      </c>
      <c r="H596" s="81">
        <v>73020328</v>
      </c>
      <c r="I596" s="81">
        <v>66382116</v>
      </c>
      <c r="J596" s="81">
        <v>34109567</v>
      </c>
      <c r="K596" s="81">
        <v>32272549</v>
      </c>
      <c r="L596" s="81">
        <v>9551000</v>
      </c>
      <c r="M596" s="81">
        <v>22721549</v>
      </c>
      <c r="N596" s="82">
        <v>0.19857324537278101</v>
      </c>
    </row>
    <row r="597" spans="1:14" ht="14.25" hidden="1" customHeight="1">
      <c r="A597" s="78">
        <v>2025</v>
      </c>
      <c r="B597" s="78">
        <v>10</v>
      </c>
      <c r="C597" s="79" t="s">
        <v>192</v>
      </c>
      <c r="D597" s="78" t="s">
        <v>104</v>
      </c>
      <c r="E597" s="80" t="s">
        <v>105</v>
      </c>
      <c r="F597" s="78" t="str">
        <f>VLOOKUP('표1'!$E597,구분!$C$3:$D$72,2,0)</f>
        <v>동일</v>
      </c>
      <c r="G597" s="81">
        <v>45642200</v>
      </c>
      <c r="H597" s="81">
        <v>28981142</v>
      </c>
      <c r="I597" s="81">
        <v>26346493</v>
      </c>
      <c r="J597" s="81">
        <v>14409982</v>
      </c>
      <c r="K597" s="81">
        <v>11936511</v>
      </c>
      <c r="L597" s="81">
        <v>7699490</v>
      </c>
      <c r="M597" s="81">
        <v>4237021</v>
      </c>
      <c r="N597" s="82">
        <v>9.2831217601254998E-2</v>
      </c>
    </row>
    <row r="598" spans="1:14" ht="14.25" hidden="1" customHeight="1">
      <c r="A598" s="78">
        <v>2025</v>
      </c>
      <c r="B598" s="78">
        <v>10</v>
      </c>
      <c r="C598" s="79" t="s">
        <v>192</v>
      </c>
      <c r="D598" s="78" t="s">
        <v>106</v>
      </c>
      <c r="E598" s="80" t="s">
        <v>107</v>
      </c>
      <c r="F598" s="78" t="str">
        <f>VLOOKUP('표1'!$E598,구분!$C$3:$D$72,2,0)</f>
        <v>폐점</v>
      </c>
      <c r="G598" s="81">
        <v>58857150</v>
      </c>
      <c r="H598" s="81">
        <v>37179704</v>
      </c>
      <c r="I598" s="81">
        <v>33799731</v>
      </c>
      <c r="J598" s="81">
        <v>17626242</v>
      </c>
      <c r="K598" s="81">
        <v>16173489</v>
      </c>
      <c r="L598" s="81">
        <v>7466920</v>
      </c>
      <c r="M598" s="81">
        <v>8706569</v>
      </c>
      <c r="N598" s="82">
        <v>0.14792712525156301</v>
      </c>
    </row>
    <row r="599" spans="1:14" ht="14.25" hidden="1" customHeight="1">
      <c r="A599" s="78">
        <v>2025</v>
      </c>
      <c r="B599" s="78">
        <v>10</v>
      </c>
      <c r="C599" s="79" t="s">
        <v>192</v>
      </c>
      <c r="D599" s="78" t="s">
        <v>108</v>
      </c>
      <c r="E599" s="80" t="s">
        <v>109</v>
      </c>
      <c r="F599" s="78" t="str">
        <f>VLOOKUP('표1'!$E599,구분!$C$3:$D$72,2,0)</f>
        <v>동일</v>
      </c>
      <c r="G599" s="81">
        <v>58513850</v>
      </c>
      <c r="H599" s="81">
        <v>36286337</v>
      </c>
      <c r="I599" s="81">
        <v>32987579</v>
      </c>
      <c r="J599" s="81">
        <v>16941025</v>
      </c>
      <c r="K599" s="81">
        <v>16046554</v>
      </c>
      <c r="L599" s="81">
        <v>6186390</v>
      </c>
      <c r="M599" s="81">
        <v>9860164</v>
      </c>
      <c r="N599" s="82">
        <v>0.16850991688292599</v>
      </c>
    </row>
    <row r="600" spans="1:14" ht="14.25" hidden="1" customHeight="1">
      <c r="A600" s="78">
        <v>2025</v>
      </c>
      <c r="B600" s="78">
        <v>10</v>
      </c>
      <c r="C600" s="79" t="s">
        <v>192</v>
      </c>
      <c r="D600" s="78" t="s">
        <v>187</v>
      </c>
      <c r="E600" s="80" t="s">
        <v>188</v>
      </c>
      <c r="F600" s="78" t="str">
        <f>VLOOKUP('표1'!$E600,구분!$C$3:$D$72,2,0)</f>
        <v>동일</v>
      </c>
      <c r="G600" s="81">
        <v>54251400</v>
      </c>
      <c r="H600" s="81">
        <v>34356349</v>
      </c>
      <c r="I600" s="81">
        <v>31233045</v>
      </c>
      <c r="J600" s="81">
        <v>16481357</v>
      </c>
      <c r="K600" s="81">
        <v>14751688</v>
      </c>
      <c r="L600" s="81">
        <v>6500160</v>
      </c>
      <c r="M600" s="81">
        <v>8251528</v>
      </c>
      <c r="N600" s="82">
        <v>0.152097973508518</v>
      </c>
    </row>
    <row r="601" spans="1:14" ht="14.25" hidden="1" customHeight="1">
      <c r="A601" s="78">
        <v>2025</v>
      </c>
      <c r="B601" s="78">
        <v>10</v>
      </c>
      <c r="C601" s="79" t="s">
        <v>192</v>
      </c>
      <c r="D601" s="78" t="s">
        <v>110</v>
      </c>
      <c r="E601" s="80" t="s">
        <v>111</v>
      </c>
      <c r="F601" s="78" t="str">
        <f>VLOOKUP('표1'!$E601,구분!$C$3:$D$72,2,0)</f>
        <v>동일</v>
      </c>
      <c r="G601" s="81">
        <v>104388620</v>
      </c>
      <c r="H601" s="81">
        <v>67404183</v>
      </c>
      <c r="I601" s="81">
        <v>61276530</v>
      </c>
      <c r="J601" s="81">
        <v>36224831</v>
      </c>
      <c r="K601" s="81">
        <v>25051699</v>
      </c>
      <c r="L601" s="81">
        <v>14528100</v>
      </c>
      <c r="M601" s="81">
        <v>10523599</v>
      </c>
      <c r="N601" s="82">
        <v>0.10081174557149999</v>
      </c>
    </row>
    <row r="602" spans="1:14" ht="14.25" hidden="1" customHeight="1">
      <c r="A602" s="78">
        <v>2025</v>
      </c>
      <c r="B602" s="78">
        <v>10</v>
      </c>
      <c r="C602" s="79" t="s">
        <v>192</v>
      </c>
      <c r="D602" s="78" t="s">
        <v>112</v>
      </c>
      <c r="E602" s="80" t="s">
        <v>113</v>
      </c>
      <c r="F602" s="78" t="str">
        <f>VLOOKUP('표1'!$E602,구분!$C$3:$D$72,2,0)</f>
        <v>동일</v>
      </c>
      <c r="G602" s="81">
        <v>61390860</v>
      </c>
      <c r="H602" s="81">
        <v>39377656</v>
      </c>
      <c r="I602" s="81">
        <v>35797869</v>
      </c>
      <c r="J602" s="81">
        <v>18944083</v>
      </c>
      <c r="K602" s="81">
        <v>16853786</v>
      </c>
      <c r="L602" s="81">
        <v>6526750</v>
      </c>
      <c r="M602" s="81">
        <v>10327036</v>
      </c>
      <c r="N602" s="82">
        <v>0.16821780962182301</v>
      </c>
    </row>
    <row r="603" spans="1:14" ht="14.25" hidden="1" customHeight="1">
      <c r="A603" s="78">
        <v>2025</v>
      </c>
      <c r="B603" s="78">
        <v>10</v>
      </c>
      <c r="C603" s="79" t="s">
        <v>192</v>
      </c>
      <c r="D603" s="78" t="s">
        <v>116</v>
      </c>
      <c r="E603" s="80" t="s">
        <v>117</v>
      </c>
      <c r="F603" s="78" t="str">
        <f>VLOOKUP('표1'!$E603,구분!$C$3:$D$72,2,0)</f>
        <v>동일</v>
      </c>
      <c r="G603" s="81">
        <v>37297450</v>
      </c>
      <c r="H603" s="81">
        <v>24338559</v>
      </c>
      <c r="I603" s="81">
        <v>22125963</v>
      </c>
      <c r="J603" s="81">
        <v>11531374</v>
      </c>
      <c r="K603" s="81">
        <v>10594589</v>
      </c>
      <c r="L603" s="81">
        <v>7392180</v>
      </c>
      <c r="M603" s="81">
        <v>3202409</v>
      </c>
      <c r="N603" s="82">
        <v>8.5861339045967003E-2</v>
      </c>
    </row>
    <row r="604" spans="1:14" ht="14.25" hidden="1" customHeight="1">
      <c r="A604" s="78">
        <v>2025</v>
      </c>
      <c r="B604" s="78">
        <v>10</v>
      </c>
      <c r="C604" s="79" t="s">
        <v>192</v>
      </c>
      <c r="D604" s="78" t="s">
        <v>118</v>
      </c>
      <c r="E604" s="80" t="s">
        <v>119</v>
      </c>
      <c r="F604" s="78" t="str">
        <f>VLOOKUP('표1'!$E604,구분!$C$3:$D$72,2,0)</f>
        <v>동일</v>
      </c>
      <c r="G604" s="81">
        <v>124697540</v>
      </c>
      <c r="H604" s="81">
        <v>80868246</v>
      </c>
      <c r="I604" s="81">
        <v>73516587</v>
      </c>
      <c r="J604" s="81">
        <v>36630153</v>
      </c>
      <c r="K604" s="81">
        <v>36886434</v>
      </c>
      <c r="L604" s="81">
        <v>17601310</v>
      </c>
      <c r="M604" s="81">
        <v>19285124</v>
      </c>
      <c r="N604" s="82">
        <v>0.15465520811396899</v>
      </c>
    </row>
    <row r="605" spans="1:14" ht="14.25" hidden="1" customHeight="1">
      <c r="A605" s="78">
        <v>2025</v>
      </c>
      <c r="B605" s="78">
        <v>10</v>
      </c>
      <c r="C605" s="79" t="s">
        <v>192</v>
      </c>
      <c r="D605" s="78" t="s">
        <v>180</v>
      </c>
      <c r="E605" s="80" t="s">
        <v>181</v>
      </c>
      <c r="F605" s="78" t="str">
        <f>VLOOKUP('표1'!$E605,구분!$C$3:$D$72,2,0)</f>
        <v>동일</v>
      </c>
      <c r="G605" s="81">
        <v>45848790</v>
      </c>
      <c r="H605" s="81">
        <v>29540975</v>
      </c>
      <c r="I605" s="81">
        <v>26855432</v>
      </c>
      <c r="J605" s="81">
        <v>14733906</v>
      </c>
      <c r="K605" s="81">
        <v>12121526</v>
      </c>
      <c r="L605" s="81">
        <v>6663430</v>
      </c>
      <c r="M605" s="81">
        <v>5458096</v>
      </c>
      <c r="N605" s="82">
        <v>0.119045584409098</v>
      </c>
    </row>
    <row r="606" spans="1:14" ht="14.25" hidden="1" customHeight="1">
      <c r="A606" s="78">
        <v>2025</v>
      </c>
      <c r="B606" s="78">
        <v>10</v>
      </c>
      <c r="C606" s="79" t="s">
        <v>192</v>
      </c>
      <c r="D606" s="78" t="s">
        <v>120</v>
      </c>
      <c r="E606" s="80" t="s">
        <v>121</v>
      </c>
      <c r="F606" s="78" t="str">
        <f>VLOOKUP('표1'!$E606,구분!$C$3:$D$72,2,0)</f>
        <v>동일</v>
      </c>
      <c r="G606" s="81">
        <v>103554760</v>
      </c>
      <c r="H606" s="81">
        <v>69771643</v>
      </c>
      <c r="I606" s="81">
        <v>63428766</v>
      </c>
      <c r="J606" s="81">
        <v>33125994</v>
      </c>
      <c r="K606" s="81">
        <v>30302772</v>
      </c>
      <c r="L606" s="81">
        <v>12386810</v>
      </c>
      <c r="M606" s="81">
        <v>17915962</v>
      </c>
      <c r="N606" s="82">
        <v>0.173009545867327</v>
      </c>
    </row>
    <row r="607" spans="1:14" ht="14.25" hidden="1" customHeight="1">
      <c r="A607" s="78">
        <v>2025</v>
      </c>
      <c r="B607" s="78">
        <v>10</v>
      </c>
      <c r="C607" s="79" t="s">
        <v>192</v>
      </c>
      <c r="D607" s="78" t="s">
        <v>122</v>
      </c>
      <c r="E607" s="80" t="s">
        <v>123</v>
      </c>
      <c r="F607" s="78" t="str">
        <f>VLOOKUP('표1'!$E607,구분!$C$3:$D$72,2,0)</f>
        <v>동일</v>
      </c>
      <c r="G607" s="81">
        <v>75611000</v>
      </c>
      <c r="H607" s="81">
        <v>48500699</v>
      </c>
      <c r="I607" s="81">
        <v>44091545</v>
      </c>
      <c r="J607" s="81">
        <v>22570324</v>
      </c>
      <c r="K607" s="81">
        <v>21521221</v>
      </c>
      <c r="L607" s="81">
        <v>13319080</v>
      </c>
      <c r="M607" s="81">
        <v>8202141</v>
      </c>
      <c r="N607" s="82">
        <v>0.108478144714393</v>
      </c>
    </row>
    <row r="608" spans="1:14" ht="14.25" hidden="1" customHeight="1">
      <c r="A608" s="78">
        <v>2025</v>
      </c>
      <c r="B608" s="78">
        <v>10</v>
      </c>
      <c r="C608" s="79" t="s">
        <v>192</v>
      </c>
      <c r="D608" s="78" t="s">
        <v>124</v>
      </c>
      <c r="E608" s="80" t="s">
        <v>125</v>
      </c>
      <c r="F608" s="78" t="str">
        <f>VLOOKUP('표1'!$E608,구분!$C$3:$D$72,2,0)</f>
        <v>동일</v>
      </c>
      <c r="G608" s="81">
        <v>115233490</v>
      </c>
      <c r="H608" s="81">
        <v>75733786</v>
      </c>
      <c r="I608" s="81">
        <v>68848896</v>
      </c>
      <c r="J608" s="81">
        <v>35998331</v>
      </c>
      <c r="K608" s="81">
        <v>32850565</v>
      </c>
      <c r="L608" s="81">
        <v>8708760</v>
      </c>
      <c r="M608" s="81">
        <v>24141805</v>
      </c>
      <c r="N608" s="82">
        <v>0.20950337440964401</v>
      </c>
    </row>
    <row r="609" spans="1:14" ht="14.25" hidden="1" customHeight="1">
      <c r="A609" s="78">
        <v>2025</v>
      </c>
      <c r="B609" s="78">
        <v>10</v>
      </c>
      <c r="C609" s="79" t="s">
        <v>192</v>
      </c>
      <c r="D609" s="78" t="s">
        <v>126</v>
      </c>
      <c r="E609" s="80" t="s">
        <v>127</v>
      </c>
      <c r="F609" s="78" t="str">
        <f>VLOOKUP('표1'!$E609,구분!$C$3:$D$72,2,0)</f>
        <v>동일</v>
      </c>
      <c r="G609" s="81">
        <v>116410670</v>
      </c>
      <c r="H609" s="81">
        <v>74592417</v>
      </c>
      <c r="I609" s="81">
        <v>67811288</v>
      </c>
      <c r="J609" s="81">
        <v>34399694</v>
      </c>
      <c r="K609" s="81">
        <v>33411594</v>
      </c>
      <c r="L609" s="81">
        <v>17462520</v>
      </c>
      <c r="M609" s="81">
        <v>15949074</v>
      </c>
      <c r="N609" s="82">
        <v>0.13700697710957299</v>
      </c>
    </row>
    <row r="610" spans="1:14" ht="14.25" customHeight="1">
      <c r="A610" s="78">
        <v>2025</v>
      </c>
      <c r="B610" s="78">
        <v>10</v>
      </c>
      <c r="C610" s="79" t="s">
        <v>192</v>
      </c>
      <c r="D610" s="78" t="s">
        <v>128</v>
      </c>
      <c r="E610" s="80" t="s">
        <v>129</v>
      </c>
      <c r="F610" s="78" t="str">
        <f>VLOOKUP('표1'!$E610,구분!$C$3:$D$72,2,0)</f>
        <v>동일</v>
      </c>
      <c r="G610" s="81">
        <v>123708160</v>
      </c>
      <c r="H610" s="81">
        <v>82995980</v>
      </c>
      <c r="I610" s="81">
        <v>75450891</v>
      </c>
      <c r="J610" s="81">
        <v>40218208</v>
      </c>
      <c r="K610" s="81">
        <v>35232683</v>
      </c>
      <c r="L610" s="81">
        <v>17928610</v>
      </c>
      <c r="M610" s="81">
        <v>17304073</v>
      </c>
      <c r="N610" s="82">
        <v>0.13987818588523199</v>
      </c>
    </row>
    <row r="611" spans="1:14" ht="14.25" hidden="1" customHeight="1">
      <c r="A611" s="78">
        <v>2025</v>
      </c>
      <c r="B611" s="78">
        <v>10</v>
      </c>
      <c r="C611" s="79" t="s">
        <v>192</v>
      </c>
      <c r="D611" s="78" t="s">
        <v>130</v>
      </c>
      <c r="E611" s="80" t="s">
        <v>131</v>
      </c>
      <c r="F611" s="78" t="str">
        <f>VLOOKUP('표1'!$E611,구분!$C$3:$D$72,2,0)</f>
        <v>동일</v>
      </c>
      <c r="G611" s="81">
        <v>79276040</v>
      </c>
      <c r="H611" s="81">
        <v>51594680</v>
      </c>
      <c r="I611" s="81">
        <v>46904255</v>
      </c>
      <c r="J611" s="81">
        <v>22984711</v>
      </c>
      <c r="K611" s="81">
        <v>23919544</v>
      </c>
      <c r="L611" s="81">
        <v>10243260</v>
      </c>
      <c r="M611" s="81">
        <v>13676284</v>
      </c>
      <c r="N611" s="82">
        <v>0.17251472197652701</v>
      </c>
    </row>
    <row r="612" spans="1:14" ht="14.25" hidden="1" customHeight="1">
      <c r="A612" s="78">
        <v>2025</v>
      </c>
      <c r="B612" s="78">
        <v>10</v>
      </c>
      <c r="C612" s="79" t="s">
        <v>192</v>
      </c>
      <c r="D612" s="78" t="s">
        <v>132</v>
      </c>
      <c r="E612" s="80" t="s">
        <v>133</v>
      </c>
      <c r="F612" s="78" t="str">
        <f>VLOOKUP('표1'!$E612,구분!$C$3:$D$72,2,0)</f>
        <v>동일</v>
      </c>
      <c r="G612" s="81">
        <v>42558500</v>
      </c>
      <c r="H612" s="81">
        <v>30757405</v>
      </c>
      <c r="I612" s="81">
        <v>27961277</v>
      </c>
      <c r="J612" s="81">
        <v>12590169</v>
      </c>
      <c r="K612" s="81">
        <v>15371108</v>
      </c>
      <c r="L612" s="81">
        <v>5145870</v>
      </c>
      <c r="M612" s="81">
        <v>10225238</v>
      </c>
      <c r="N612" s="82">
        <v>0.24026312017575799</v>
      </c>
    </row>
    <row r="613" spans="1:14" ht="14.25" hidden="1" customHeight="1">
      <c r="A613" s="78">
        <v>2025</v>
      </c>
      <c r="B613" s="78">
        <v>10</v>
      </c>
      <c r="C613" s="79" t="s">
        <v>192</v>
      </c>
      <c r="D613" s="78" t="s">
        <v>134</v>
      </c>
      <c r="E613" s="80" t="s">
        <v>135</v>
      </c>
      <c r="F613" s="78" t="str">
        <f>VLOOKUP('표1'!$E613,구분!$C$3:$D$72,2,0)</f>
        <v>동일</v>
      </c>
      <c r="G613" s="81">
        <v>63788550</v>
      </c>
      <c r="H613" s="81">
        <v>41892516</v>
      </c>
      <c r="I613" s="81">
        <v>38084105</v>
      </c>
      <c r="J613" s="81">
        <v>20257312</v>
      </c>
      <c r="K613" s="81">
        <v>17826793</v>
      </c>
      <c r="L613" s="81">
        <v>8687310</v>
      </c>
      <c r="M613" s="81">
        <v>9139483</v>
      </c>
      <c r="N613" s="82">
        <v>0.14327779828825099</v>
      </c>
    </row>
    <row r="614" spans="1:14" ht="14.25" hidden="1" customHeight="1">
      <c r="A614" s="78">
        <v>2025</v>
      </c>
      <c r="B614" s="78">
        <v>10</v>
      </c>
      <c r="C614" s="79" t="s">
        <v>192</v>
      </c>
      <c r="D614" s="78" t="s">
        <v>136</v>
      </c>
      <c r="E614" s="80" t="s">
        <v>137</v>
      </c>
      <c r="F614" s="78" t="str">
        <f>VLOOKUP('표1'!$E614,구분!$C$3:$D$72,2,0)</f>
        <v>동일</v>
      </c>
      <c r="G614" s="81">
        <v>61191970</v>
      </c>
      <c r="H614" s="81">
        <v>39242630</v>
      </c>
      <c r="I614" s="81">
        <v>35675118</v>
      </c>
      <c r="J614" s="81">
        <v>18596654</v>
      </c>
      <c r="K614" s="81">
        <v>17078464</v>
      </c>
      <c r="L614" s="81">
        <v>7015170</v>
      </c>
      <c r="M614" s="81">
        <v>10063294</v>
      </c>
      <c r="N614" s="82">
        <v>0.164454486430164</v>
      </c>
    </row>
    <row r="615" spans="1:14" ht="14.25" hidden="1" customHeight="1">
      <c r="A615" s="78">
        <v>2025</v>
      </c>
      <c r="B615" s="78">
        <v>10</v>
      </c>
      <c r="C615" s="79" t="s">
        <v>192</v>
      </c>
      <c r="D615" s="78" t="s">
        <v>138</v>
      </c>
      <c r="E615" s="80" t="s">
        <v>139</v>
      </c>
      <c r="F615" s="78" t="str">
        <f>VLOOKUP('표1'!$E615,구분!$C$3:$D$72,2,0)</f>
        <v>동일</v>
      </c>
      <c r="G615" s="81">
        <v>49633350</v>
      </c>
      <c r="H615" s="81">
        <v>33228562</v>
      </c>
      <c r="I615" s="81">
        <v>30207784</v>
      </c>
      <c r="J615" s="81">
        <v>14339857</v>
      </c>
      <c r="K615" s="81">
        <v>15867927</v>
      </c>
      <c r="L615" s="81">
        <v>5108240</v>
      </c>
      <c r="M615" s="81">
        <v>10759687</v>
      </c>
      <c r="N615" s="82">
        <v>0.21678341276581201</v>
      </c>
    </row>
    <row r="616" spans="1:14" ht="14.25" hidden="1" customHeight="1">
      <c r="A616" s="78">
        <v>2025</v>
      </c>
      <c r="B616" s="78">
        <v>10</v>
      </c>
      <c r="C616" s="79" t="s">
        <v>192</v>
      </c>
      <c r="D616" s="78" t="s">
        <v>140</v>
      </c>
      <c r="E616" s="80" t="s">
        <v>141</v>
      </c>
      <c r="F616" s="78" t="str">
        <f>VLOOKUP('표1'!$E616,구분!$C$3:$D$72,2,0)</f>
        <v>동일</v>
      </c>
      <c r="G616" s="81">
        <v>91760650</v>
      </c>
      <c r="H616" s="81">
        <v>59420875</v>
      </c>
      <c r="I616" s="81">
        <v>54018977</v>
      </c>
      <c r="J616" s="81">
        <v>28948312</v>
      </c>
      <c r="K616" s="81">
        <v>25070665</v>
      </c>
      <c r="L616" s="81">
        <v>12745900</v>
      </c>
      <c r="M616" s="81">
        <v>12324765</v>
      </c>
      <c r="N616" s="82">
        <v>0.134314273057133</v>
      </c>
    </row>
    <row r="617" spans="1:14" ht="14.25" hidden="1" customHeight="1">
      <c r="A617" s="78">
        <v>2025</v>
      </c>
      <c r="B617" s="78">
        <v>10</v>
      </c>
      <c r="C617" s="79" t="s">
        <v>192</v>
      </c>
      <c r="D617" s="78" t="s">
        <v>142</v>
      </c>
      <c r="E617" s="80" t="s">
        <v>143</v>
      </c>
      <c r="F617" s="78" t="str">
        <f>VLOOKUP('표1'!$E617,구분!$C$3:$D$72,2,0)</f>
        <v>동일</v>
      </c>
      <c r="G617" s="81">
        <v>53077230</v>
      </c>
      <c r="H617" s="81">
        <v>36714670</v>
      </c>
      <c r="I617" s="81">
        <v>33376973</v>
      </c>
      <c r="J617" s="81">
        <v>15082276</v>
      </c>
      <c r="K617" s="81">
        <v>18294697</v>
      </c>
      <c r="L617" s="81">
        <v>5301960</v>
      </c>
      <c r="M617" s="81">
        <v>12992737</v>
      </c>
      <c r="N617" s="82">
        <v>0.244789281580821</v>
      </c>
    </row>
    <row r="618" spans="1:14" ht="14.25" hidden="1" customHeight="1">
      <c r="A618" s="78">
        <v>2025</v>
      </c>
      <c r="B618" s="78">
        <v>10</v>
      </c>
      <c r="C618" s="79" t="s">
        <v>192</v>
      </c>
      <c r="D618" s="78" t="s">
        <v>144</v>
      </c>
      <c r="E618" s="80" t="s">
        <v>145</v>
      </c>
      <c r="F618" s="78" t="str">
        <f>VLOOKUP('표1'!$E618,구분!$C$3:$D$72,2,0)</f>
        <v>동일</v>
      </c>
      <c r="G618" s="81">
        <v>63635460</v>
      </c>
      <c r="H618" s="81">
        <v>40522986</v>
      </c>
      <c r="I618" s="81">
        <v>36839078</v>
      </c>
      <c r="J618" s="81">
        <v>18856965</v>
      </c>
      <c r="K618" s="81">
        <v>17982113</v>
      </c>
      <c r="L618" s="81">
        <v>7497610</v>
      </c>
      <c r="M618" s="81">
        <v>10484503</v>
      </c>
      <c r="N618" s="82">
        <v>0.16475881528946301</v>
      </c>
    </row>
    <row r="619" spans="1:14" ht="14.25" hidden="1" customHeight="1">
      <c r="A619" s="78">
        <v>2025</v>
      </c>
      <c r="B619" s="78">
        <v>10</v>
      </c>
      <c r="C619" s="79" t="s">
        <v>192</v>
      </c>
      <c r="D619" s="78" t="s">
        <v>146</v>
      </c>
      <c r="E619" s="80" t="s">
        <v>147</v>
      </c>
      <c r="F619" s="78" t="str">
        <f>VLOOKUP('표1'!$E619,구분!$C$3:$D$72,2,0)</f>
        <v>동일</v>
      </c>
      <c r="G619" s="81">
        <v>93960350</v>
      </c>
      <c r="H619" s="81">
        <v>59276437</v>
      </c>
      <c r="I619" s="81">
        <v>53887670</v>
      </c>
      <c r="J619" s="81">
        <v>27419910</v>
      </c>
      <c r="K619" s="81">
        <v>26467760</v>
      </c>
      <c r="L619" s="81">
        <v>10334540</v>
      </c>
      <c r="M619" s="81">
        <v>16133220</v>
      </c>
      <c r="N619" s="82">
        <v>0.171702425544392</v>
      </c>
    </row>
    <row r="620" spans="1:14" ht="14.25" hidden="1" customHeight="1">
      <c r="A620" s="78">
        <v>2025</v>
      </c>
      <c r="B620" s="78">
        <v>10</v>
      </c>
      <c r="C620" s="79" t="s">
        <v>192</v>
      </c>
      <c r="D620" s="78" t="s">
        <v>148</v>
      </c>
      <c r="E620" s="80" t="s">
        <v>149</v>
      </c>
      <c r="F620" s="78" t="str">
        <f>VLOOKUP('표1'!$E620,구분!$C$3:$D$72,2,0)</f>
        <v>동일</v>
      </c>
      <c r="G620" s="81">
        <v>31290470</v>
      </c>
      <c r="H620" s="81">
        <v>20727423</v>
      </c>
      <c r="I620" s="81">
        <v>18843112</v>
      </c>
      <c r="J620" s="81">
        <v>9202190</v>
      </c>
      <c r="K620" s="81">
        <v>9640922</v>
      </c>
      <c r="L620" s="81">
        <v>4732350</v>
      </c>
      <c r="M620" s="81">
        <v>4908572</v>
      </c>
      <c r="N620" s="82">
        <v>0.15687114958644</v>
      </c>
    </row>
    <row r="621" spans="1:14" ht="14.25" hidden="1" customHeight="1">
      <c r="A621" s="78">
        <v>2025</v>
      </c>
      <c r="B621" s="78">
        <v>10</v>
      </c>
      <c r="C621" s="79" t="s">
        <v>192</v>
      </c>
      <c r="D621" s="78" t="s">
        <v>150</v>
      </c>
      <c r="E621" s="80" t="s">
        <v>151</v>
      </c>
      <c r="F621" s="78" t="str">
        <f>VLOOKUP('표1'!$E621,구분!$C$3:$D$72,2,0)</f>
        <v>동일</v>
      </c>
      <c r="G621" s="81">
        <v>50005880</v>
      </c>
      <c r="H621" s="81">
        <v>33508065</v>
      </c>
      <c r="I621" s="81">
        <v>30461877</v>
      </c>
      <c r="J621" s="81">
        <v>14992129</v>
      </c>
      <c r="K621" s="81">
        <v>15469748</v>
      </c>
      <c r="L621" s="81">
        <v>6019015</v>
      </c>
      <c r="M621" s="81">
        <v>9450733</v>
      </c>
      <c r="N621" s="82">
        <v>0.18899243448970399</v>
      </c>
    </row>
    <row r="622" spans="1:14" ht="15" hidden="1" customHeight="1">
      <c r="A622" s="78">
        <v>2025</v>
      </c>
      <c r="B622" s="78">
        <v>10</v>
      </c>
      <c r="C622" s="79" t="s">
        <v>192</v>
      </c>
      <c r="D622" s="78" t="s">
        <v>152</v>
      </c>
      <c r="E622" s="78" t="s">
        <v>153</v>
      </c>
      <c r="F622" s="78" t="str">
        <f>VLOOKUP('표1'!$E622,구분!$C$3:$D$72,2,0)</f>
        <v>동일</v>
      </c>
      <c r="G622" s="81">
        <v>49411580</v>
      </c>
      <c r="H622" s="81">
        <v>31192043</v>
      </c>
      <c r="I622" s="81">
        <v>28356403</v>
      </c>
      <c r="J622" s="81">
        <v>14738129</v>
      </c>
      <c r="K622" s="81">
        <v>13618274</v>
      </c>
      <c r="L622" s="81">
        <v>6718660</v>
      </c>
      <c r="M622" s="81">
        <v>6899614</v>
      </c>
      <c r="N622" s="82">
        <v>0.139635567209144</v>
      </c>
    </row>
    <row r="623" spans="1:14" ht="15" hidden="1" customHeight="1">
      <c r="A623" s="78">
        <v>2025</v>
      </c>
      <c r="B623" s="78">
        <v>10</v>
      </c>
      <c r="C623" s="79" t="s">
        <v>192</v>
      </c>
      <c r="D623" s="78" t="s">
        <v>189</v>
      </c>
      <c r="E623" s="78" t="s">
        <v>190</v>
      </c>
      <c r="F623" s="78" t="str">
        <f>VLOOKUP('표1'!$E623,구분!$C$3:$D$72,2,0)</f>
        <v>동일</v>
      </c>
      <c r="G623" s="81">
        <v>40562320</v>
      </c>
      <c r="H623" s="81">
        <v>25898981</v>
      </c>
      <c r="I623" s="81">
        <v>23544528</v>
      </c>
      <c r="J623" s="81">
        <v>12606558</v>
      </c>
      <c r="K623" s="81">
        <v>10937970</v>
      </c>
      <c r="L623" s="81">
        <v>7247490</v>
      </c>
      <c r="M623" s="81">
        <v>3690480</v>
      </c>
      <c r="N623" s="82">
        <v>9.0982961526855505E-2</v>
      </c>
    </row>
    <row r="624" spans="1:14" ht="14.25" hidden="1" customHeight="1">
      <c r="A624" s="78">
        <v>2025</v>
      </c>
      <c r="B624" s="78">
        <v>10</v>
      </c>
      <c r="C624" s="79" t="s">
        <v>192</v>
      </c>
      <c r="D624" s="78" t="s">
        <v>154</v>
      </c>
      <c r="E624" s="80" t="s">
        <v>155</v>
      </c>
      <c r="F624" s="78" t="str">
        <f>VLOOKUP('표1'!$E624,구분!$C$3:$D$72,2,0)</f>
        <v>동일</v>
      </c>
      <c r="G624" s="81">
        <v>117347450</v>
      </c>
      <c r="H624" s="81">
        <v>75621027</v>
      </c>
      <c r="I624" s="81">
        <v>68746388</v>
      </c>
      <c r="J624" s="81">
        <v>34780287</v>
      </c>
      <c r="K624" s="81">
        <v>33966101</v>
      </c>
      <c r="L624" s="81">
        <v>18944840</v>
      </c>
      <c r="M624" s="81">
        <v>15021261</v>
      </c>
      <c r="N624" s="82">
        <v>0.128006709988159</v>
      </c>
    </row>
    <row r="625" spans="1:14" ht="14.25" hidden="1" customHeight="1">
      <c r="A625" s="78">
        <v>2025</v>
      </c>
      <c r="B625" s="78">
        <v>10</v>
      </c>
      <c r="C625" s="79" t="s">
        <v>192</v>
      </c>
      <c r="D625" s="78" t="s">
        <v>156</v>
      </c>
      <c r="E625" s="80" t="s">
        <v>157</v>
      </c>
      <c r="F625" s="78" t="str">
        <f>VLOOKUP('표1'!$E625,구분!$C$3:$D$72,2,0)</f>
        <v>동일</v>
      </c>
      <c r="G625" s="81">
        <v>87000830</v>
      </c>
      <c r="H625" s="81">
        <v>66555700</v>
      </c>
      <c r="I625" s="81">
        <v>60505182</v>
      </c>
      <c r="J625" s="81">
        <v>27228029</v>
      </c>
      <c r="K625" s="81">
        <v>33277153</v>
      </c>
      <c r="L625" s="81">
        <v>11746040</v>
      </c>
      <c r="M625" s="81">
        <v>21531113</v>
      </c>
      <c r="N625" s="82">
        <v>0.24748169643898801</v>
      </c>
    </row>
    <row r="626" spans="1:14" ht="14.25" hidden="1" customHeight="1">
      <c r="A626" s="78">
        <v>2025</v>
      </c>
      <c r="B626" s="78">
        <v>10</v>
      </c>
      <c r="C626" s="79" t="s">
        <v>192</v>
      </c>
      <c r="D626" s="78" t="s">
        <v>158</v>
      </c>
      <c r="E626" s="80" t="s">
        <v>159</v>
      </c>
      <c r="F626" s="78" t="str">
        <f>VLOOKUP('표1'!$E626,구분!$C$3:$D$72,2,0)</f>
        <v>동일</v>
      </c>
      <c r="G626" s="81">
        <v>67754680</v>
      </c>
      <c r="H626" s="81">
        <v>52171144</v>
      </c>
      <c r="I626" s="81">
        <v>47428313</v>
      </c>
      <c r="J626" s="81">
        <v>20697249</v>
      </c>
      <c r="K626" s="81">
        <v>26731064</v>
      </c>
      <c r="L626" s="81">
        <v>10841670</v>
      </c>
      <c r="M626" s="81">
        <v>15889394</v>
      </c>
      <c r="N626" s="82">
        <v>0.23451360112688899</v>
      </c>
    </row>
    <row r="627" spans="1:14" ht="14.25" hidden="1" customHeight="1">
      <c r="A627" s="78">
        <v>2025</v>
      </c>
      <c r="B627" s="78">
        <v>10</v>
      </c>
      <c r="C627" s="79" t="s">
        <v>192</v>
      </c>
      <c r="D627" s="78" t="s">
        <v>160</v>
      </c>
      <c r="E627" s="80" t="s">
        <v>161</v>
      </c>
      <c r="F627" s="78" t="str">
        <f>VLOOKUP('표1'!$E627,구분!$C$3:$D$72,2,0)</f>
        <v>동일</v>
      </c>
      <c r="G627" s="81">
        <v>50279250</v>
      </c>
      <c r="H627" s="81">
        <v>38463662</v>
      </c>
      <c r="I627" s="81">
        <v>34966965</v>
      </c>
      <c r="J627" s="81">
        <v>15864454</v>
      </c>
      <c r="K627" s="81">
        <v>19102511</v>
      </c>
      <c r="L627" s="81">
        <v>7590610</v>
      </c>
      <c r="M627" s="81">
        <v>11511901</v>
      </c>
      <c r="N627" s="82">
        <v>0.22895928240775301</v>
      </c>
    </row>
    <row r="628" spans="1:14" ht="14.25" hidden="1" customHeight="1">
      <c r="A628" s="78">
        <v>2025</v>
      </c>
      <c r="B628" s="78">
        <v>10</v>
      </c>
      <c r="C628" s="79" t="s">
        <v>192</v>
      </c>
      <c r="D628" s="78" t="s">
        <v>162</v>
      </c>
      <c r="E628" s="80" t="s">
        <v>163</v>
      </c>
      <c r="F628" s="78" t="str">
        <f>VLOOKUP('표1'!$E628,구분!$C$3:$D$72,2,0)</f>
        <v>동일</v>
      </c>
      <c r="G628" s="81">
        <v>30364690</v>
      </c>
      <c r="H628" s="81">
        <v>23380844</v>
      </c>
      <c r="I628" s="81">
        <v>21255313</v>
      </c>
      <c r="J628" s="81">
        <v>9601155</v>
      </c>
      <c r="K628" s="81">
        <v>11654158</v>
      </c>
      <c r="L628" s="81">
        <v>4996120</v>
      </c>
      <c r="M628" s="81">
        <v>6658038</v>
      </c>
      <c r="N628" s="82">
        <v>0.219269091830017</v>
      </c>
    </row>
    <row r="629" spans="1:14" ht="14.25" hidden="1" customHeight="1">
      <c r="A629" s="78">
        <v>2025</v>
      </c>
      <c r="B629" s="78">
        <v>10</v>
      </c>
      <c r="C629" s="79" t="s">
        <v>192</v>
      </c>
      <c r="D629" s="78" t="s">
        <v>164</v>
      </c>
      <c r="E629" s="80" t="s">
        <v>165</v>
      </c>
      <c r="F629" s="78" t="str">
        <f>VLOOKUP('표1'!$E629,구분!$C$3:$D$72,2,0)</f>
        <v>동일</v>
      </c>
      <c r="G629" s="81">
        <v>57793360</v>
      </c>
      <c r="H629" s="81">
        <v>44500935</v>
      </c>
      <c r="I629" s="81">
        <v>40455395</v>
      </c>
      <c r="J629" s="81">
        <v>18179211</v>
      </c>
      <c r="K629" s="81">
        <v>22276184</v>
      </c>
      <c r="L629" s="81">
        <v>8438240</v>
      </c>
      <c r="M629" s="81">
        <v>13837944</v>
      </c>
      <c r="N629" s="82">
        <v>0.23943830225479201</v>
      </c>
    </row>
    <row r="630" spans="1:14" ht="14.25" hidden="1" customHeight="1">
      <c r="A630" s="78">
        <v>2025</v>
      </c>
      <c r="B630" s="78">
        <v>10</v>
      </c>
      <c r="C630" s="79" t="s">
        <v>192</v>
      </c>
      <c r="D630" s="78" t="s">
        <v>166</v>
      </c>
      <c r="E630" s="80" t="s">
        <v>167</v>
      </c>
      <c r="F630" s="78" t="str">
        <f>VLOOKUP('표1'!$E630,구분!$C$3:$D$72,2,0)</f>
        <v>동일</v>
      </c>
      <c r="G630" s="81">
        <v>36376550</v>
      </c>
      <c r="H630" s="81">
        <v>28009973</v>
      </c>
      <c r="I630" s="81">
        <v>25463612</v>
      </c>
      <c r="J630" s="81">
        <v>12115727</v>
      </c>
      <c r="K630" s="81">
        <v>13347885</v>
      </c>
      <c r="L630" s="81">
        <v>5291260</v>
      </c>
      <c r="M630" s="81">
        <v>8056625</v>
      </c>
      <c r="N630" s="82">
        <v>0.221478534935281</v>
      </c>
    </row>
    <row r="631" spans="1:14" ht="14.25" hidden="1" customHeight="1">
      <c r="A631" s="78">
        <v>2025</v>
      </c>
      <c r="B631" s="78">
        <v>10</v>
      </c>
      <c r="C631" s="79" t="s">
        <v>192</v>
      </c>
      <c r="D631" s="78" t="s">
        <v>168</v>
      </c>
      <c r="E631" s="80" t="s">
        <v>169</v>
      </c>
      <c r="F631" s="78" t="str">
        <f>VLOOKUP('표1'!$E631,구분!$C$3:$D$72,2,0)</f>
        <v>동일</v>
      </c>
      <c r="G631" s="81">
        <v>55813040</v>
      </c>
      <c r="H631" s="81">
        <v>42976061</v>
      </c>
      <c r="I631" s="81">
        <v>39069146</v>
      </c>
      <c r="J631" s="81">
        <v>16961097</v>
      </c>
      <c r="K631" s="81">
        <v>22108049</v>
      </c>
      <c r="L631" s="81">
        <v>6995060</v>
      </c>
      <c r="M631" s="81">
        <v>15112989</v>
      </c>
      <c r="N631" s="82">
        <v>0.27077881799665499</v>
      </c>
    </row>
    <row r="632" spans="1:14" ht="15" hidden="1" customHeight="1">
      <c r="A632" s="78">
        <v>2025</v>
      </c>
      <c r="B632" s="78">
        <v>10</v>
      </c>
      <c r="C632" s="79" t="s">
        <v>192</v>
      </c>
      <c r="D632" s="78" t="s">
        <v>172</v>
      </c>
      <c r="E632" s="78" t="s">
        <v>173</v>
      </c>
      <c r="F632" s="78" t="str">
        <f>VLOOKUP('표1'!$E632,구분!$C$3:$D$72,2,0)</f>
        <v>동일</v>
      </c>
      <c r="G632" s="81">
        <v>59455490</v>
      </c>
      <c r="H632" s="81">
        <v>46375284</v>
      </c>
      <c r="I632" s="81">
        <v>42159349</v>
      </c>
      <c r="J632" s="81">
        <v>19016641</v>
      </c>
      <c r="K632" s="81">
        <v>23142708</v>
      </c>
      <c r="L632" s="81">
        <v>9515210</v>
      </c>
      <c r="M632" s="81">
        <v>13627498</v>
      </c>
      <c r="N632" s="82">
        <v>0.22920504061105201</v>
      </c>
    </row>
    <row r="633" spans="1:14" ht="14.25" hidden="1" customHeight="1">
      <c r="A633" s="78">
        <v>2025</v>
      </c>
      <c r="B633" s="78">
        <v>10</v>
      </c>
      <c r="C633" s="79" t="s">
        <v>192</v>
      </c>
      <c r="D633" s="78" t="s">
        <v>174</v>
      </c>
      <c r="E633" s="80" t="s">
        <v>175</v>
      </c>
      <c r="F633" s="78" t="str">
        <f>VLOOKUP('표1'!$E633,구분!$C$3:$D$72,2,0)</f>
        <v>동일</v>
      </c>
      <c r="G633" s="81">
        <v>34611550</v>
      </c>
      <c r="H633" s="81">
        <v>29136464</v>
      </c>
      <c r="I633" s="81">
        <v>26487695</v>
      </c>
      <c r="J633" s="81">
        <v>10715484</v>
      </c>
      <c r="K633" s="81">
        <v>15772211</v>
      </c>
      <c r="L633" s="81">
        <v>5723660</v>
      </c>
      <c r="M633" s="81">
        <v>10048551</v>
      </c>
      <c r="N633" s="82">
        <v>0.290323634740426</v>
      </c>
    </row>
    <row r="634" spans="1:14" ht="14.25" hidden="1" customHeight="1">
      <c r="A634" s="78">
        <v>2025</v>
      </c>
      <c r="B634" s="78">
        <v>10</v>
      </c>
      <c r="C634" s="79" t="s">
        <v>192</v>
      </c>
      <c r="D634" s="78" t="s">
        <v>176</v>
      </c>
      <c r="E634" s="80" t="s">
        <v>177</v>
      </c>
      <c r="F634" s="78" t="str">
        <f>VLOOKUP('표1'!$E634,구분!$C$3:$D$72,2,0)</f>
        <v>동일</v>
      </c>
      <c r="G634" s="81">
        <v>104747700</v>
      </c>
      <c r="H634" s="81">
        <v>80655786</v>
      </c>
      <c r="I634" s="81">
        <v>73323442</v>
      </c>
      <c r="J634" s="81">
        <v>32582040</v>
      </c>
      <c r="K634" s="81">
        <v>40741402</v>
      </c>
      <c r="L634" s="81">
        <v>17808030</v>
      </c>
      <c r="M634" s="81">
        <v>22933372</v>
      </c>
      <c r="N634" s="82">
        <v>0.218939146157863</v>
      </c>
    </row>
    <row r="635" spans="1:14" ht="14.25" hidden="1" customHeight="1">
      <c r="A635" s="78">
        <v>2025</v>
      </c>
      <c r="B635" s="78">
        <v>10</v>
      </c>
      <c r="C635" s="79" t="s">
        <v>192</v>
      </c>
      <c r="D635" s="78" t="s">
        <v>178</v>
      </c>
      <c r="E635" s="80" t="s">
        <v>179</v>
      </c>
      <c r="F635" s="78" t="str">
        <f>VLOOKUP('표1'!$E635,구분!$C$3:$D$72,2,0)</f>
        <v>동일</v>
      </c>
      <c r="G635" s="81">
        <v>119061760</v>
      </c>
      <c r="H635" s="81">
        <v>91677614</v>
      </c>
      <c r="I635" s="81">
        <v>83343285</v>
      </c>
      <c r="J635" s="81">
        <v>36678290</v>
      </c>
      <c r="K635" s="81">
        <v>46664995</v>
      </c>
      <c r="L635" s="81">
        <v>15478950</v>
      </c>
      <c r="M635" s="81">
        <v>31186045</v>
      </c>
      <c r="N635" s="82">
        <v>0.26193166470913898</v>
      </c>
    </row>
    <row r="636" spans="1:14" ht="14.25" hidden="1" customHeight="1">
      <c r="A636" s="73">
        <v>2025</v>
      </c>
      <c r="B636" s="73">
        <v>11</v>
      </c>
      <c r="C636" s="74" t="s">
        <v>193</v>
      </c>
      <c r="D636" s="73" t="s">
        <v>54</v>
      </c>
      <c r="E636" s="75" t="s">
        <v>55</v>
      </c>
      <c r="F636" s="73" t="str">
        <f>VLOOKUP('표1'!$E636,구분!$C$3:$D$72,2,0)</f>
        <v>동일</v>
      </c>
      <c r="G636" s="76">
        <v>83555660</v>
      </c>
      <c r="H636" s="76">
        <v>55884614</v>
      </c>
      <c r="I636" s="76">
        <v>50804195</v>
      </c>
      <c r="J636" s="76">
        <v>25272250</v>
      </c>
      <c r="K636" s="76">
        <v>25531945</v>
      </c>
      <c r="L636" s="76">
        <v>6543810</v>
      </c>
      <c r="M636" s="76">
        <v>18988135</v>
      </c>
      <c r="N636" s="77">
        <v>0.227251331627325</v>
      </c>
    </row>
    <row r="637" spans="1:14" ht="14.25" hidden="1" customHeight="1">
      <c r="A637" s="78">
        <v>2025</v>
      </c>
      <c r="B637" s="78">
        <v>11</v>
      </c>
      <c r="C637" s="79" t="s">
        <v>193</v>
      </c>
      <c r="D637" s="78" t="s">
        <v>56</v>
      </c>
      <c r="E637" s="80" t="s">
        <v>57</v>
      </c>
      <c r="F637" s="78" t="str">
        <f>VLOOKUP('표1'!$E637,구분!$C$3:$D$72,2,0)</f>
        <v>동일</v>
      </c>
      <c r="G637" s="81">
        <v>21134350</v>
      </c>
      <c r="H637" s="81">
        <v>15295152</v>
      </c>
      <c r="I637" s="81">
        <v>13904684</v>
      </c>
      <c r="J637" s="81">
        <v>6143631</v>
      </c>
      <c r="K637" s="81">
        <v>7761053</v>
      </c>
      <c r="L637" s="81">
        <v>5090760</v>
      </c>
      <c r="M637" s="81">
        <v>2670293</v>
      </c>
      <c r="N637" s="82">
        <v>0.12634848008100599</v>
      </c>
    </row>
    <row r="638" spans="1:14" ht="14.25" hidden="1" customHeight="1">
      <c r="A638" s="78">
        <v>2025</v>
      </c>
      <c r="B638" s="78">
        <v>11</v>
      </c>
      <c r="C638" s="79" t="s">
        <v>193</v>
      </c>
      <c r="D638" s="78" t="s">
        <v>58</v>
      </c>
      <c r="E638" s="80" t="s">
        <v>59</v>
      </c>
      <c r="F638" s="78" t="str">
        <f>VLOOKUP('표1'!$E638,구분!$C$3:$D$72,2,0)</f>
        <v>동일</v>
      </c>
      <c r="G638" s="81">
        <v>56104050</v>
      </c>
      <c r="H638" s="81">
        <v>38724054</v>
      </c>
      <c r="I638" s="81">
        <v>35203685</v>
      </c>
      <c r="J638" s="81">
        <v>21035815</v>
      </c>
      <c r="K638" s="81">
        <v>14167870</v>
      </c>
      <c r="L638" s="81">
        <v>7181970</v>
      </c>
      <c r="M638" s="81">
        <v>6985900</v>
      </c>
      <c r="N638" s="82">
        <v>0.12451685751741599</v>
      </c>
    </row>
    <row r="639" spans="1:14" ht="14.25" hidden="1" customHeight="1">
      <c r="A639" s="78">
        <v>2025</v>
      </c>
      <c r="B639" s="78">
        <v>11</v>
      </c>
      <c r="C639" s="79" t="s">
        <v>193</v>
      </c>
      <c r="D639" s="78" t="s">
        <v>60</v>
      </c>
      <c r="E639" s="80" t="s">
        <v>61</v>
      </c>
      <c r="F639" s="78" t="str">
        <f>VLOOKUP('표1'!$E639,구분!$C$3:$D$72,2,0)</f>
        <v>동일</v>
      </c>
      <c r="G639" s="81">
        <v>32865550</v>
      </c>
      <c r="H639" s="81">
        <v>22506973</v>
      </c>
      <c r="I639" s="81">
        <v>20460885</v>
      </c>
      <c r="J639" s="81">
        <v>9704783</v>
      </c>
      <c r="K639" s="81">
        <v>10756102</v>
      </c>
      <c r="L639" s="81">
        <v>4958370</v>
      </c>
      <c r="M639" s="81">
        <v>5797732</v>
      </c>
      <c r="N639" s="82">
        <v>0.17640757571377899</v>
      </c>
    </row>
    <row r="640" spans="1:14" ht="14.25" hidden="1" customHeight="1">
      <c r="A640" s="78">
        <v>2025</v>
      </c>
      <c r="B640" s="78">
        <v>11</v>
      </c>
      <c r="C640" s="79" t="s">
        <v>193</v>
      </c>
      <c r="D640" s="78" t="s">
        <v>62</v>
      </c>
      <c r="E640" s="80" t="s">
        <v>63</v>
      </c>
      <c r="F640" s="78" t="str">
        <f>VLOOKUP('표1'!$E640,구분!$C$3:$D$72,2,0)</f>
        <v>동일</v>
      </c>
      <c r="G640" s="81">
        <v>70399640</v>
      </c>
      <c r="H640" s="81">
        <v>50914752</v>
      </c>
      <c r="I640" s="81">
        <v>46286138</v>
      </c>
      <c r="J640" s="81">
        <v>21676723</v>
      </c>
      <c r="K640" s="81">
        <v>24609415</v>
      </c>
      <c r="L640" s="81">
        <v>10395700</v>
      </c>
      <c r="M640" s="81">
        <v>14213715</v>
      </c>
      <c r="N640" s="82">
        <v>0.20190039324064701</v>
      </c>
    </row>
    <row r="641" spans="1:14" ht="14.25" hidden="1" customHeight="1">
      <c r="A641" s="78">
        <v>2025</v>
      </c>
      <c r="B641" s="78">
        <v>11</v>
      </c>
      <c r="C641" s="79" t="s">
        <v>193</v>
      </c>
      <c r="D641" s="78" t="s">
        <v>64</v>
      </c>
      <c r="E641" s="80" t="s">
        <v>65</v>
      </c>
      <c r="F641" s="78" t="str">
        <f>VLOOKUP('표1'!$E641,구분!$C$3:$D$72,2,0)</f>
        <v>동일</v>
      </c>
      <c r="G641" s="81">
        <v>26065120</v>
      </c>
      <c r="H641" s="81">
        <v>18324684</v>
      </c>
      <c r="I641" s="81">
        <v>16658804</v>
      </c>
      <c r="J641" s="81">
        <v>7912397</v>
      </c>
      <c r="K641" s="81">
        <v>8746407</v>
      </c>
      <c r="L641" s="81">
        <v>5363070</v>
      </c>
      <c r="M641" s="81">
        <v>3383337</v>
      </c>
      <c r="N641" s="82">
        <v>0.129803238964563</v>
      </c>
    </row>
    <row r="642" spans="1:14" ht="14.25" hidden="1" customHeight="1">
      <c r="A642" s="78">
        <v>2025</v>
      </c>
      <c r="B642" s="78">
        <v>11</v>
      </c>
      <c r="C642" s="79" t="s">
        <v>193</v>
      </c>
      <c r="D642" s="78" t="s">
        <v>66</v>
      </c>
      <c r="E642" s="80" t="s">
        <v>67</v>
      </c>
      <c r="F642" s="78" t="str">
        <f>VLOOKUP('표1'!$E642,구분!$C$3:$D$72,2,0)</f>
        <v>동일</v>
      </c>
      <c r="G642" s="81">
        <v>34403390</v>
      </c>
      <c r="H642" s="81">
        <v>23740277</v>
      </c>
      <c r="I642" s="81">
        <v>21582070</v>
      </c>
      <c r="J642" s="81">
        <v>16537982</v>
      </c>
      <c r="K642" s="81">
        <v>5044088</v>
      </c>
      <c r="L642" s="81">
        <v>7922100</v>
      </c>
      <c r="M642" s="81">
        <v>-2878012</v>
      </c>
      <c r="N642" s="82">
        <v>-8.36548956367381E-2</v>
      </c>
    </row>
    <row r="643" spans="1:14" ht="14.25" hidden="1" customHeight="1">
      <c r="A643" s="78">
        <v>2025</v>
      </c>
      <c r="B643" s="78">
        <v>11</v>
      </c>
      <c r="C643" s="79" t="s">
        <v>193</v>
      </c>
      <c r="D643" s="78" t="s">
        <v>68</v>
      </c>
      <c r="E643" s="80" t="s">
        <v>69</v>
      </c>
      <c r="F643" s="78" t="str">
        <f>VLOOKUP('표1'!$E643,구분!$C$3:$D$72,2,0)</f>
        <v>동일</v>
      </c>
      <c r="G643" s="81">
        <v>63729360</v>
      </c>
      <c r="H643" s="81">
        <v>41893906</v>
      </c>
      <c r="I643" s="81">
        <v>38085369</v>
      </c>
      <c r="J643" s="81">
        <v>19778905</v>
      </c>
      <c r="K643" s="81">
        <v>18306464</v>
      </c>
      <c r="L643" s="81">
        <v>8674720</v>
      </c>
      <c r="M643" s="81">
        <v>9631744</v>
      </c>
      <c r="N643" s="82">
        <v>0.151135112607439</v>
      </c>
    </row>
    <row r="644" spans="1:14" ht="14.25" hidden="1" customHeight="1">
      <c r="A644" s="78">
        <v>2025</v>
      </c>
      <c r="B644" s="78">
        <v>11</v>
      </c>
      <c r="C644" s="79" t="s">
        <v>193</v>
      </c>
      <c r="D644" s="78" t="s">
        <v>70</v>
      </c>
      <c r="E644" s="80" t="s">
        <v>71</v>
      </c>
      <c r="F644" s="78" t="str">
        <f>VLOOKUP('표1'!$E644,구분!$C$3:$D$72,2,0)</f>
        <v>동일</v>
      </c>
      <c r="G644" s="81">
        <v>31726040</v>
      </c>
      <c r="H644" s="81">
        <v>22363200</v>
      </c>
      <c r="I644" s="81">
        <v>20330182</v>
      </c>
      <c r="J644" s="81">
        <v>9495268</v>
      </c>
      <c r="K644" s="81">
        <v>10834914</v>
      </c>
      <c r="L644" s="81">
        <v>5956340</v>
      </c>
      <c r="M644" s="81">
        <v>4878574</v>
      </c>
      <c r="N644" s="82">
        <v>0.15377191732721801</v>
      </c>
    </row>
    <row r="645" spans="1:14" ht="14.25" hidden="1" customHeight="1">
      <c r="A645" s="78">
        <v>2025</v>
      </c>
      <c r="B645" s="78">
        <v>11</v>
      </c>
      <c r="C645" s="79" t="s">
        <v>193</v>
      </c>
      <c r="D645" s="78" t="s">
        <v>72</v>
      </c>
      <c r="E645" s="80" t="s">
        <v>73</v>
      </c>
      <c r="F645" s="78" t="str">
        <f>VLOOKUP('표1'!$E645,구분!$C$3:$D$72,2,0)</f>
        <v>동일</v>
      </c>
      <c r="G645" s="81">
        <v>16784680</v>
      </c>
      <c r="H645" s="81">
        <v>12338870</v>
      </c>
      <c r="I645" s="81">
        <v>11217155</v>
      </c>
      <c r="J645" s="81">
        <v>5478882</v>
      </c>
      <c r="K645" s="81">
        <v>5738273</v>
      </c>
      <c r="L645" s="81">
        <v>4734380</v>
      </c>
      <c r="M645" s="81">
        <v>1003893</v>
      </c>
      <c r="N645" s="82">
        <v>5.9810076808136901E-2</v>
      </c>
    </row>
    <row r="646" spans="1:14" ht="14.25" hidden="1" customHeight="1">
      <c r="A646" s="78">
        <v>2025</v>
      </c>
      <c r="B646" s="78">
        <v>11</v>
      </c>
      <c r="C646" s="79" t="s">
        <v>193</v>
      </c>
      <c r="D646" s="78" t="s">
        <v>74</v>
      </c>
      <c r="E646" s="80" t="s">
        <v>75</v>
      </c>
      <c r="F646" s="78" t="str">
        <f>VLOOKUP('표1'!$E646,구분!$C$3:$D$72,2,0)</f>
        <v>동일</v>
      </c>
      <c r="G646" s="81">
        <v>38729220</v>
      </c>
      <c r="H646" s="81">
        <v>26540572</v>
      </c>
      <c r="I646" s="81">
        <v>24127793</v>
      </c>
      <c r="J646" s="81">
        <v>10990897</v>
      </c>
      <c r="K646" s="81">
        <v>13136896</v>
      </c>
      <c r="L646" s="81">
        <v>5653540</v>
      </c>
      <c r="M646" s="81">
        <v>7483356</v>
      </c>
      <c r="N646" s="82">
        <v>0.19322248163014899</v>
      </c>
    </row>
    <row r="647" spans="1:14" ht="14.25" hidden="1" customHeight="1">
      <c r="A647" s="78">
        <v>2025</v>
      </c>
      <c r="B647" s="78">
        <v>11</v>
      </c>
      <c r="C647" s="79" t="s">
        <v>193</v>
      </c>
      <c r="D647" s="78" t="s">
        <v>76</v>
      </c>
      <c r="E647" s="80" t="s">
        <v>77</v>
      </c>
      <c r="F647" s="78" t="str">
        <f>VLOOKUP('표1'!$E647,구분!$C$3:$D$72,2,0)</f>
        <v>동일</v>
      </c>
      <c r="G647" s="81">
        <v>53282810</v>
      </c>
      <c r="H647" s="81">
        <v>36281529</v>
      </c>
      <c r="I647" s="81">
        <v>32983208</v>
      </c>
      <c r="J647" s="81">
        <v>16892046</v>
      </c>
      <c r="K647" s="81">
        <v>16091162</v>
      </c>
      <c r="L647" s="81">
        <v>7347580</v>
      </c>
      <c r="M647" s="81">
        <v>8743582</v>
      </c>
      <c r="N647" s="82">
        <v>0.164097614221172</v>
      </c>
    </row>
    <row r="648" spans="1:14" ht="14.25" hidden="1" customHeight="1">
      <c r="A648" s="78">
        <v>2025</v>
      </c>
      <c r="B648" s="78">
        <v>11</v>
      </c>
      <c r="C648" s="79" t="s">
        <v>193</v>
      </c>
      <c r="D648" s="78" t="s">
        <v>78</v>
      </c>
      <c r="E648" s="80" t="s">
        <v>79</v>
      </c>
      <c r="F648" s="78" t="str">
        <f>VLOOKUP('표1'!$E648,구분!$C$3:$D$72,2,0)</f>
        <v>동일</v>
      </c>
      <c r="G648" s="81">
        <v>75476200</v>
      </c>
      <c r="H648" s="81">
        <v>52063530</v>
      </c>
      <c r="I648" s="81">
        <v>47330482</v>
      </c>
      <c r="J648" s="81">
        <v>23019103</v>
      </c>
      <c r="K648" s="81">
        <v>24311379</v>
      </c>
      <c r="L648" s="81">
        <v>7368970</v>
      </c>
      <c r="M648" s="81">
        <v>16942409</v>
      </c>
      <c r="N648" s="82">
        <v>0.224473529403971</v>
      </c>
    </row>
    <row r="649" spans="1:14" ht="14.25" hidden="1" customHeight="1">
      <c r="A649" s="78">
        <v>2025</v>
      </c>
      <c r="B649" s="78">
        <v>11</v>
      </c>
      <c r="C649" s="79" t="s">
        <v>193</v>
      </c>
      <c r="D649" s="78" t="s">
        <v>80</v>
      </c>
      <c r="E649" s="80" t="s">
        <v>81</v>
      </c>
      <c r="F649" s="78" t="str">
        <f>VLOOKUP('표1'!$E649,구분!$C$3:$D$72,2,0)</f>
        <v>동일</v>
      </c>
      <c r="G649" s="81">
        <v>114918340</v>
      </c>
      <c r="H649" s="81">
        <v>82367780</v>
      </c>
      <c r="I649" s="81">
        <v>74879800</v>
      </c>
      <c r="J649" s="81">
        <v>36554902</v>
      </c>
      <c r="K649" s="81">
        <v>38324898</v>
      </c>
      <c r="L649" s="81">
        <v>15830050</v>
      </c>
      <c r="M649" s="81">
        <v>22494848</v>
      </c>
      <c r="N649" s="82">
        <v>0.19574637085777599</v>
      </c>
    </row>
    <row r="650" spans="1:14" ht="14.25" hidden="1" customHeight="1">
      <c r="A650" s="78">
        <v>2025</v>
      </c>
      <c r="B650" s="78">
        <v>11</v>
      </c>
      <c r="C650" s="79" t="s">
        <v>193</v>
      </c>
      <c r="D650" s="78" t="s">
        <v>82</v>
      </c>
      <c r="E650" s="80" t="s">
        <v>83</v>
      </c>
      <c r="F650" s="78" t="str">
        <f>VLOOKUP('표1'!$E650,구분!$C$3:$D$72,2,0)</f>
        <v>동일</v>
      </c>
      <c r="G650" s="81">
        <v>35736850</v>
      </c>
      <c r="H650" s="81">
        <v>23962044</v>
      </c>
      <c r="I650" s="81">
        <v>21783676</v>
      </c>
      <c r="J650" s="81">
        <v>12351474</v>
      </c>
      <c r="K650" s="81">
        <v>9432202</v>
      </c>
      <c r="L650" s="81">
        <v>6048060</v>
      </c>
      <c r="M650" s="81">
        <v>3384142</v>
      </c>
      <c r="N650" s="82">
        <v>9.4696146974341602E-2</v>
      </c>
    </row>
    <row r="651" spans="1:14" ht="14.25" hidden="1" customHeight="1">
      <c r="A651" s="78">
        <v>2025</v>
      </c>
      <c r="B651" s="78">
        <v>11</v>
      </c>
      <c r="C651" s="79" t="s">
        <v>193</v>
      </c>
      <c r="D651" s="78" t="s">
        <v>84</v>
      </c>
      <c r="E651" s="80" t="s">
        <v>85</v>
      </c>
      <c r="F651" s="78" t="str">
        <f>VLOOKUP('표1'!$E651,구분!$C$3:$D$72,2,0)</f>
        <v>동일</v>
      </c>
      <c r="G651" s="81">
        <v>55212690</v>
      </c>
      <c r="H651" s="81">
        <v>38015937</v>
      </c>
      <c r="I651" s="81">
        <v>34559943</v>
      </c>
      <c r="J651" s="81">
        <v>15834639</v>
      </c>
      <c r="K651" s="81">
        <v>18725304</v>
      </c>
      <c r="L651" s="81">
        <v>8196430</v>
      </c>
      <c r="M651" s="81">
        <v>10528874</v>
      </c>
      <c r="N651" s="82">
        <v>0.190696631517139</v>
      </c>
    </row>
    <row r="652" spans="1:14" ht="14.25" hidden="1" customHeight="1">
      <c r="A652" s="78">
        <v>2025</v>
      </c>
      <c r="B652" s="78">
        <v>11</v>
      </c>
      <c r="C652" s="79" t="s">
        <v>193</v>
      </c>
      <c r="D652" s="78" t="s">
        <v>86</v>
      </c>
      <c r="E652" s="80" t="s">
        <v>87</v>
      </c>
      <c r="F652" s="78" t="str">
        <f>VLOOKUP('표1'!$E652,구분!$C$3:$D$72,2,0)</f>
        <v>동일</v>
      </c>
      <c r="G652" s="81">
        <v>37736190</v>
      </c>
      <c r="H652" s="81">
        <v>25123850</v>
      </c>
      <c r="I652" s="81">
        <v>22839864</v>
      </c>
      <c r="J652" s="81">
        <v>10925418</v>
      </c>
      <c r="K652" s="81">
        <v>11914446</v>
      </c>
      <c r="L652" s="81">
        <v>5746980</v>
      </c>
      <c r="M652" s="81">
        <v>6167466</v>
      </c>
      <c r="N652" s="82">
        <v>0.16343637235237601</v>
      </c>
    </row>
    <row r="653" spans="1:14" ht="14.25" hidden="1" customHeight="1">
      <c r="A653" s="78">
        <v>2025</v>
      </c>
      <c r="B653" s="78">
        <v>11</v>
      </c>
      <c r="C653" s="79" t="s">
        <v>193</v>
      </c>
      <c r="D653" s="78" t="s">
        <v>88</v>
      </c>
      <c r="E653" s="80" t="s">
        <v>89</v>
      </c>
      <c r="F653" s="78" t="str">
        <f>VLOOKUP('표1'!$E653,구분!$C$3:$D$72,2,0)</f>
        <v>동일</v>
      </c>
      <c r="G653" s="81">
        <v>34129710</v>
      </c>
      <c r="H653" s="81">
        <v>23058390</v>
      </c>
      <c r="I653" s="81">
        <v>20962173</v>
      </c>
      <c r="J653" s="81">
        <v>10139008</v>
      </c>
      <c r="K653" s="81">
        <v>10823165</v>
      </c>
      <c r="L653" s="81">
        <v>5556020</v>
      </c>
      <c r="M653" s="81">
        <v>5267145</v>
      </c>
      <c r="N653" s="82">
        <v>0.15432727087338299</v>
      </c>
    </row>
    <row r="654" spans="1:14" ht="14.25" hidden="1" customHeight="1">
      <c r="A654" s="78">
        <v>2025</v>
      </c>
      <c r="B654" s="78">
        <v>11</v>
      </c>
      <c r="C654" s="79" t="s">
        <v>193</v>
      </c>
      <c r="D654" s="78" t="s">
        <v>90</v>
      </c>
      <c r="E654" s="80" t="s">
        <v>91</v>
      </c>
      <c r="F654" s="78" t="str">
        <f>VLOOKUP('표1'!$E654,구분!$C$3:$D$72,2,0)</f>
        <v>동일</v>
      </c>
      <c r="G654" s="81">
        <v>33217000</v>
      </c>
      <c r="H654" s="81">
        <v>23918517</v>
      </c>
      <c r="I654" s="81">
        <v>21744106</v>
      </c>
      <c r="J654" s="81">
        <v>11083599</v>
      </c>
      <c r="K654" s="81">
        <v>10660507</v>
      </c>
      <c r="L654" s="81">
        <v>5740660</v>
      </c>
      <c r="M654" s="81">
        <v>4919847</v>
      </c>
      <c r="N654" s="82">
        <v>0.14811232200379301</v>
      </c>
    </row>
    <row r="655" spans="1:14" ht="14.25" hidden="1" customHeight="1">
      <c r="A655" s="78">
        <v>2025</v>
      </c>
      <c r="B655" s="78">
        <v>11</v>
      </c>
      <c r="C655" s="79" t="s">
        <v>193</v>
      </c>
      <c r="D655" s="78" t="s">
        <v>92</v>
      </c>
      <c r="E655" s="80" t="s">
        <v>93</v>
      </c>
      <c r="F655" s="78" t="str">
        <f>VLOOKUP('표1'!$E655,구분!$C$3:$D$72,2,0)</f>
        <v>동일</v>
      </c>
      <c r="G655" s="81">
        <v>31374090</v>
      </c>
      <c r="H655" s="81">
        <v>20573999</v>
      </c>
      <c r="I655" s="81">
        <v>18703635</v>
      </c>
      <c r="J655" s="81">
        <v>9544171</v>
      </c>
      <c r="K655" s="81">
        <v>9159464</v>
      </c>
      <c r="L655" s="81">
        <v>6141570</v>
      </c>
      <c r="M655" s="81">
        <v>3017894</v>
      </c>
      <c r="N655" s="82">
        <v>9.6190646485682901E-2</v>
      </c>
    </row>
    <row r="656" spans="1:14" ht="14.25" hidden="1" customHeight="1">
      <c r="A656" s="78">
        <v>2025</v>
      </c>
      <c r="B656" s="78">
        <v>11</v>
      </c>
      <c r="C656" s="79" t="s">
        <v>193</v>
      </c>
      <c r="D656" s="78" t="s">
        <v>94</v>
      </c>
      <c r="E656" s="80" t="s">
        <v>95</v>
      </c>
      <c r="F656" s="78" t="str">
        <f>VLOOKUP('표1'!$E656,구분!$C$3:$D$72,2,0)</f>
        <v>폐점</v>
      </c>
      <c r="G656" s="81">
        <v>47933850</v>
      </c>
      <c r="H656" s="81">
        <v>32412944</v>
      </c>
      <c r="I656" s="81">
        <v>29466313</v>
      </c>
      <c r="J656" s="81">
        <v>14838498</v>
      </c>
      <c r="K656" s="81">
        <v>14627815</v>
      </c>
      <c r="L656" s="81">
        <v>7045660</v>
      </c>
      <c r="M656" s="81">
        <v>7582155</v>
      </c>
      <c r="N656" s="82">
        <v>0.158179553697439</v>
      </c>
    </row>
    <row r="657" spans="1:14" ht="14.25" hidden="1" customHeight="1">
      <c r="A657" s="78">
        <v>2025</v>
      </c>
      <c r="B657" s="78">
        <v>11</v>
      </c>
      <c r="C657" s="79" t="s">
        <v>193</v>
      </c>
      <c r="D657" s="78" t="s">
        <v>96</v>
      </c>
      <c r="E657" s="80" t="s">
        <v>97</v>
      </c>
      <c r="F657" s="78" t="str">
        <f>VLOOKUP('표1'!$E657,구분!$C$3:$D$72,2,0)</f>
        <v>동일</v>
      </c>
      <c r="G657" s="81">
        <v>88813910</v>
      </c>
      <c r="H657" s="81">
        <v>63275515</v>
      </c>
      <c r="I657" s="81">
        <v>57523195</v>
      </c>
      <c r="J657" s="81">
        <v>26969896</v>
      </c>
      <c r="K657" s="81">
        <v>30553299</v>
      </c>
      <c r="L657" s="81">
        <v>9539920</v>
      </c>
      <c r="M657" s="81">
        <v>21013379</v>
      </c>
      <c r="N657" s="82">
        <v>0.236600088882474</v>
      </c>
    </row>
    <row r="658" spans="1:14" ht="14.25" hidden="1" customHeight="1">
      <c r="A658" s="78">
        <v>2025</v>
      </c>
      <c r="B658" s="78">
        <v>11</v>
      </c>
      <c r="C658" s="79" t="s">
        <v>193</v>
      </c>
      <c r="D658" s="78" t="s">
        <v>98</v>
      </c>
      <c r="E658" s="80" t="s">
        <v>99</v>
      </c>
      <c r="F658" s="78" t="str">
        <f>VLOOKUP('표1'!$E658,구분!$C$3:$D$72,2,0)</f>
        <v>동일</v>
      </c>
      <c r="G658" s="81">
        <v>66638830</v>
      </c>
      <c r="H658" s="81">
        <v>47733052</v>
      </c>
      <c r="I658" s="81">
        <v>43393684</v>
      </c>
      <c r="J658" s="81">
        <v>20560674</v>
      </c>
      <c r="K658" s="81">
        <v>22833010</v>
      </c>
      <c r="L658" s="81">
        <v>7470900</v>
      </c>
      <c r="M658" s="81">
        <v>15362110</v>
      </c>
      <c r="N658" s="82">
        <v>0.230527906927538</v>
      </c>
    </row>
    <row r="659" spans="1:14" ht="14.25" hidden="1" customHeight="1">
      <c r="A659" s="78">
        <v>2025</v>
      </c>
      <c r="B659" s="78">
        <v>11</v>
      </c>
      <c r="C659" s="79" t="s">
        <v>193</v>
      </c>
      <c r="D659" s="78" t="s">
        <v>100</v>
      </c>
      <c r="E659" s="80" t="s">
        <v>101</v>
      </c>
      <c r="F659" s="78" t="str">
        <f>VLOOKUP('표1'!$E659,구분!$C$3:$D$72,2,0)</f>
        <v>동일</v>
      </c>
      <c r="G659" s="81">
        <v>105183500</v>
      </c>
      <c r="H659" s="81">
        <v>66377479</v>
      </c>
      <c r="I659" s="81">
        <v>60343163</v>
      </c>
      <c r="J659" s="81">
        <v>32977902</v>
      </c>
      <c r="K659" s="81">
        <v>27365261</v>
      </c>
      <c r="L659" s="81">
        <v>15252760</v>
      </c>
      <c r="M659" s="81">
        <v>12112501</v>
      </c>
      <c r="N659" s="82">
        <v>0.115155903730148</v>
      </c>
    </row>
    <row r="660" spans="1:14" ht="14.25" hidden="1" customHeight="1">
      <c r="A660" s="78">
        <v>2025</v>
      </c>
      <c r="B660" s="78">
        <v>11</v>
      </c>
      <c r="C660" s="79" t="s">
        <v>193</v>
      </c>
      <c r="D660" s="78" t="s">
        <v>102</v>
      </c>
      <c r="E660" s="80" t="s">
        <v>103</v>
      </c>
      <c r="F660" s="78" t="str">
        <f>VLOOKUP('표1'!$E660,구분!$C$3:$D$72,2,0)</f>
        <v>동일</v>
      </c>
      <c r="G660" s="81">
        <v>80277270</v>
      </c>
      <c r="H660" s="81">
        <v>50191458</v>
      </c>
      <c r="I660" s="81">
        <v>45628598</v>
      </c>
      <c r="J660" s="81">
        <v>22387896</v>
      </c>
      <c r="K660" s="81">
        <v>23240702</v>
      </c>
      <c r="L660" s="81">
        <v>8339790</v>
      </c>
      <c r="M660" s="81">
        <v>14900912</v>
      </c>
      <c r="N660" s="82">
        <v>0.18561807096828301</v>
      </c>
    </row>
    <row r="661" spans="1:14" ht="14.25" hidden="1" customHeight="1">
      <c r="A661" s="78">
        <v>2025</v>
      </c>
      <c r="B661" s="78">
        <v>11</v>
      </c>
      <c r="C661" s="79" t="s">
        <v>193</v>
      </c>
      <c r="D661" s="78" t="s">
        <v>104</v>
      </c>
      <c r="E661" s="80" t="s">
        <v>105</v>
      </c>
      <c r="F661" s="78" t="str">
        <f>VLOOKUP('표1'!$E661,구분!$C$3:$D$72,2,0)</f>
        <v>동일</v>
      </c>
      <c r="G661" s="81">
        <v>35818490</v>
      </c>
      <c r="H661" s="81">
        <v>22530917</v>
      </c>
      <c r="I661" s="81">
        <v>20482652</v>
      </c>
      <c r="J661" s="81">
        <v>11614538</v>
      </c>
      <c r="K661" s="81">
        <v>8868114</v>
      </c>
      <c r="L661" s="81">
        <v>6134230</v>
      </c>
      <c r="M661" s="81">
        <v>2733884</v>
      </c>
      <c r="N661" s="82">
        <v>7.6326053945881003E-2</v>
      </c>
    </row>
    <row r="662" spans="1:14" ht="14.25" hidden="1" customHeight="1">
      <c r="A662" s="78">
        <v>2025</v>
      </c>
      <c r="B662" s="78">
        <v>11</v>
      </c>
      <c r="C662" s="79" t="s">
        <v>193</v>
      </c>
      <c r="D662" s="78" t="s">
        <v>106</v>
      </c>
      <c r="E662" s="80" t="s">
        <v>107</v>
      </c>
      <c r="F662" s="78" t="str">
        <f>VLOOKUP('표1'!$E662,구분!$C$3:$D$72,2,0)</f>
        <v>폐점</v>
      </c>
      <c r="G662" s="81">
        <v>63461360</v>
      </c>
      <c r="H662" s="81">
        <v>40139295</v>
      </c>
      <c r="I662" s="81">
        <v>36490268</v>
      </c>
      <c r="J662" s="81">
        <v>18988656</v>
      </c>
      <c r="K662" s="81">
        <v>17501612</v>
      </c>
      <c r="L662" s="81">
        <v>6951950</v>
      </c>
      <c r="M662" s="81">
        <v>10549662</v>
      </c>
      <c r="N662" s="82">
        <v>0.16623756566200301</v>
      </c>
    </row>
    <row r="663" spans="1:14" ht="14.25" hidden="1" customHeight="1">
      <c r="A663" s="78">
        <v>2025</v>
      </c>
      <c r="B663" s="78">
        <v>11</v>
      </c>
      <c r="C663" s="79" t="s">
        <v>193</v>
      </c>
      <c r="D663" s="78" t="s">
        <v>108</v>
      </c>
      <c r="E663" s="80" t="s">
        <v>109</v>
      </c>
      <c r="F663" s="78" t="str">
        <f>VLOOKUP('표1'!$E663,구분!$C$3:$D$72,2,0)</f>
        <v>동일</v>
      </c>
      <c r="G663" s="81">
        <v>46243750</v>
      </c>
      <c r="H663" s="81">
        <v>28812131</v>
      </c>
      <c r="I663" s="81">
        <v>26192846</v>
      </c>
      <c r="J663" s="81">
        <v>13663962</v>
      </c>
      <c r="K663" s="81">
        <v>12528884</v>
      </c>
      <c r="L663" s="81">
        <v>5718710</v>
      </c>
      <c r="M663" s="81">
        <v>6810174</v>
      </c>
      <c r="N663" s="82">
        <v>0.14726690633869399</v>
      </c>
    </row>
    <row r="664" spans="1:14" ht="14.25" hidden="1" customHeight="1">
      <c r="A664" s="78">
        <v>2025</v>
      </c>
      <c r="B664" s="78">
        <v>11</v>
      </c>
      <c r="C664" s="79" t="s">
        <v>193</v>
      </c>
      <c r="D664" s="78" t="s">
        <v>187</v>
      </c>
      <c r="E664" s="80" t="s">
        <v>188</v>
      </c>
      <c r="F664" s="78" t="str">
        <f>VLOOKUP('표1'!$E664,구분!$C$3:$D$72,2,0)</f>
        <v>동일</v>
      </c>
      <c r="G664" s="81">
        <v>33530360</v>
      </c>
      <c r="H664" s="81">
        <v>21571150</v>
      </c>
      <c r="I664" s="81">
        <v>19610136</v>
      </c>
      <c r="J664" s="81">
        <v>9888574</v>
      </c>
      <c r="K664" s="81">
        <v>9721562</v>
      </c>
      <c r="L664" s="81">
        <v>6759310</v>
      </c>
      <c r="M664" s="81">
        <v>2962252</v>
      </c>
      <c r="N664" s="82">
        <v>8.8345368197657301E-2</v>
      </c>
    </row>
    <row r="665" spans="1:14" ht="14.25" hidden="1" customHeight="1">
      <c r="A665" s="78">
        <v>2025</v>
      </c>
      <c r="B665" s="78">
        <v>11</v>
      </c>
      <c r="C665" s="79" t="s">
        <v>193</v>
      </c>
      <c r="D665" s="78" t="s">
        <v>110</v>
      </c>
      <c r="E665" s="80" t="s">
        <v>111</v>
      </c>
      <c r="F665" s="78" t="str">
        <f>VLOOKUP('표1'!$E665,구분!$C$3:$D$72,2,0)</f>
        <v>동일</v>
      </c>
      <c r="G665" s="81">
        <v>123708730</v>
      </c>
      <c r="H665" s="81">
        <v>77541977</v>
      </c>
      <c r="I665" s="81">
        <v>70492706</v>
      </c>
      <c r="J665" s="81">
        <v>43705536</v>
      </c>
      <c r="K665" s="81">
        <v>26787170</v>
      </c>
      <c r="L665" s="81">
        <v>17320380</v>
      </c>
      <c r="M665" s="81">
        <v>9466790</v>
      </c>
      <c r="N665" s="82">
        <v>7.6524833776888707E-2</v>
      </c>
    </row>
    <row r="666" spans="1:14" ht="14.25" hidden="1" customHeight="1">
      <c r="A666" s="78">
        <v>2025</v>
      </c>
      <c r="B666" s="78">
        <v>11</v>
      </c>
      <c r="C666" s="79" t="s">
        <v>193</v>
      </c>
      <c r="D666" s="78" t="s">
        <v>112</v>
      </c>
      <c r="E666" s="80" t="s">
        <v>113</v>
      </c>
      <c r="F666" s="78" t="str">
        <f>VLOOKUP('표1'!$E666,구분!$C$3:$D$72,2,0)</f>
        <v>동일</v>
      </c>
      <c r="G666" s="81">
        <v>43548320</v>
      </c>
      <c r="H666" s="81">
        <v>27687505</v>
      </c>
      <c r="I666" s="81">
        <v>25170459</v>
      </c>
      <c r="J666" s="81">
        <v>13447009</v>
      </c>
      <c r="K666" s="81">
        <v>11723450</v>
      </c>
      <c r="L666" s="81">
        <v>6304580</v>
      </c>
      <c r="M666" s="81">
        <v>5418870</v>
      </c>
      <c r="N666" s="82">
        <v>0.12443350283087801</v>
      </c>
    </row>
    <row r="667" spans="1:14" ht="14.25" hidden="1" customHeight="1">
      <c r="A667" s="78">
        <v>2025</v>
      </c>
      <c r="B667" s="78">
        <v>11</v>
      </c>
      <c r="C667" s="79" t="s">
        <v>193</v>
      </c>
      <c r="D667" s="78" t="s">
        <v>116</v>
      </c>
      <c r="E667" s="80" t="s">
        <v>117</v>
      </c>
      <c r="F667" s="78" t="str">
        <f>VLOOKUP('표1'!$E667,구분!$C$3:$D$72,2,0)</f>
        <v>동일</v>
      </c>
      <c r="G667" s="81">
        <v>25026070</v>
      </c>
      <c r="H667" s="81">
        <v>15494469</v>
      </c>
      <c r="I667" s="81">
        <v>14085881</v>
      </c>
      <c r="J667" s="81">
        <v>6908712</v>
      </c>
      <c r="K667" s="81">
        <v>7177169</v>
      </c>
      <c r="L667" s="81">
        <v>7414070</v>
      </c>
      <c r="M667" s="81">
        <v>-236901</v>
      </c>
      <c r="N667" s="82">
        <v>-9.4661686793012303E-3</v>
      </c>
    </row>
    <row r="668" spans="1:14" ht="14.25" hidden="1" customHeight="1">
      <c r="A668" s="78">
        <v>2025</v>
      </c>
      <c r="B668" s="78">
        <v>11</v>
      </c>
      <c r="C668" s="79" t="s">
        <v>193</v>
      </c>
      <c r="D668" s="78" t="s">
        <v>118</v>
      </c>
      <c r="E668" s="80" t="s">
        <v>119</v>
      </c>
      <c r="F668" s="78" t="str">
        <f>VLOOKUP('표1'!$E668,구분!$C$3:$D$72,2,0)</f>
        <v>동일</v>
      </c>
      <c r="G668" s="81">
        <v>81929620</v>
      </c>
      <c r="H668" s="81">
        <v>52094626</v>
      </c>
      <c r="I668" s="81">
        <v>47358751</v>
      </c>
      <c r="J668" s="81">
        <v>23526407</v>
      </c>
      <c r="K668" s="81">
        <v>23832344</v>
      </c>
      <c r="L668" s="81">
        <v>11632640</v>
      </c>
      <c r="M668" s="81">
        <v>12199704</v>
      </c>
      <c r="N668" s="82">
        <v>0.14890468184766401</v>
      </c>
    </row>
    <row r="669" spans="1:14" ht="14.25" hidden="1" customHeight="1">
      <c r="A669" s="78">
        <v>2025</v>
      </c>
      <c r="B669" s="78">
        <v>11</v>
      </c>
      <c r="C669" s="79" t="s">
        <v>193</v>
      </c>
      <c r="D669" s="78" t="s">
        <v>180</v>
      </c>
      <c r="E669" s="80" t="s">
        <v>181</v>
      </c>
      <c r="F669" s="78" t="str">
        <f>VLOOKUP('표1'!$E669,구분!$C$3:$D$72,2,0)</f>
        <v>동일</v>
      </c>
      <c r="G669" s="81">
        <v>50004630</v>
      </c>
      <c r="H669" s="81">
        <v>33091306</v>
      </c>
      <c r="I669" s="81">
        <v>30083005</v>
      </c>
      <c r="J669" s="81">
        <v>16857597</v>
      </c>
      <c r="K669" s="81">
        <v>13225408</v>
      </c>
      <c r="L669" s="81">
        <v>8002410</v>
      </c>
      <c r="M669" s="81">
        <v>5222998</v>
      </c>
      <c r="N669" s="82">
        <v>0.10445028790334</v>
      </c>
    </row>
    <row r="670" spans="1:14" ht="14.25" hidden="1" customHeight="1">
      <c r="A670" s="78">
        <v>2025</v>
      </c>
      <c r="B670" s="78">
        <v>11</v>
      </c>
      <c r="C670" s="79" t="s">
        <v>193</v>
      </c>
      <c r="D670" s="78" t="s">
        <v>120</v>
      </c>
      <c r="E670" s="80" t="s">
        <v>121</v>
      </c>
      <c r="F670" s="78" t="str">
        <f>VLOOKUP('표1'!$E670,구분!$C$3:$D$72,2,0)</f>
        <v>동일</v>
      </c>
      <c r="G670" s="81">
        <v>91306940</v>
      </c>
      <c r="H670" s="81">
        <v>60486425</v>
      </c>
      <c r="I670" s="81">
        <v>54987659</v>
      </c>
      <c r="J670" s="81">
        <v>27192212</v>
      </c>
      <c r="K670" s="81">
        <v>27795447</v>
      </c>
      <c r="L670" s="81">
        <v>10852980</v>
      </c>
      <c r="M670" s="81">
        <v>16942467</v>
      </c>
      <c r="N670" s="82">
        <v>0.185555084859924</v>
      </c>
    </row>
    <row r="671" spans="1:14" ht="14.25" hidden="1" customHeight="1">
      <c r="A671" s="78">
        <v>2025</v>
      </c>
      <c r="B671" s="78">
        <v>11</v>
      </c>
      <c r="C671" s="79" t="s">
        <v>193</v>
      </c>
      <c r="D671" s="78" t="s">
        <v>122</v>
      </c>
      <c r="E671" s="80" t="s">
        <v>123</v>
      </c>
      <c r="F671" s="78" t="str">
        <f>VLOOKUP('표1'!$E671,구분!$C$3:$D$72,2,0)</f>
        <v>동일</v>
      </c>
      <c r="G671" s="81">
        <v>73919490</v>
      </c>
      <c r="H671" s="81">
        <v>47011121</v>
      </c>
      <c r="I671" s="81">
        <v>42737383</v>
      </c>
      <c r="J671" s="81">
        <v>22771292</v>
      </c>
      <c r="K671" s="81">
        <v>19966091</v>
      </c>
      <c r="L671" s="81">
        <v>13236960</v>
      </c>
      <c r="M671" s="81">
        <v>6729131</v>
      </c>
      <c r="N671" s="82">
        <v>9.1033244412265305E-2</v>
      </c>
    </row>
    <row r="672" spans="1:14" ht="14.25" hidden="1" customHeight="1">
      <c r="A672" s="78">
        <v>2025</v>
      </c>
      <c r="B672" s="78">
        <v>11</v>
      </c>
      <c r="C672" s="79" t="s">
        <v>193</v>
      </c>
      <c r="D672" s="78" t="s">
        <v>124</v>
      </c>
      <c r="E672" s="80" t="s">
        <v>125</v>
      </c>
      <c r="F672" s="78" t="str">
        <f>VLOOKUP('표1'!$E672,구분!$C$3:$D$72,2,0)</f>
        <v>동일</v>
      </c>
      <c r="G672" s="81">
        <v>100248180</v>
      </c>
      <c r="H672" s="81">
        <v>64142518</v>
      </c>
      <c r="I672" s="81">
        <v>58311380</v>
      </c>
      <c r="J672" s="81">
        <v>29814313</v>
      </c>
      <c r="K672" s="81">
        <v>28497067</v>
      </c>
      <c r="L672" s="81">
        <v>8291190</v>
      </c>
      <c r="M672" s="81">
        <v>20205877</v>
      </c>
      <c r="N672" s="82">
        <v>0.20155854201043899</v>
      </c>
    </row>
    <row r="673" spans="1:14" ht="14.25" hidden="1" customHeight="1">
      <c r="A673" s="78">
        <v>2025</v>
      </c>
      <c r="B673" s="78">
        <v>11</v>
      </c>
      <c r="C673" s="79" t="s">
        <v>193</v>
      </c>
      <c r="D673" s="78" t="s">
        <v>126</v>
      </c>
      <c r="E673" s="80" t="s">
        <v>127</v>
      </c>
      <c r="F673" s="78" t="str">
        <f>VLOOKUP('표1'!$E673,구분!$C$3:$D$72,2,0)</f>
        <v>동일</v>
      </c>
      <c r="G673" s="81">
        <v>93650240</v>
      </c>
      <c r="H673" s="81">
        <v>59841266</v>
      </c>
      <c r="I673" s="81">
        <v>54401151</v>
      </c>
      <c r="J673" s="81">
        <v>28576641</v>
      </c>
      <c r="K673" s="81">
        <v>25824510</v>
      </c>
      <c r="L673" s="81">
        <v>14048690</v>
      </c>
      <c r="M673" s="81">
        <v>11775820</v>
      </c>
      <c r="N673" s="82">
        <v>0.12574255015256799</v>
      </c>
    </row>
    <row r="674" spans="1:14" ht="14.25" customHeight="1">
      <c r="A674" s="78">
        <v>2025</v>
      </c>
      <c r="B674" s="78">
        <v>11</v>
      </c>
      <c r="C674" s="79" t="s">
        <v>193</v>
      </c>
      <c r="D674" s="78" t="s">
        <v>128</v>
      </c>
      <c r="E674" s="80" t="s">
        <v>129</v>
      </c>
      <c r="F674" s="78" t="str">
        <f>VLOOKUP('표1'!$E674,구분!$C$3:$D$72,2,0)</f>
        <v>동일</v>
      </c>
      <c r="G674" s="81">
        <v>161527470</v>
      </c>
      <c r="H674" s="81">
        <v>105141151</v>
      </c>
      <c r="I674" s="81">
        <v>95582865</v>
      </c>
      <c r="J674" s="81">
        <v>51319986</v>
      </c>
      <c r="K674" s="81">
        <v>44262879</v>
      </c>
      <c r="L674" s="81">
        <v>23413890</v>
      </c>
      <c r="M674" s="81">
        <v>20848989</v>
      </c>
      <c r="N674" s="82">
        <v>0.12907395256051499</v>
      </c>
    </row>
    <row r="675" spans="1:14" ht="14.25" hidden="1" customHeight="1">
      <c r="A675" s="78">
        <v>2025</v>
      </c>
      <c r="B675" s="78">
        <v>11</v>
      </c>
      <c r="C675" s="79" t="s">
        <v>193</v>
      </c>
      <c r="D675" s="78" t="s">
        <v>130</v>
      </c>
      <c r="E675" s="80" t="s">
        <v>131</v>
      </c>
      <c r="F675" s="78" t="str">
        <f>VLOOKUP('표1'!$E675,구분!$C$3:$D$72,2,0)</f>
        <v>동일</v>
      </c>
      <c r="G675" s="81">
        <v>62686000</v>
      </c>
      <c r="H675" s="81">
        <v>40226338</v>
      </c>
      <c r="I675" s="81">
        <v>36569398</v>
      </c>
      <c r="J675" s="81">
        <v>19290301</v>
      </c>
      <c r="K675" s="81">
        <v>17279097</v>
      </c>
      <c r="L675" s="81">
        <v>7992850</v>
      </c>
      <c r="M675" s="81">
        <v>9286247</v>
      </c>
      <c r="N675" s="82">
        <v>0.148139090067958</v>
      </c>
    </row>
    <row r="676" spans="1:14" ht="14.25" hidden="1" customHeight="1">
      <c r="A676" s="78">
        <v>2025</v>
      </c>
      <c r="B676" s="78">
        <v>11</v>
      </c>
      <c r="C676" s="79" t="s">
        <v>193</v>
      </c>
      <c r="D676" s="78" t="s">
        <v>132</v>
      </c>
      <c r="E676" s="80" t="s">
        <v>133</v>
      </c>
      <c r="F676" s="78" t="str">
        <f>VLOOKUP('표1'!$E676,구분!$C$3:$D$72,2,0)</f>
        <v>동일</v>
      </c>
      <c r="G676" s="81">
        <v>35600460</v>
      </c>
      <c r="H676" s="81">
        <v>22715396</v>
      </c>
      <c r="I676" s="81">
        <v>20650360</v>
      </c>
      <c r="J676" s="81">
        <v>9786684</v>
      </c>
      <c r="K676" s="81">
        <v>10863676</v>
      </c>
      <c r="L676" s="81">
        <v>5157100</v>
      </c>
      <c r="M676" s="81">
        <v>5706576</v>
      </c>
      <c r="N676" s="82">
        <v>0.160295007424061</v>
      </c>
    </row>
    <row r="677" spans="1:14" ht="14.25" hidden="1" customHeight="1">
      <c r="A677" s="78">
        <v>2025</v>
      </c>
      <c r="B677" s="78">
        <v>11</v>
      </c>
      <c r="C677" s="79" t="s">
        <v>193</v>
      </c>
      <c r="D677" s="78" t="s">
        <v>134</v>
      </c>
      <c r="E677" s="80" t="s">
        <v>135</v>
      </c>
      <c r="F677" s="78" t="str">
        <f>VLOOKUP('표1'!$E677,구분!$C$3:$D$72,2,0)</f>
        <v>동일</v>
      </c>
      <c r="G677" s="81">
        <v>51085060</v>
      </c>
      <c r="H677" s="81">
        <v>33097855</v>
      </c>
      <c r="I677" s="81">
        <v>30088959</v>
      </c>
      <c r="J677" s="81">
        <v>16267886</v>
      </c>
      <c r="K677" s="81">
        <v>13821073</v>
      </c>
      <c r="L677" s="81">
        <v>7276740</v>
      </c>
      <c r="M677" s="81">
        <v>6544333</v>
      </c>
      <c r="N677" s="82">
        <v>0.128106593199656</v>
      </c>
    </row>
    <row r="678" spans="1:14" ht="14.25" hidden="1" customHeight="1">
      <c r="A678" s="78">
        <v>2025</v>
      </c>
      <c r="B678" s="78">
        <v>11</v>
      </c>
      <c r="C678" s="79" t="s">
        <v>193</v>
      </c>
      <c r="D678" s="78" t="s">
        <v>136</v>
      </c>
      <c r="E678" s="80" t="s">
        <v>137</v>
      </c>
      <c r="F678" s="78" t="str">
        <f>VLOOKUP('표1'!$E678,구분!$C$3:$D$72,2,0)</f>
        <v>동일</v>
      </c>
      <c r="G678" s="81">
        <v>53957400</v>
      </c>
      <c r="H678" s="81">
        <v>34339381</v>
      </c>
      <c r="I678" s="81">
        <v>31217619</v>
      </c>
      <c r="J678" s="81">
        <v>16879309</v>
      </c>
      <c r="K678" s="81">
        <v>14338310</v>
      </c>
      <c r="L678" s="81">
        <v>6566800</v>
      </c>
      <c r="M678" s="81">
        <v>7771510</v>
      </c>
      <c r="N678" s="82">
        <v>0.14403047589394599</v>
      </c>
    </row>
    <row r="679" spans="1:14" ht="14.25" hidden="1" customHeight="1">
      <c r="A679" s="78">
        <v>2025</v>
      </c>
      <c r="B679" s="78">
        <v>11</v>
      </c>
      <c r="C679" s="79" t="s">
        <v>193</v>
      </c>
      <c r="D679" s="78" t="s">
        <v>138</v>
      </c>
      <c r="E679" s="80" t="s">
        <v>139</v>
      </c>
      <c r="F679" s="78" t="str">
        <f>VLOOKUP('표1'!$E679,구분!$C$3:$D$72,2,0)</f>
        <v>동일</v>
      </c>
      <c r="G679" s="81">
        <v>39399740</v>
      </c>
      <c r="H679" s="81">
        <v>25889146</v>
      </c>
      <c r="I679" s="81">
        <v>23535587</v>
      </c>
      <c r="J679" s="81">
        <v>11517844</v>
      </c>
      <c r="K679" s="81">
        <v>12017743</v>
      </c>
      <c r="L679" s="81">
        <v>5211930</v>
      </c>
      <c r="M679" s="81">
        <v>6805813</v>
      </c>
      <c r="N679" s="82">
        <v>0.172737510450577</v>
      </c>
    </row>
    <row r="680" spans="1:14" ht="14.25" hidden="1" customHeight="1">
      <c r="A680" s="78">
        <v>2025</v>
      </c>
      <c r="B680" s="78">
        <v>11</v>
      </c>
      <c r="C680" s="79" t="s">
        <v>193</v>
      </c>
      <c r="D680" s="78" t="s">
        <v>140</v>
      </c>
      <c r="E680" s="80" t="s">
        <v>141</v>
      </c>
      <c r="F680" s="78" t="str">
        <f>VLOOKUP('표1'!$E680,구분!$C$3:$D$72,2,0)</f>
        <v>동일</v>
      </c>
      <c r="G680" s="81">
        <v>75116700</v>
      </c>
      <c r="H680" s="81">
        <v>48394872</v>
      </c>
      <c r="I680" s="81">
        <v>43995338</v>
      </c>
      <c r="J680" s="81">
        <v>22658440</v>
      </c>
      <c r="K680" s="81">
        <v>21336898</v>
      </c>
      <c r="L680" s="81">
        <v>10485350</v>
      </c>
      <c r="M680" s="81">
        <v>10851548</v>
      </c>
      <c r="N680" s="82">
        <v>0.144462522980908</v>
      </c>
    </row>
    <row r="681" spans="1:14" ht="14.25" hidden="1" customHeight="1">
      <c r="A681" s="78">
        <v>2025</v>
      </c>
      <c r="B681" s="78">
        <v>11</v>
      </c>
      <c r="C681" s="79" t="s">
        <v>193</v>
      </c>
      <c r="D681" s="78" t="s">
        <v>142</v>
      </c>
      <c r="E681" s="80" t="s">
        <v>143</v>
      </c>
      <c r="F681" s="78" t="str">
        <f>VLOOKUP('표1'!$E681,구분!$C$3:$D$72,2,0)</f>
        <v>동일</v>
      </c>
      <c r="G681" s="81">
        <v>65741450</v>
      </c>
      <c r="H681" s="81">
        <v>43798861</v>
      </c>
      <c r="I681" s="81">
        <v>39817146</v>
      </c>
      <c r="J681" s="81">
        <v>20278812</v>
      </c>
      <c r="K681" s="81">
        <v>19538334</v>
      </c>
      <c r="L681" s="81">
        <v>6334890</v>
      </c>
      <c r="M681" s="81">
        <v>13203444</v>
      </c>
      <c r="N681" s="82">
        <v>0.20083895320228001</v>
      </c>
    </row>
    <row r="682" spans="1:14" ht="14.25" hidden="1" customHeight="1">
      <c r="A682" s="78">
        <v>2025</v>
      </c>
      <c r="B682" s="78">
        <v>11</v>
      </c>
      <c r="C682" s="79" t="s">
        <v>193</v>
      </c>
      <c r="D682" s="78" t="s">
        <v>144</v>
      </c>
      <c r="E682" s="80" t="s">
        <v>145</v>
      </c>
      <c r="F682" s="78" t="str">
        <f>VLOOKUP('표1'!$E682,구분!$C$3:$D$72,2,0)</f>
        <v>동일</v>
      </c>
      <c r="G682" s="81">
        <v>44042820</v>
      </c>
      <c r="H682" s="81">
        <v>28320467</v>
      </c>
      <c r="I682" s="81">
        <v>25745879</v>
      </c>
      <c r="J682" s="81">
        <v>13741885</v>
      </c>
      <c r="K682" s="81">
        <v>12003994</v>
      </c>
      <c r="L682" s="81">
        <v>7088940</v>
      </c>
      <c r="M682" s="81">
        <v>4915054</v>
      </c>
      <c r="N682" s="82">
        <v>0.111597168392033</v>
      </c>
    </row>
    <row r="683" spans="1:14" ht="14.25" hidden="1" customHeight="1">
      <c r="A683" s="78">
        <v>2025</v>
      </c>
      <c r="B683" s="78">
        <v>11</v>
      </c>
      <c r="C683" s="79" t="s">
        <v>193</v>
      </c>
      <c r="D683" s="78" t="s">
        <v>146</v>
      </c>
      <c r="E683" s="80" t="s">
        <v>147</v>
      </c>
      <c r="F683" s="78" t="str">
        <f>VLOOKUP('표1'!$E683,구분!$C$3:$D$72,2,0)</f>
        <v>동일</v>
      </c>
      <c r="G683" s="81">
        <v>81956300</v>
      </c>
      <c r="H683" s="81">
        <v>53042303</v>
      </c>
      <c r="I683" s="81">
        <v>48220275</v>
      </c>
      <c r="J683" s="81">
        <v>24996486</v>
      </c>
      <c r="K683" s="81">
        <v>23223789</v>
      </c>
      <c r="L683" s="81">
        <v>9890790</v>
      </c>
      <c r="M683" s="81">
        <v>13332999</v>
      </c>
      <c r="N683" s="82">
        <v>0.162684247580723</v>
      </c>
    </row>
    <row r="684" spans="1:14" ht="14.25" hidden="1" customHeight="1">
      <c r="A684" s="78">
        <v>2025</v>
      </c>
      <c r="B684" s="78">
        <v>11</v>
      </c>
      <c r="C684" s="79" t="s">
        <v>193</v>
      </c>
      <c r="D684" s="78" t="s">
        <v>148</v>
      </c>
      <c r="E684" s="80" t="s">
        <v>149</v>
      </c>
      <c r="F684" s="78" t="str">
        <f>VLOOKUP('표1'!$E684,구분!$C$3:$D$72,2,0)</f>
        <v>동일</v>
      </c>
      <c r="G684" s="81">
        <v>25228650</v>
      </c>
      <c r="H684" s="81">
        <v>16376982</v>
      </c>
      <c r="I684" s="81">
        <v>14888165</v>
      </c>
      <c r="J684" s="81">
        <v>9481754</v>
      </c>
      <c r="K684" s="81">
        <v>5406411</v>
      </c>
      <c r="L684" s="81">
        <v>4899854</v>
      </c>
      <c r="M684" s="81">
        <v>506557</v>
      </c>
      <c r="N684" s="82">
        <v>2.0078640751685101E-2</v>
      </c>
    </row>
    <row r="685" spans="1:14" ht="14.25" hidden="1" customHeight="1">
      <c r="A685" s="78">
        <v>2025</v>
      </c>
      <c r="B685" s="78">
        <v>11</v>
      </c>
      <c r="C685" s="79" t="s">
        <v>193</v>
      </c>
      <c r="D685" s="78" t="s">
        <v>150</v>
      </c>
      <c r="E685" s="80" t="s">
        <v>151</v>
      </c>
      <c r="F685" s="78" t="str">
        <f>VLOOKUP('표1'!$E685,구분!$C$3:$D$72,2,0)</f>
        <v>동일</v>
      </c>
      <c r="G685" s="81">
        <v>40916580</v>
      </c>
      <c r="H685" s="81">
        <v>27222730</v>
      </c>
      <c r="I685" s="81">
        <v>24747936</v>
      </c>
      <c r="J685" s="81">
        <v>13379126</v>
      </c>
      <c r="K685" s="81">
        <v>11368810</v>
      </c>
      <c r="L685" s="81">
        <v>6117490</v>
      </c>
      <c r="M685" s="81">
        <v>5251320</v>
      </c>
      <c r="N685" s="82">
        <v>0.128342104838674</v>
      </c>
    </row>
    <row r="686" spans="1:14" ht="15" hidden="1" customHeight="1">
      <c r="A686" s="78">
        <v>2025</v>
      </c>
      <c r="B686" s="78">
        <v>11</v>
      </c>
      <c r="C686" s="79" t="s">
        <v>193</v>
      </c>
      <c r="D686" s="78" t="s">
        <v>152</v>
      </c>
      <c r="E686" s="78" t="s">
        <v>153</v>
      </c>
      <c r="F686" s="78" t="str">
        <f>VLOOKUP('표1'!$E686,구분!$C$3:$D$72,2,0)</f>
        <v>동일</v>
      </c>
      <c r="G686" s="81">
        <v>34329180</v>
      </c>
      <c r="H686" s="81">
        <v>23541936</v>
      </c>
      <c r="I686" s="81">
        <v>21401760</v>
      </c>
      <c r="J686" s="81">
        <v>9297726</v>
      </c>
      <c r="K686" s="81">
        <v>12104034</v>
      </c>
      <c r="L686" s="81">
        <v>6509390</v>
      </c>
      <c r="M686" s="81">
        <v>5594644</v>
      </c>
      <c r="N686" s="82">
        <v>0.162970510801598</v>
      </c>
    </row>
    <row r="687" spans="1:14" ht="15" hidden="1" customHeight="1">
      <c r="A687" s="78">
        <v>2025</v>
      </c>
      <c r="B687" s="78">
        <v>11</v>
      </c>
      <c r="C687" s="79" t="s">
        <v>193</v>
      </c>
      <c r="D687" s="78" t="s">
        <v>189</v>
      </c>
      <c r="E687" s="78" t="s">
        <v>190</v>
      </c>
      <c r="F687" s="78" t="str">
        <f>VLOOKUP('표1'!$E687,구분!$C$3:$D$72,2,0)</f>
        <v>동일</v>
      </c>
      <c r="G687" s="81">
        <v>32372550</v>
      </c>
      <c r="H687" s="81">
        <v>21383558</v>
      </c>
      <c r="I687" s="81">
        <v>19439598</v>
      </c>
      <c r="J687" s="81">
        <v>9832182</v>
      </c>
      <c r="K687" s="81">
        <v>9607416</v>
      </c>
      <c r="L687" s="81">
        <v>5635670</v>
      </c>
      <c r="M687" s="81">
        <v>3971746</v>
      </c>
      <c r="N687" s="82">
        <v>0.12268869767750799</v>
      </c>
    </row>
    <row r="688" spans="1:14" ht="14.25" hidden="1" customHeight="1">
      <c r="A688" s="78">
        <v>2025</v>
      </c>
      <c r="B688" s="78">
        <v>11</v>
      </c>
      <c r="C688" s="79" t="s">
        <v>193</v>
      </c>
      <c r="D688" s="78" t="s">
        <v>154</v>
      </c>
      <c r="E688" s="80" t="s">
        <v>155</v>
      </c>
      <c r="F688" s="78" t="str">
        <f>VLOOKUP('표1'!$E688,구분!$C$3:$D$72,2,0)</f>
        <v>동일</v>
      </c>
      <c r="G688" s="81">
        <v>81531560</v>
      </c>
      <c r="H688" s="81">
        <v>51376774</v>
      </c>
      <c r="I688" s="81">
        <v>46706158</v>
      </c>
      <c r="J688" s="81">
        <v>23806876</v>
      </c>
      <c r="K688" s="81">
        <v>22899282</v>
      </c>
      <c r="L688" s="81">
        <v>12877630</v>
      </c>
      <c r="M688" s="81">
        <v>10021652</v>
      </c>
      <c r="N688" s="82">
        <v>0.12291745674926401</v>
      </c>
    </row>
    <row r="689" spans="1:14" ht="14.25" hidden="1" customHeight="1">
      <c r="A689" s="78">
        <v>2025</v>
      </c>
      <c r="B689" s="78">
        <v>11</v>
      </c>
      <c r="C689" s="79" t="s">
        <v>193</v>
      </c>
      <c r="D689" s="78" t="s">
        <v>156</v>
      </c>
      <c r="E689" s="80" t="s">
        <v>157</v>
      </c>
      <c r="F689" s="78" t="str">
        <f>VLOOKUP('표1'!$E689,구분!$C$3:$D$72,2,0)</f>
        <v>동일</v>
      </c>
      <c r="G689" s="81">
        <v>90748050</v>
      </c>
      <c r="H689" s="81">
        <v>69422342</v>
      </c>
      <c r="I689" s="81">
        <v>63111220</v>
      </c>
      <c r="J689" s="81">
        <v>27357608</v>
      </c>
      <c r="K689" s="81">
        <v>35753612</v>
      </c>
      <c r="L689" s="81">
        <v>12252140</v>
      </c>
      <c r="M689" s="81">
        <v>23501472</v>
      </c>
      <c r="N689" s="82">
        <v>0.25897495318081198</v>
      </c>
    </row>
    <row r="690" spans="1:14" ht="14.25" hidden="1" customHeight="1">
      <c r="A690" s="78">
        <v>2025</v>
      </c>
      <c r="B690" s="78">
        <v>11</v>
      </c>
      <c r="C690" s="79" t="s">
        <v>193</v>
      </c>
      <c r="D690" s="78" t="s">
        <v>158</v>
      </c>
      <c r="E690" s="80" t="s">
        <v>159</v>
      </c>
      <c r="F690" s="78" t="str">
        <f>VLOOKUP('표1'!$E690,구분!$C$3:$D$72,2,0)</f>
        <v>동일</v>
      </c>
      <c r="G690" s="81">
        <v>46576830</v>
      </c>
      <c r="H690" s="81">
        <v>35864179</v>
      </c>
      <c r="I690" s="81">
        <v>32603799</v>
      </c>
      <c r="J690" s="81">
        <v>15631430</v>
      </c>
      <c r="K690" s="81">
        <v>16972369</v>
      </c>
      <c r="L690" s="81">
        <v>7453450</v>
      </c>
      <c r="M690" s="81">
        <v>9518919</v>
      </c>
      <c r="N690" s="82">
        <v>0.20437026306856901</v>
      </c>
    </row>
    <row r="691" spans="1:14" ht="14.25" hidden="1" customHeight="1">
      <c r="A691" s="78">
        <v>2025</v>
      </c>
      <c r="B691" s="78">
        <v>11</v>
      </c>
      <c r="C691" s="79" t="s">
        <v>193</v>
      </c>
      <c r="D691" s="78" t="s">
        <v>160</v>
      </c>
      <c r="E691" s="80" t="s">
        <v>161</v>
      </c>
      <c r="F691" s="78" t="str">
        <f>VLOOKUP('표1'!$E691,구분!$C$3:$D$72,2,0)</f>
        <v>동일</v>
      </c>
      <c r="G691" s="81">
        <v>52873990</v>
      </c>
      <c r="H691" s="81">
        <v>40448630</v>
      </c>
      <c r="I691" s="81">
        <v>36771482</v>
      </c>
      <c r="J691" s="81">
        <v>17066244</v>
      </c>
      <c r="K691" s="81">
        <v>19705238</v>
      </c>
      <c r="L691" s="81">
        <v>8480240</v>
      </c>
      <c r="M691" s="81">
        <v>11224998</v>
      </c>
      <c r="N691" s="82">
        <v>0.21229716161008499</v>
      </c>
    </row>
    <row r="692" spans="1:14" ht="14.25" hidden="1" customHeight="1">
      <c r="A692" s="78">
        <v>2025</v>
      </c>
      <c r="B692" s="78">
        <v>11</v>
      </c>
      <c r="C692" s="79" t="s">
        <v>193</v>
      </c>
      <c r="D692" s="78" t="s">
        <v>162</v>
      </c>
      <c r="E692" s="80" t="s">
        <v>163</v>
      </c>
      <c r="F692" s="78" t="str">
        <f>VLOOKUP('표1'!$E692,구분!$C$3:$D$72,2,0)</f>
        <v>동일</v>
      </c>
      <c r="G692" s="81">
        <v>24431540</v>
      </c>
      <c r="H692" s="81">
        <v>18812312</v>
      </c>
      <c r="I692" s="81">
        <v>17102102</v>
      </c>
      <c r="J692" s="81">
        <v>7409891</v>
      </c>
      <c r="K692" s="81">
        <v>9692211</v>
      </c>
      <c r="L692" s="81">
        <v>5123350</v>
      </c>
      <c r="M692" s="81">
        <v>4568861</v>
      </c>
      <c r="N692" s="82">
        <v>0.18700667252248501</v>
      </c>
    </row>
    <row r="693" spans="1:14" ht="14.25" hidden="1" customHeight="1">
      <c r="A693" s="78">
        <v>2025</v>
      </c>
      <c r="B693" s="78">
        <v>11</v>
      </c>
      <c r="C693" s="79" t="s">
        <v>193</v>
      </c>
      <c r="D693" s="78" t="s">
        <v>164</v>
      </c>
      <c r="E693" s="80" t="s">
        <v>165</v>
      </c>
      <c r="F693" s="78" t="str">
        <f>VLOOKUP('표1'!$E693,구분!$C$3:$D$72,2,0)</f>
        <v>동일</v>
      </c>
      <c r="G693" s="81">
        <v>46782790</v>
      </c>
      <c r="H693" s="81">
        <v>36022781</v>
      </c>
      <c r="I693" s="81">
        <v>32747983</v>
      </c>
      <c r="J693" s="81">
        <v>14932600</v>
      </c>
      <c r="K693" s="81">
        <v>17815383</v>
      </c>
      <c r="L693" s="81">
        <v>8113770</v>
      </c>
      <c r="M693" s="81">
        <v>9701613</v>
      </c>
      <c r="N693" s="82">
        <v>0.20737568238234599</v>
      </c>
    </row>
    <row r="694" spans="1:14" ht="14.25" hidden="1" customHeight="1">
      <c r="A694" s="78">
        <v>2025</v>
      </c>
      <c r="B694" s="78">
        <v>11</v>
      </c>
      <c r="C694" s="79" t="s">
        <v>193</v>
      </c>
      <c r="D694" s="78" t="s">
        <v>166</v>
      </c>
      <c r="E694" s="80" t="s">
        <v>167</v>
      </c>
      <c r="F694" s="78" t="str">
        <f>VLOOKUP('표1'!$E694,구분!$C$3:$D$72,2,0)</f>
        <v>동일</v>
      </c>
      <c r="G694" s="81">
        <v>21979190</v>
      </c>
      <c r="H694" s="81">
        <v>16923990</v>
      </c>
      <c r="I694" s="81">
        <v>15385445</v>
      </c>
      <c r="J694" s="81">
        <v>7590557</v>
      </c>
      <c r="K694" s="81">
        <v>7794888</v>
      </c>
      <c r="L694" s="81">
        <v>5309590</v>
      </c>
      <c r="M694" s="81">
        <v>2485298</v>
      </c>
      <c r="N694" s="82">
        <v>0.113075049626488</v>
      </c>
    </row>
    <row r="695" spans="1:14" ht="14.25" hidden="1" customHeight="1">
      <c r="A695" s="78">
        <v>2025</v>
      </c>
      <c r="B695" s="78">
        <v>11</v>
      </c>
      <c r="C695" s="79" t="s">
        <v>193</v>
      </c>
      <c r="D695" s="78" t="s">
        <v>168</v>
      </c>
      <c r="E695" s="80" t="s">
        <v>169</v>
      </c>
      <c r="F695" s="78" t="str">
        <f>VLOOKUP('표1'!$E695,구분!$C$3:$D$72,2,0)</f>
        <v>동일</v>
      </c>
      <c r="G695" s="81">
        <v>49538660</v>
      </c>
      <c r="H695" s="81">
        <v>38144782</v>
      </c>
      <c r="I695" s="81">
        <v>34677075</v>
      </c>
      <c r="J695" s="81">
        <v>15416289</v>
      </c>
      <c r="K695" s="81">
        <v>19260786</v>
      </c>
      <c r="L695" s="81">
        <v>6288070</v>
      </c>
      <c r="M695" s="81">
        <v>12972716</v>
      </c>
      <c r="N695" s="82">
        <v>0.26187054716457803</v>
      </c>
    </row>
    <row r="696" spans="1:14" ht="15" hidden="1" customHeight="1">
      <c r="A696" s="78">
        <v>2025</v>
      </c>
      <c r="B696" s="78">
        <v>11</v>
      </c>
      <c r="C696" s="79" t="s">
        <v>193</v>
      </c>
      <c r="D696" s="78" t="s">
        <v>172</v>
      </c>
      <c r="E696" s="78" t="s">
        <v>173</v>
      </c>
      <c r="F696" s="78" t="str">
        <f>VLOOKUP('표1'!$E696,구분!$C$3:$D$72,2,0)</f>
        <v>동일</v>
      </c>
      <c r="G696" s="81">
        <v>37321930</v>
      </c>
      <c r="H696" s="81">
        <v>29111107</v>
      </c>
      <c r="I696" s="81">
        <v>26464643</v>
      </c>
      <c r="J696" s="81">
        <v>12607878</v>
      </c>
      <c r="K696" s="81">
        <v>13856765</v>
      </c>
      <c r="L696" s="81">
        <v>8303540</v>
      </c>
      <c r="M696" s="81">
        <v>5553225</v>
      </c>
      <c r="N696" s="82">
        <v>0.14879254636617101</v>
      </c>
    </row>
    <row r="697" spans="1:14" ht="14.25" hidden="1" customHeight="1">
      <c r="A697" s="78">
        <v>2025</v>
      </c>
      <c r="B697" s="78">
        <v>11</v>
      </c>
      <c r="C697" s="79" t="s">
        <v>193</v>
      </c>
      <c r="D697" s="78" t="s">
        <v>174</v>
      </c>
      <c r="E697" s="80" t="s">
        <v>175</v>
      </c>
      <c r="F697" s="78" t="str">
        <f>VLOOKUP('표1'!$E697,구분!$C$3:$D$72,2,0)</f>
        <v>동일</v>
      </c>
      <c r="G697" s="81">
        <v>22601210</v>
      </c>
      <c r="H697" s="81">
        <v>18985018</v>
      </c>
      <c r="I697" s="81">
        <v>17259107</v>
      </c>
      <c r="J697" s="81">
        <v>7307235</v>
      </c>
      <c r="K697" s="81">
        <v>9951872</v>
      </c>
      <c r="L697" s="81">
        <v>4850890</v>
      </c>
      <c r="M697" s="81">
        <v>5100982</v>
      </c>
      <c r="N697" s="82">
        <v>0.22569508446671699</v>
      </c>
    </row>
    <row r="698" spans="1:14" ht="14.25" hidden="1" customHeight="1">
      <c r="A698" s="78">
        <v>2025</v>
      </c>
      <c r="B698" s="78">
        <v>11</v>
      </c>
      <c r="C698" s="79" t="s">
        <v>193</v>
      </c>
      <c r="D698" s="78" t="s">
        <v>176</v>
      </c>
      <c r="E698" s="80" t="s">
        <v>177</v>
      </c>
      <c r="F698" s="78" t="str">
        <f>VLOOKUP('표1'!$E698,구분!$C$3:$D$72,2,0)</f>
        <v>동일</v>
      </c>
      <c r="G698" s="81">
        <v>81712670</v>
      </c>
      <c r="H698" s="81">
        <v>62918786</v>
      </c>
      <c r="I698" s="81">
        <v>57198896</v>
      </c>
      <c r="J698" s="81">
        <v>26063769</v>
      </c>
      <c r="K698" s="81">
        <v>31135127</v>
      </c>
      <c r="L698" s="81">
        <v>13892310</v>
      </c>
      <c r="M698" s="81">
        <v>17242817</v>
      </c>
      <c r="N698" s="82">
        <v>0.21101766715002701</v>
      </c>
    </row>
    <row r="699" spans="1:14" ht="14.25" hidden="1" customHeight="1">
      <c r="A699" s="78">
        <v>2025</v>
      </c>
      <c r="B699" s="78">
        <v>11</v>
      </c>
      <c r="C699" s="79" t="s">
        <v>193</v>
      </c>
      <c r="D699" s="78" t="s">
        <v>178</v>
      </c>
      <c r="E699" s="80" t="s">
        <v>179</v>
      </c>
      <c r="F699" s="78" t="str">
        <f>VLOOKUP('표1'!$E699,구분!$C$3:$D$72,2,0)</f>
        <v>동일</v>
      </c>
      <c r="G699" s="81">
        <v>103059380</v>
      </c>
      <c r="H699" s="81">
        <v>79355773</v>
      </c>
      <c r="I699" s="81">
        <v>72141612</v>
      </c>
      <c r="J699" s="81">
        <v>32842847</v>
      </c>
      <c r="K699" s="81">
        <v>39298765</v>
      </c>
      <c r="L699" s="81">
        <v>13398870</v>
      </c>
      <c r="M699" s="81">
        <v>25899895</v>
      </c>
      <c r="N699" s="82">
        <v>0.251310409591053</v>
      </c>
    </row>
    <row r="700" spans="1:14" ht="14.25" hidden="1" customHeight="1">
      <c r="A700" s="73">
        <v>2025</v>
      </c>
      <c r="B700" s="73">
        <v>12</v>
      </c>
      <c r="C700" s="74" t="s">
        <v>194</v>
      </c>
      <c r="D700" s="73" t="s">
        <v>54</v>
      </c>
      <c r="E700" s="75" t="s">
        <v>55</v>
      </c>
      <c r="F700" s="73" t="str">
        <f>VLOOKUP('표1'!$E700,구분!$C$3:$D$72,2,0)</f>
        <v>동일</v>
      </c>
      <c r="G700" s="76">
        <v>78632100</v>
      </c>
      <c r="H700" s="76">
        <v>50952712</v>
      </c>
      <c r="I700" s="76">
        <v>46320647</v>
      </c>
      <c r="J700" s="76">
        <v>22734736</v>
      </c>
      <c r="K700" s="76">
        <v>23585911</v>
      </c>
      <c r="L700" s="76">
        <v>6728210</v>
      </c>
      <c r="M700" s="76">
        <v>16857701</v>
      </c>
      <c r="N700" s="77">
        <v>0.21438701242876601</v>
      </c>
    </row>
    <row r="701" spans="1:14" ht="14.25" hidden="1" customHeight="1">
      <c r="A701" s="78">
        <v>2025</v>
      </c>
      <c r="B701" s="78">
        <v>12</v>
      </c>
      <c r="C701" s="79" t="s">
        <v>194</v>
      </c>
      <c r="D701" s="78" t="s">
        <v>56</v>
      </c>
      <c r="E701" s="80" t="s">
        <v>57</v>
      </c>
      <c r="F701" s="78" t="str">
        <f>VLOOKUP('표1'!$E701,구분!$C$3:$D$72,2,0)</f>
        <v>동일</v>
      </c>
      <c r="G701" s="81">
        <v>18644160</v>
      </c>
      <c r="H701" s="81">
        <v>12073712</v>
      </c>
      <c r="I701" s="81">
        <v>10976102</v>
      </c>
      <c r="J701" s="81">
        <v>5601705</v>
      </c>
      <c r="K701" s="81">
        <v>5374397</v>
      </c>
      <c r="L701" s="81">
        <v>4814460</v>
      </c>
      <c r="M701" s="81">
        <v>559937</v>
      </c>
      <c r="N701" s="82">
        <v>3.0032836019429101E-2</v>
      </c>
    </row>
    <row r="702" spans="1:14" ht="14.25" hidden="1" customHeight="1">
      <c r="A702" s="78">
        <v>2025</v>
      </c>
      <c r="B702" s="78">
        <v>12</v>
      </c>
      <c r="C702" s="79" t="s">
        <v>194</v>
      </c>
      <c r="D702" s="78" t="s">
        <v>58</v>
      </c>
      <c r="E702" s="80" t="s">
        <v>59</v>
      </c>
      <c r="F702" s="78" t="str">
        <f>VLOOKUP('표1'!$E702,구분!$C$3:$D$72,2,0)</f>
        <v>동일</v>
      </c>
      <c r="G702" s="81">
        <v>50416600</v>
      </c>
      <c r="H702" s="81">
        <v>33106116</v>
      </c>
      <c r="I702" s="81">
        <v>30096469</v>
      </c>
      <c r="J702" s="81">
        <v>17358640</v>
      </c>
      <c r="K702" s="81">
        <v>12737829</v>
      </c>
      <c r="L702" s="81">
        <v>6522930</v>
      </c>
      <c r="M702" s="81">
        <v>6214899</v>
      </c>
      <c r="N702" s="82">
        <v>0.123270886969768</v>
      </c>
    </row>
    <row r="703" spans="1:14" ht="14.25" hidden="1" customHeight="1">
      <c r="A703" s="78">
        <v>2025</v>
      </c>
      <c r="B703" s="78">
        <v>12</v>
      </c>
      <c r="C703" s="79" t="s">
        <v>194</v>
      </c>
      <c r="D703" s="78" t="s">
        <v>60</v>
      </c>
      <c r="E703" s="80" t="s">
        <v>61</v>
      </c>
      <c r="F703" s="78" t="str">
        <f>VLOOKUP('표1'!$E703,구분!$C$3:$D$72,2,0)</f>
        <v>동일</v>
      </c>
      <c r="G703" s="81">
        <v>37107850</v>
      </c>
      <c r="H703" s="81">
        <v>23711574</v>
      </c>
      <c r="I703" s="81">
        <v>21555976</v>
      </c>
      <c r="J703" s="81">
        <v>10408917</v>
      </c>
      <c r="K703" s="81">
        <v>11147059</v>
      </c>
      <c r="L703" s="81">
        <v>5436220</v>
      </c>
      <c r="M703" s="81">
        <v>5710839</v>
      </c>
      <c r="N703" s="82">
        <v>0.153898406940849</v>
      </c>
    </row>
    <row r="704" spans="1:14" ht="14.25" hidden="1" customHeight="1">
      <c r="A704" s="78">
        <v>2025</v>
      </c>
      <c r="B704" s="78">
        <v>12</v>
      </c>
      <c r="C704" s="79" t="s">
        <v>194</v>
      </c>
      <c r="D704" s="78" t="s">
        <v>62</v>
      </c>
      <c r="E704" s="80" t="s">
        <v>63</v>
      </c>
      <c r="F704" s="78" t="str">
        <f>VLOOKUP('표1'!$E704,구분!$C$3:$D$72,2,0)</f>
        <v>동일</v>
      </c>
      <c r="G704" s="81">
        <v>67026840</v>
      </c>
      <c r="H704" s="81">
        <v>43275134</v>
      </c>
      <c r="I704" s="81">
        <v>39341031</v>
      </c>
      <c r="J704" s="81">
        <v>18646490</v>
      </c>
      <c r="K704" s="81">
        <v>20694541</v>
      </c>
      <c r="L704" s="81">
        <v>10063780</v>
      </c>
      <c r="M704" s="81">
        <v>10630761</v>
      </c>
      <c r="N704" s="82">
        <v>0.15860453812233999</v>
      </c>
    </row>
    <row r="705" spans="1:14" ht="14.25" hidden="1" customHeight="1">
      <c r="A705" s="78">
        <v>2025</v>
      </c>
      <c r="B705" s="78">
        <v>12</v>
      </c>
      <c r="C705" s="79" t="s">
        <v>194</v>
      </c>
      <c r="D705" s="78" t="s">
        <v>64</v>
      </c>
      <c r="E705" s="80" t="s">
        <v>65</v>
      </c>
      <c r="F705" s="78" t="str">
        <f>VLOOKUP('표1'!$E705,구분!$C$3:$D$72,2,0)</f>
        <v>동일</v>
      </c>
      <c r="G705" s="81">
        <v>32162130</v>
      </c>
      <c r="H705" s="81">
        <v>20812376</v>
      </c>
      <c r="I705" s="81">
        <v>18920342</v>
      </c>
      <c r="J705" s="81">
        <v>9381120</v>
      </c>
      <c r="K705" s="81">
        <v>9539222</v>
      </c>
      <c r="L705" s="81">
        <v>5623840</v>
      </c>
      <c r="M705" s="81">
        <v>3915382</v>
      </c>
      <c r="N705" s="82">
        <v>0.121738889806117</v>
      </c>
    </row>
    <row r="706" spans="1:14" ht="14.25" hidden="1" customHeight="1">
      <c r="A706" s="78">
        <v>2025</v>
      </c>
      <c r="B706" s="78">
        <v>12</v>
      </c>
      <c r="C706" s="79" t="s">
        <v>194</v>
      </c>
      <c r="D706" s="78" t="s">
        <v>66</v>
      </c>
      <c r="E706" s="80" t="s">
        <v>67</v>
      </c>
      <c r="F706" s="78" t="str">
        <f>VLOOKUP('표1'!$E706,구분!$C$3:$D$72,2,0)</f>
        <v>동일</v>
      </c>
      <c r="G706" s="81">
        <v>27655860</v>
      </c>
      <c r="H706" s="81">
        <v>17733091</v>
      </c>
      <c r="I706" s="81">
        <v>16120992</v>
      </c>
      <c r="J706" s="81">
        <v>10211718</v>
      </c>
      <c r="K706" s="81">
        <v>5909274</v>
      </c>
      <c r="L706" s="81">
        <v>5225800</v>
      </c>
      <c r="M706" s="81">
        <v>683474</v>
      </c>
      <c r="N706" s="82">
        <v>2.4713532683489099E-2</v>
      </c>
    </row>
    <row r="707" spans="1:14" ht="14.25" hidden="1" customHeight="1">
      <c r="A707" s="78">
        <v>2025</v>
      </c>
      <c r="B707" s="78">
        <v>12</v>
      </c>
      <c r="C707" s="79" t="s">
        <v>194</v>
      </c>
      <c r="D707" s="78" t="s">
        <v>68</v>
      </c>
      <c r="E707" s="80" t="s">
        <v>69</v>
      </c>
      <c r="F707" s="78" t="str">
        <f>VLOOKUP('표1'!$E707,구분!$C$3:$D$72,2,0)</f>
        <v>동일</v>
      </c>
      <c r="G707" s="81">
        <v>47191890</v>
      </c>
      <c r="H707" s="81">
        <v>30325725</v>
      </c>
      <c r="I707" s="81">
        <v>27568841</v>
      </c>
      <c r="J707" s="81">
        <v>14350657</v>
      </c>
      <c r="K707" s="81">
        <v>13218184</v>
      </c>
      <c r="L707" s="81">
        <v>6266780</v>
      </c>
      <c r="M707" s="81">
        <v>6951404</v>
      </c>
      <c r="N707" s="82">
        <v>0.14730081800072001</v>
      </c>
    </row>
    <row r="708" spans="1:14" ht="14.25" hidden="1" customHeight="1">
      <c r="A708" s="78">
        <v>2025</v>
      </c>
      <c r="B708" s="78">
        <v>12</v>
      </c>
      <c r="C708" s="79" t="s">
        <v>194</v>
      </c>
      <c r="D708" s="78" t="s">
        <v>70</v>
      </c>
      <c r="E708" s="80" t="s">
        <v>71</v>
      </c>
      <c r="F708" s="78" t="str">
        <f>VLOOKUP('표1'!$E708,구분!$C$3:$D$72,2,0)</f>
        <v>동일</v>
      </c>
      <c r="G708" s="81">
        <v>22498810</v>
      </c>
      <c r="H708" s="81">
        <v>14473670</v>
      </c>
      <c r="I708" s="81">
        <v>13157882</v>
      </c>
      <c r="J708" s="81">
        <v>6306463</v>
      </c>
      <c r="K708" s="81">
        <v>6851419</v>
      </c>
      <c r="L708" s="81">
        <v>5868970</v>
      </c>
      <c r="M708" s="81">
        <v>982449</v>
      </c>
      <c r="N708" s="82">
        <v>4.3666709483746E-2</v>
      </c>
    </row>
    <row r="709" spans="1:14" ht="14.25" hidden="1" customHeight="1">
      <c r="A709" s="78">
        <v>2025</v>
      </c>
      <c r="B709" s="78">
        <v>12</v>
      </c>
      <c r="C709" s="79" t="s">
        <v>194</v>
      </c>
      <c r="D709" s="78" t="s">
        <v>72</v>
      </c>
      <c r="E709" s="80" t="s">
        <v>73</v>
      </c>
      <c r="F709" s="78" t="str">
        <f>VLOOKUP('표1'!$E709,구분!$C$3:$D$72,2,0)</f>
        <v>동일</v>
      </c>
      <c r="G709" s="81">
        <v>14381850</v>
      </c>
      <c r="H709" s="81">
        <v>9310696</v>
      </c>
      <c r="I709" s="81">
        <v>8464269</v>
      </c>
      <c r="J709" s="81">
        <v>4328219</v>
      </c>
      <c r="K709" s="81">
        <v>4136050</v>
      </c>
      <c r="L709" s="81">
        <v>4648630</v>
      </c>
      <c r="M709" s="81">
        <v>-512580</v>
      </c>
      <c r="N709" s="82">
        <v>-3.5640755535623E-2</v>
      </c>
    </row>
    <row r="710" spans="1:14" ht="14.25" hidden="1" customHeight="1">
      <c r="A710" s="78">
        <v>2025</v>
      </c>
      <c r="B710" s="78">
        <v>12</v>
      </c>
      <c r="C710" s="79" t="s">
        <v>194</v>
      </c>
      <c r="D710" s="78" t="s">
        <v>74</v>
      </c>
      <c r="E710" s="80" t="s">
        <v>75</v>
      </c>
      <c r="F710" s="78" t="str">
        <f>VLOOKUP('표1'!$E710,구분!$C$3:$D$72,2,0)</f>
        <v>동일</v>
      </c>
      <c r="G710" s="81">
        <v>36250610</v>
      </c>
      <c r="H710" s="81">
        <v>23460998</v>
      </c>
      <c r="I710" s="81">
        <v>21328180</v>
      </c>
      <c r="J710" s="81">
        <v>10639119</v>
      </c>
      <c r="K710" s="81">
        <v>10689061</v>
      </c>
      <c r="L710" s="81">
        <v>6053040</v>
      </c>
      <c r="M710" s="81">
        <v>4636021</v>
      </c>
      <c r="N710" s="82">
        <v>0.127888082435027</v>
      </c>
    </row>
    <row r="711" spans="1:14" ht="14.25" hidden="1" customHeight="1">
      <c r="A711" s="78">
        <v>2025</v>
      </c>
      <c r="B711" s="78">
        <v>12</v>
      </c>
      <c r="C711" s="79" t="s">
        <v>194</v>
      </c>
      <c r="D711" s="78" t="s">
        <v>76</v>
      </c>
      <c r="E711" s="80" t="s">
        <v>77</v>
      </c>
      <c r="F711" s="78" t="str">
        <f>VLOOKUP('표1'!$E711,구분!$C$3:$D$72,2,0)</f>
        <v>동일</v>
      </c>
      <c r="G711" s="81">
        <v>46998040</v>
      </c>
      <c r="H711" s="81">
        <v>30035455</v>
      </c>
      <c r="I711" s="81">
        <v>27304959</v>
      </c>
      <c r="J711" s="81">
        <v>15393421</v>
      </c>
      <c r="K711" s="81">
        <v>11911538</v>
      </c>
      <c r="L711" s="81">
        <v>5571120</v>
      </c>
      <c r="M711" s="81">
        <v>6340418</v>
      </c>
      <c r="N711" s="82">
        <v>0.13490813659463299</v>
      </c>
    </row>
    <row r="712" spans="1:14" ht="14.25" hidden="1" customHeight="1">
      <c r="A712" s="78">
        <v>2025</v>
      </c>
      <c r="B712" s="78">
        <v>12</v>
      </c>
      <c r="C712" s="79" t="s">
        <v>194</v>
      </c>
      <c r="D712" s="78" t="s">
        <v>78</v>
      </c>
      <c r="E712" s="80" t="s">
        <v>79</v>
      </c>
      <c r="F712" s="78" t="str">
        <f>VLOOKUP('표1'!$E712,구분!$C$3:$D$72,2,0)</f>
        <v>동일</v>
      </c>
      <c r="G712" s="81">
        <v>84283440</v>
      </c>
      <c r="H712" s="81">
        <v>54531040</v>
      </c>
      <c r="I712" s="81">
        <v>49573673</v>
      </c>
      <c r="J712" s="81">
        <v>25153090</v>
      </c>
      <c r="K712" s="81">
        <v>24420583</v>
      </c>
      <c r="L712" s="81">
        <v>8412020</v>
      </c>
      <c r="M712" s="81">
        <v>16008563</v>
      </c>
      <c r="N712" s="82">
        <v>0.189937228475724</v>
      </c>
    </row>
    <row r="713" spans="1:14" ht="14.25" hidden="1" customHeight="1">
      <c r="A713" s="78">
        <v>2025</v>
      </c>
      <c r="B713" s="78">
        <v>12</v>
      </c>
      <c r="C713" s="79" t="s">
        <v>194</v>
      </c>
      <c r="D713" s="78" t="s">
        <v>80</v>
      </c>
      <c r="E713" s="80" t="s">
        <v>81</v>
      </c>
      <c r="F713" s="78" t="str">
        <f>VLOOKUP('표1'!$E713,구분!$C$3:$D$72,2,0)</f>
        <v>동일</v>
      </c>
      <c r="G713" s="81">
        <v>70082620</v>
      </c>
      <c r="H713" s="81">
        <v>45780382</v>
      </c>
      <c r="I713" s="81">
        <v>41618529</v>
      </c>
      <c r="J713" s="81">
        <v>20350555</v>
      </c>
      <c r="K713" s="81">
        <v>21267974</v>
      </c>
      <c r="L713" s="81">
        <v>9370240</v>
      </c>
      <c r="M713" s="81">
        <v>11897734</v>
      </c>
      <c r="N713" s="82">
        <v>0.169767254705946</v>
      </c>
    </row>
    <row r="714" spans="1:14" ht="14.25" hidden="1" customHeight="1">
      <c r="A714" s="78">
        <v>2025</v>
      </c>
      <c r="B714" s="78">
        <v>12</v>
      </c>
      <c r="C714" s="79" t="s">
        <v>194</v>
      </c>
      <c r="D714" s="78" t="s">
        <v>82</v>
      </c>
      <c r="E714" s="80" t="s">
        <v>83</v>
      </c>
      <c r="F714" s="78" t="str">
        <f>VLOOKUP('표1'!$E714,구분!$C$3:$D$72,2,0)</f>
        <v>동일</v>
      </c>
      <c r="G714" s="81">
        <v>24353500</v>
      </c>
      <c r="H714" s="81">
        <v>16028057</v>
      </c>
      <c r="I714" s="81">
        <v>14570961</v>
      </c>
      <c r="J714" s="81">
        <v>6974125</v>
      </c>
      <c r="K714" s="81">
        <v>7596836</v>
      </c>
      <c r="L714" s="81">
        <v>5948460</v>
      </c>
      <c r="M714" s="81">
        <v>1648376</v>
      </c>
      <c r="N714" s="82">
        <v>6.7685384031042795E-2</v>
      </c>
    </row>
    <row r="715" spans="1:14" ht="14.25" hidden="1" customHeight="1">
      <c r="A715" s="78">
        <v>2025</v>
      </c>
      <c r="B715" s="78">
        <v>12</v>
      </c>
      <c r="C715" s="79" t="s">
        <v>194</v>
      </c>
      <c r="D715" s="78" t="s">
        <v>84</v>
      </c>
      <c r="E715" s="80" t="s">
        <v>85</v>
      </c>
      <c r="F715" s="78" t="str">
        <f>VLOOKUP('표1'!$E715,구분!$C$3:$D$72,2,0)</f>
        <v>동일</v>
      </c>
      <c r="G715" s="81">
        <v>43321250</v>
      </c>
      <c r="H715" s="81">
        <v>27738355</v>
      </c>
      <c r="I715" s="81">
        <v>25216686</v>
      </c>
      <c r="J715" s="81">
        <v>12104981</v>
      </c>
      <c r="K715" s="81">
        <v>13111705</v>
      </c>
      <c r="L715" s="81">
        <v>6437460</v>
      </c>
      <c r="M715" s="81">
        <v>6674245</v>
      </c>
      <c r="N715" s="82">
        <v>0.154063998614998</v>
      </c>
    </row>
    <row r="716" spans="1:14" ht="14.25" hidden="1" customHeight="1">
      <c r="A716" s="78">
        <v>2025</v>
      </c>
      <c r="B716" s="78">
        <v>12</v>
      </c>
      <c r="C716" s="79" t="s">
        <v>194</v>
      </c>
      <c r="D716" s="78" t="s">
        <v>86</v>
      </c>
      <c r="E716" s="80" t="s">
        <v>87</v>
      </c>
      <c r="F716" s="78" t="str">
        <f>VLOOKUP('표1'!$E716,구분!$C$3:$D$72,2,0)</f>
        <v>동일</v>
      </c>
      <c r="G716" s="81">
        <v>29709580</v>
      </c>
      <c r="H716" s="81">
        <v>19135170</v>
      </c>
      <c r="I716" s="81">
        <v>17395609</v>
      </c>
      <c r="J716" s="81">
        <v>8001534</v>
      </c>
      <c r="K716" s="81">
        <v>9394075</v>
      </c>
      <c r="L716" s="81">
        <v>6511980</v>
      </c>
      <c r="M716" s="81">
        <v>2882095</v>
      </c>
      <c r="N716" s="82">
        <v>9.7008944589590307E-2</v>
      </c>
    </row>
    <row r="717" spans="1:14" ht="14.25" hidden="1" customHeight="1">
      <c r="A717" s="78">
        <v>2025</v>
      </c>
      <c r="B717" s="78">
        <v>12</v>
      </c>
      <c r="C717" s="79" t="s">
        <v>194</v>
      </c>
      <c r="D717" s="78" t="s">
        <v>88</v>
      </c>
      <c r="E717" s="80" t="s">
        <v>89</v>
      </c>
      <c r="F717" s="78" t="str">
        <f>VLOOKUP('표1'!$E717,구분!$C$3:$D$72,2,0)</f>
        <v>동일</v>
      </c>
      <c r="G717" s="81">
        <v>20610780</v>
      </c>
      <c r="H717" s="81">
        <v>13545240</v>
      </c>
      <c r="I717" s="81">
        <v>12313855</v>
      </c>
      <c r="J717" s="81">
        <v>5627781</v>
      </c>
      <c r="K717" s="81">
        <v>6686074</v>
      </c>
      <c r="L717" s="81">
        <v>5528090</v>
      </c>
      <c r="M717" s="81">
        <v>1157984</v>
      </c>
      <c r="N717" s="82">
        <v>5.6183414698521797E-2</v>
      </c>
    </row>
    <row r="718" spans="1:14" ht="14.25" hidden="1" customHeight="1">
      <c r="A718" s="78">
        <v>2025</v>
      </c>
      <c r="B718" s="78">
        <v>12</v>
      </c>
      <c r="C718" s="79" t="s">
        <v>194</v>
      </c>
      <c r="D718" s="78" t="s">
        <v>90</v>
      </c>
      <c r="E718" s="80" t="s">
        <v>91</v>
      </c>
      <c r="F718" s="78" t="str">
        <f>VLOOKUP('표1'!$E718,구분!$C$3:$D$72,2,0)</f>
        <v>동일</v>
      </c>
      <c r="G718" s="81">
        <v>29270800</v>
      </c>
      <c r="H718" s="81">
        <v>18707682</v>
      </c>
      <c r="I718" s="81">
        <v>17006984</v>
      </c>
      <c r="J718" s="81">
        <v>9905412</v>
      </c>
      <c r="K718" s="81">
        <v>7101572</v>
      </c>
      <c r="L718" s="81">
        <v>5714660</v>
      </c>
      <c r="M718" s="81">
        <v>1386912</v>
      </c>
      <c r="N718" s="82">
        <v>4.7382100933353398E-2</v>
      </c>
    </row>
    <row r="719" spans="1:14" ht="14.25" hidden="1" customHeight="1">
      <c r="A719" s="78">
        <v>2025</v>
      </c>
      <c r="B719" s="78">
        <v>12</v>
      </c>
      <c r="C719" s="79" t="s">
        <v>194</v>
      </c>
      <c r="D719" s="78" t="s">
        <v>92</v>
      </c>
      <c r="E719" s="80" t="s">
        <v>93</v>
      </c>
      <c r="F719" s="78" t="str">
        <f>VLOOKUP('표1'!$E719,구분!$C$3:$D$72,2,0)</f>
        <v>동일</v>
      </c>
      <c r="G719" s="81">
        <v>31156340</v>
      </c>
      <c r="H719" s="81">
        <v>20065663</v>
      </c>
      <c r="I719" s="81">
        <v>18241512</v>
      </c>
      <c r="J719" s="81">
        <v>8347917</v>
      </c>
      <c r="K719" s="81">
        <v>9893595</v>
      </c>
      <c r="L719" s="81">
        <v>6031110</v>
      </c>
      <c r="M719" s="81">
        <v>3862485</v>
      </c>
      <c r="N719" s="82">
        <v>0.123971076191876</v>
      </c>
    </row>
    <row r="720" spans="1:14" ht="14.25" hidden="1" customHeight="1">
      <c r="A720" s="78">
        <v>2025</v>
      </c>
      <c r="B720" s="78">
        <v>12</v>
      </c>
      <c r="C720" s="79" t="s">
        <v>194</v>
      </c>
      <c r="D720" s="78" t="s">
        <v>94</v>
      </c>
      <c r="E720" s="80" t="s">
        <v>95</v>
      </c>
      <c r="F720" s="78" t="str">
        <f>VLOOKUP('표1'!$E720,구분!$C$3:$D$72,2,0)</f>
        <v>폐점</v>
      </c>
      <c r="G720" s="81">
        <v>42479850</v>
      </c>
      <c r="H720" s="81">
        <v>27251367</v>
      </c>
      <c r="I720" s="81">
        <v>24773970</v>
      </c>
      <c r="J720" s="81">
        <v>13157622</v>
      </c>
      <c r="K720" s="81">
        <v>11616348</v>
      </c>
      <c r="L720" s="81">
        <v>6660960</v>
      </c>
      <c r="M720" s="81">
        <v>4955388</v>
      </c>
      <c r="N720" s="82">
        <v>0.116652671796158</v>
      </c>
    </row>
    <row r="721" spans="1:14" ht="14.25" hidden="1" customHeight="1">
      <c r="A721" s="78">
        <v>2025</v>
      </c>
      <c r="B721" s="78">
        <v>12</v>
      </c>
      <c r="C721" s="79" t="s">
        <v>194</v>
      </c>
      <c r="D721" s="78" t="s">
        <v>96</v>
      </c>
      <c r="E721" s="80" t="s">
        <v>97</v>
      </c>
      <c r="F721" s="78" t="str">
        <f>VLOOKUP('표1'!$E721,구분!$C$3:$D$72,2,0)</f>
        <v>동일</v>
      </c>
      <c r="G721" s="81">
        <v>75704720</v>
      </c>
      <c r="H721" s="81">
        <v>48647819</v>
      </c>
      <c r="I721" s="81">
        <v>44225290</v>
      </c>
      <c r="J721" s="81">
        <v>22451130</v>
      </c>
      <c r="K721" s="81">
        <v>21774160</v>
      </c>
      <c r="L721" s="81">
        <v>10326720</v>
      </c>
      <c r="M721" s="81">
        <v>11447440</v>
      </c>
      <c r="N721" s="82">
        <v>0.15121170780368801</v>
      </c>
    </row>
    <row r="722" spans="1:14" ht="14.25" hidden="1" customHeight="1">
      <c r="A722" s="78">
        <v>2025</v>
      </c>
      <c r="B722" s="78">
        <v>12</v>
      </c>
      <c r="C722" s="79" t="s">
        <v>194</v>
      </c>
      <c r="D722" s="78" t="s">
        <v>98</v>
      </c>
      <c r="E722" s="80" t="s">
        <v>99</v>
      </c>
      <c r="F722" s="78" t="str">
        <f>VLOOKUP('표1'!$E722,구분!$C$3:$D$72,2,0)</f>
        <v>동일</v>
      </c>
      <c r="G722" s="81">
        <v>63161700</v>
      </c>
      <c r="H722" s="81">
        <v>41085877</v>
      </c>
      <c r="I722" s="81">
        <v>37350797</v>
      </c>
      <c r="J722" s="81">
        <v>20290140</v>
      </c>
      <c r="K722" s="81">
        <v>17060657</v>
      </c>
      <c r="L722" s="81">
        <v>8617530</v>
      </c>
      <c r="M722" s="81">
        <v>8443127</v>
      </c>
      <c r="N722" s="82">
        <v>0.13367479026055401</v>
      </c>
    </row>
    <row r="723" spans="1:14" ht="14.25" hidden="1" customHeight="1">
      <c r="A723" s="78">
        <v>2025</v>
      </c>
      <c r="B723" s="78">
        <v>12</v>
      </c>
      <c r="C723" s="79" t="s">
        <v>194</v>
      </c>
      <c r="D723" s="78" t="s">
        <v>100</v>
      </c>
      <c r="E723" s="80" t="s">
        <v>101</v>
      </c>
      <c r="F723" s="78" t="str">
        <f>VLOOKUP('표1'!$E723,구분!$C$3:$D$72,2,0)</f>
        <v>동일</v>
      </c>
      <c r="G723" s="81">
        <v>60003890</v>
      </c>
      <c r="H723" s="81">
        <v>37400683</v>
      </c>
      <c r="I723" s="81">
        <v>34000621</v>
      </c>
      <c r="J723" s="81">
        <v>17431587</v>
      </c>
      <c r="K723" s="81">
        <v>16569034</v>
      </c>
      <c r="L723" s="81">
        <v>8600210</v>
      </c>
      <c r="M723" s="81">
        <v>7968824</v>
      </c>
      <c r="N723" s="82">
        <v>0.13280512313451701</v>
      </c>
    </row>
    <row r="724" spans="1:14" ht="14.25" hidden="1" customHeight="1">
      <c r="A724" s="78">
        <v>2025</v>
      </c>
      <c r="B724" s="78">
        <v>12</v>
      </c>
      <c r="C724" s="79" t="s">
        <v>194</v>
      </c>
      <c r="D724" s="78" t="s">
        <v>102</v>
      </c>
      <c r="E724" s="80" t="s">
        <v>103</v>
      </c>
      <c r="F724" s="78" t="str">
        <f>VLOOKUP('표1'!$E724,구분!$C$3:$D$72,2,0)</f>
        <v>동일</v>
      </c>
      <c r="G724" s="81">
        <v>54739910</v>
      </c>
      <c r="H724" s="81">
        <v>34153468</v>
      </c>
      <c r="I724" s="81">
        <v>31048607</v>
      </c>
      <c r="J724" s="81">
        <v>14904818</v>
      </c>
      <c r="K724" s="81">
        <v>16143789</v>
      </c>
      <c r="L724" s="81">
        <v>8501340</v>
      </c>
      <c r="M724" s="81">
        <v>7642449</v>
      </c>
      <c r="N724" s="82">
        <v>0.13961383933586999</v>
      </c>
    </row>
    <row r="725" spans="1:14" ht="14.25" hidden="1" customHeight="1">
      <c r="A725" s="78">
        <v>2025</v>
      </c>
      <c r="B725" s="78">
        <v>12</v>
      </c>
      <c r="C725" s="79" t="s">
        <v>194</v>
      </c>
      <c r="D725" s="78" t="s">
        <v>104</v>
      </c>
      <c r="E725" s="80" t="s">
        <v>105</v>
      </c>
      <c r="F725" s="78" t="str">
        <f>VLOOKUP('표1'!$E725,구분!$C$3:$D$72,2,0)</f>
        <v>동일</v>
      </c>
      <c r="G725" s="81">
        <v>30092960</v>
      </c>
      <c r="H725" s="81">
        <v>18806187</v>
      </c>
      <c r="I725" s="81">
        <v>17096534</v>
      </c>
      <c r="J725" s="81">
        <v>8774700</v>
      </c>
      <c r="K725" s="81">
        <v>8321834</v>
      </c>
      <c r="L725" s="81">
        <v>5142600</v>
      </c>
      <c r="M725" s="81">
        <v>3179234</v>
      </c>
      <c r="N725" s="82">
        <v>0.105647101514773</v>
      </c>
    </row>
    <row r="726" spans="1:14" ht="14.25" hidden="1" customHeight="1">
      <c r="A726" s="78">
        <v>2025</v>
      </c>
      <c r="B726" s="78">
        <v>12</v>
      </c>
      <c r="C726" s="79" t="s">
        <v>194</v>
      </c>
      <c r="D726" s="78" t="s">
        <v>106</v>
      </c>
      <c r="E726" s="80" t="s">
        <v>107</v>
      </c>
      <c r="F726" s="78" t="str">
        <f>VLOOKUP('표1'!$E726,구분!$C$3:$D$72,2,0)</f>
        <v>폐점</v>
      </c>
      <c r="G726" s="81">
        <v>43398970</v>
      </c>
      <c r="H726" s="81">
        <v>27059611</v>
      </c>
      <c r="I726" s="81">
        <v>24599646</v>
      </c>
      <c r="J726" s="81">
        <v>11565766</v>
      </c>
      <c r="K726" s="81">
        <v>13033880</v>
      </c>
      <c r="L726" s="81">
        <v>6585350</v>
      </c>
      <c r="M726" s="81">
        <v>6448530</v>
      </c>
      <c r="N726" s="82">
        <v>0.14858716693045901</v>
      </c>
    </row>
    <row r="727" spans="1:14" ht="14.25" hidden="1" customHeight="1">
      <c r="A727" s="78">
        <v>2025</v>
      </c>
      <c r="B727" s="78">
        <v>12</v>
      </c>
      <c r="C727" s="79" t="s">
        <v>194</v>
      </c>
      <c r="D727" s="78" t="s">
        <v>108</v>
      </c>
      <c r="E727" s="80" t="s">
        <v>109</v>
      </c>
      <c r="F727" s="78" t="str">
        <f>VLOOKUP('표1'!$E727,구분!$C$3:$D$72,2,0)</f>
        <v>동일</v>
      </c>
      <c r="G727" s="81">
        <v>44920850</v>
      </c>
      <c r="H727" s="81">
        <v>27976983</v>
      </c>
      <c r="I727" s="81">
        <v>25433621</v>
      </c>
      <c r="J727" s="81">
        <v>13073244</v>
      </c>
      <c r="K727" s="81">
        <v>12360377</v>
      </c>
      <c r="L727" s="81">
        <v>6237720</v>
      </c>
      <c r="M727" s="81">
        <v>6122657</v>
      </c>
      <c r="N727" s="82">
        <v>0.13629877885213701</v>
      </c>
    </row>
    <row r="728" spans="1:14" ht="14.25" hidden="1" customHeight="1">
      <c r="A728" s="78">
        <v>2025</v>
      </c>
      <c r="B728" s="78">
        <v>12</v>
      </c>
      <c r="C728" s="79" t="s">
        <v>194</v>
      </c>
      <c r="D728" s="78" t="s">
        <v>187</v>
      </c>
      <c r="E728" s="80" t="s">
        <v>188</v>
      </c>
      <c r="F728" s="78" t="str">
        <f>VLOOKUP('표1'!$E728,구분!$C$3:$D$72,2,0)</f>
        <v>동일</v>
      </c>
      <c r="G728" s="81">
        <v>41498780</v>
      </c>
      <c r="H728" s="81">
        <v>25874926</v>
      </c>
      <c r="I728" s="81">
        <v>23522660</v>
      </c>
      <c r="J728" s="81">
        <v>11715560</v>
      </c>
      <c r="K728" s="81">
        <v>11807100</v>
      </c>
      <c r="L728" s="81">
        <v>6866980</v>
      </c>
      <c r="M728" s="81">
        <v>4940120</v>
      </c>
      <c r="N728" s="82">
        <v>0.119042535708279</v>
      </c>
    </row>
    <row r="729" spans="1:14" ht="14.25" hidden="1" customHeight="1">
      <c r="A729" s="78">
        <v>2025</v>
      </c>
      <c r="B729" s="78">
        <v>12</v>
      </c>
      <c r="C729" s="79" t="s">
        <v>194</v>
      </c>
      <c r="D729" s="78" t="s">
        <v>110</v>
      </c>
      <c r="E729" s="80" t="s">
        <v>111</v>
      </c>
      <c r="F729" s="78" t="str">
        <f>VLOOKUP('표1'!$E729,구분!$C$3:$D$72,2,0)</f>
        <v>동일</v>
      </c>
      <c r="G729" s="81">
        <v>112526430</v>
      </c>
      <c r="H729" s="81">
        <v>70086577</v>
      </c>
      <c r="I729" s="81">
        <v>63715070</v>
      </c>
      <c r="J729" s="81">
        <v>34229595</v>
      </c>
      <c r="K729" s="81">
        <v>29485475</v>
      </c>
      <c r="L729" s="81">
        <v>15732290</v>
      </c>
      <c r="M729" s="81">
        <v>13753185</v>
      </c>
      <c r="N729" s="82">
        <v>0.122221819353907</v>
      </c>
    </row>
    <row r="730" spans="1:14" ht="14.25" hidden="1" customHeight="1">
      <c r="A730" s="78">
        <v>2025</v>
      </c>
      <c r="B730" s="78">
        <v>12</v>
      </c>
      <c r="C730" s="79" t="s">
        <v>194</v>
      </c>
      <c r="D730" s="78" t="s">
        <v>112</v>
      </c>
      <c r="E730" s="80" t="s">
        <v>113</v>
      </c>
      <c r="F730" s="78" t="str">
        <f>VLOOKUP('표1'!$E730,구분!$C$3:$D$72,2,0)</f>
        <v>동일</v>
      </c>
      <c r="G730" s="81">
        <v>50390020</v>
      </c>
      <c r="H730" s="81">
        <v>31318862</v>
      </c>
      <c r="I730" s="81">
        <v>28471693</v>
      </c>
      <c r="J730" s="81">
        <v>13683437</v>
      </c>
      <c r="K730" s="81">
        <v>14788256</v>
      </c>
      <c r="L730" s="81">
        <v>7486380</v>
      </c>
      <c r="M730" s="81">
        <v>7301876</v>
      </c>
      <c r="N730" s="82">
        <v>0.14490718598643099</v>
      </c>
    </row>
    <row r="731" spans="1:14" ht="14.25" hidden="1" customHeight="1">
      <c r="A731" s="78">
        <v>2025</v>
      </c>
      <c r="B731" s="78">
        <v>12</v>
      </c>
      <c r="C731" s="79" t="s">
        <v>194</v>
      </c>
      <c r="D731" s="78" t="s">
        <v>116</v>
      </c>
      <c r="E731" s="80" t="s">
        <v>117</v>
      </c>
      <c r="F731" s="78" t="str">
        <f>VLOOKUP('표1'!$E731,구분!$C$3:$D$72,2,0)</f>
        <v>동일</v>
      </c>
      <c r="G731" s="81">
        <v>22450450</v>
      </c>
      <c r="H731" s="81">
        <v>14179447</v>
      </c>
      <c r="I731" s="81">
        <v>12890406</v>
      </c>
      <c r="J731" s="81">
        <v>7254001</v>
      </c>
      <c r="K731" s="81">
        <v>5636405</v>
      </c>
      <c r="L731" s="81">
        <v>5092750</v>
      </c>
      <c r="M731" s="81">
        <v>543655</v>
      </c>
      <c r="N731" s="82">
        <v>2.42157729577804E-2</v>
      </c>
    </row>
    <row r="732" spans="1:14" ht="14.25" hidden="1" customHeight="1">
      <c r="A732" s="78">
        <v>2025</v>
      </c>
      <c r="B732" s="78">
        <v>12</v>
      </c>
      <c r="C732" s="79" t="s">
        <v>194</v>
      </c>
      <c r="D732" s="78" t="s">
        <v>118</v>
      </c>
      <c r="E732" s="80" t="s">
        <v>119</v>
      </c>
      <c r="F732" s="78" t="str">
        <f>VLOOKUP('표1'!$E732,구분!$C$3:$D$72,2,0)</f>
        <v>동일</v>
      </c>
      <c r="G732" s="81">
        <v>79241930</v>
      </c>
      <c r="H732" s="81">
        <v>49057829</v>
      </c>
      <c r="I732" s="81">
        <v>44598026</v>
      </c>
      <c r="J732" s="81">
        <v>22396812</v>
      </c>
      <c r="K732" s="81">
        <v>22201214</v>
      </c>
      <c r="L732" s="81">
        <v>11223160</v>
      </c>
      <c r="M732" s="81">
        <v>10978054</v>
      </c>
      <c r="N732" s="82">
        <v>0.13853844801609499</v>
      </c>
    </row>
    <row r="733" spans="1:14" ht="14.25" hidden="1" customHeight="1">
      <c r="A733" s="78">
        <v>2025</v>
      </c>
      <c r="B733" s="78">
        <v>12</v>
      </c>
      <c r="C733" s="79" t="s">
        <v>194</v>
      </c>
      <c r="D733" s="78" t="s">
        <v>180</v>
      </c>
      <c r="E733" s="80" t="s">
        <v>181</v>
      </c>
      <c r="F733" s="78" t="str">
        <f>VLOOKUP('표1'!$E733,구분!$C$3:$D$72,2,0)</f>
        <v>동일</v>
      </c>
      <c r="G733" s="81">
        <v>30004680</v>
      </c>
      <c r="H733" s="81">
        <v>18737225</v>
      </c>
      <c r="I733" s="81">
        <v>17033841</v>
      </c>
      <c r="J733" s="81">
        <v>9077833</v>
      </c>
      <c r="K733" s="81">
        <v>7956008</v>
      </c>
      <c r="L733" s="81">
        <v>6752160</v>
      </c>
      <c r="M733" s="81">
        <v>1203848</v>
      </c>
      <c r="N733" s="82">
        <v>4.0122007633475801E-2</v>
      </c>
    </row>
    <row r="734" spans="1:14" ht="14.25" hidden="1" customHeight="1">
      <c r="A734" s="78">
        <v>2025</v>
      </c>
      <c r="B734" s="78">
        <v>12</v>
      </c>
      <c r="C734" s="79" t="s">
        <v>194</v>
      </c>
      <c r="D734" s="78" t="s">
        <v>120</v>
      </c>
      <c r="E734" s="80" t="s">
        <v>121</v>
      </c>
      <c r="F734" s="78" t="str">
        <f>VLOOKUP('표1'!$E734,구분!$C$3:$D$72,2,0)</f>
        <v>동일</v>
      </c>
      <c r="G734" s="81">
        <v>74500900</v>
      </c>
      <c r="H734" s="81">
        <v>47654618</v>
      </c>
      <c r="I734" s="81">
        <v>43322380</v>
      </c>
      <c r="J734" s="81">
        <v>22091185</v>
      </c>
      <c r="K734" s="81">
        <v>21231195</v>
      </c>
      <c r="L734" s="81">
        <v>8780790</v>
      </c>
      <c r="M734" s="81">
        <v>12450405</v>
      </c>
      <c r="N734" s="82">
        <v>0.167117511332078</v>
      </c>
    </row>
    <row r="735" spans="1:14" ht="14.25" hidden="1" customHeight="1">
      <c r="A735" s="78">
        <v>2025</v>
      </c>
      <c r="B735" s="78">
        <v>12</v>
      </c>
      <c r="C735" s="79" t="s">
        <v>194</v>
      </c>
      <c r="D735" s="78" t="s">
        <v>122</v>
      </c>
      <c r="E735" s="80" t="s">
        <v>123</v>
      </c>
      <c r="F735" s="78" t="str">
        <f>VLOOKUP('표1'!$E735,구분!$C$3:$D$72,2,0)</f>
        <v>동일</v>
      </c>
      <c r="G735" s="81">
        <v>50746340</v>
      </c>
      <c r="H735" s="81">
        <v>32633022</v>
      </c>
      <c r="I735" s="81">
        <v>29666384</v>
      </c>
      <c r="J735" s="81">
        <v>14279156</v>
      </c>
      <c r="K735" s="81">
        <v>15387228</v>
      </c>
      <c r="L735" s="81">
        <v>9079860</v>
      </c>
      <c r="M735" s="81">
        <v>6307368</v>
      </c>
      <c r="N735" s="82">
        <v>0.124292077024668</v>
      </c>
    </row>
    <row r="736" spans="1:14" ht="14.25" hidden="1" customHeight="1">
      <c r="A736" s="78">
        <v>2025</v>
      </c>
      <c r="B736" s="78">
        <v>12</v>
      </c>
      <c r="C736" s="79" t="s">
        <v>194</v>
      </c>
      <c r="D736" s="78" t="s">
        <v>124</v>
      </c>
      <c r="E736" s="80" t="s">
        <v>125</v>
      </c>
      <c r="F736" s="78" t="str">
        <f>VLOOKUP('표1'!$E736,구분!$C$3:$D$72,2,0)</f>
        <v>동일</v>
      </c>
      <c r="G736" s="81">
        <v>106024330</v>
      </c>
      <c r="H736" s="81">
        <v>67795236</v>
      </c>
      <c r="I736" s="81">
        <v>61632033</v>
      </c>
      <c r="J736" s="81">
        <v>30162293</v>
      </c>
      <c r="K736" s="81">
        <v>31469740</v>
      </c>
      <c r="L736" s="81">
        <v>8344590</v>
      </c>
      <c r="M736" s="81">
        <v>23125150</v>
      </c>
      <c r="N736" s="82">
        <v>0.21811172963790501</v>
      </c>
    </row>
    <row r="737" spans="1:14" ht="14.25" hidden="1" customHeight="1">
      <c r="A737" s="78">
        <v>2025</v>
      </c>
      <c r="B737" s="78">
        <v>12</v>
      </c>
      <c r="C737" s="79" t="s">
        <v>194</v>
      </c>
      <c r="D737" s="78" t="s">
        <v>126</v>
      </c>
      <c r="E737" s="80" t="s">
        <v>127</v>
      </c>
      <c r="F737" s="78" t="str">
        <f>VLOOKUP('표1'!$E737,구분!$C$3:$D$72,2,0)</f>
        <v>동일</v>
      </c>
      <c r="G737" s="81">
        <v>87580260</v>
      </c>
      <c r="H737" s="81">
        <v>55846095</v>
      </c>
      <c r="I737" s="81">
        <v>50769177</v>
      </c>
      <c r="J737" s="81">
        <v>24903202</v>
      </c>
      <c r="K737" s="81">
        <v>25865975</v>
      </c>
      <c r="L737" s="81">
        <v>13138190</v>
      </c>
      <c r="M737" s="81">
        <v>12727785</v>
      </c>
      <c r="N737" s="82">
        <v>0.14532709768160099</v>
      </c>
    </row>
    <row r="738" spans="1:14" ht="14.25" customHeight="1">
      <c r="A738" s="78">
        <v>2025</v>
      </c>
      <c r="B738" s="78">
        <v>12</v>
      </c>
      <c r="C738" s="79" t="s">
        <v>194</v>
      </c>
      <c r="D738" s="78" t="s">
        <v>128</v>
      </c>
      <c r="E738" s="80" t="s">
        <v>129</v>
      </c>
      <c r="F738" s="78" t="str">
        <f>VLOOKUP('표1'!$E738,구분!$C$3:$D$72,2,0)</f>
        <v>동일</v>
      </c>
      <c r="G738" s="81">
        <v>98098920</v>
      </c>
      <c r="H738" s="81">
        <v>63155001</v>
      </c>
      <c r="I738" s="81">
        <v>57413637</v>
      </c>
      <c r="J738" s="81">
        <v>30198590</v>
      </c>
      <c r="K738" s="81">
        <v>27215047</v>
      </c>
      <c r="L738" s="81">
        <v>14225500</v>
      </c>
      <c r="M738" s="81">
        <v>12989547</v>
      </c>
      <c r="N738" s="82">
        <v>0.132412742158629</v>
      </c>
    </row>
    <row r="739" spans="1:14" ht="14.25" hidden="1" customHeight="1">
      <c r="A739" s="78">
        <v>2025</v>
      </c>
      <c r="B739" s="78">
        <v>12</v>
      </c>
      <c r="C739" s="79" t="s">
        <v>194</v>
      </c>
      <c r="D739" s="78" t="s">
        <v>130</v>
      </c>
      <c r="E739" s="80" t="s">
        <v>131</v>
      </c>
      <c r="F739" s="78" t="str">
        <f>VLOOKUP('표1'!$E739,구분!$C$3:$D$72,2,0)</f>
        <v>동일</v>
      </c>
      <c r="G739" s="81">
        <v>54559850</v>
      </c>
      <c r="H739" s="81">
        <v>34957726</v>
      </c>
      <c r="I739" s="81">
        <v>31779751</v>
      </c>
      <c r="J739" s="81">
        <v>15991863</v>
      </c>
      <c r="K739" s="81">
        <v>15787888</v>
      </c>
      <c r="L739" s="81">
        <v>7026130</v>
      </c>
      <c r="M739" s="81">
        <v>8761758</v>
      </c>
      <c r="N739" s="82">
        <v>0.16058984766270401</v>
      </c>
    </row>
    <row r="740" spans="1:14" ht="14.25" hidden="1" customHeight="1">
      <c r="A740" s="78">
        <v>2025</v>
      </c>
      <c r="B740" s="78">
        <v>12</v>
      </c>
      <c r="C740" s="79" t="s">
        <v>194</v>
      </c>
      <c r="D740" s="78" t="s">
        <v>132</v>
      </c>
      <c r="E740" s="80" t="s">
        <v>133</v>
      </c>
      <c r="F740" s="78" t="str">
        <f>VLOOKUP('표1'!$E740,구분!$C$3:$D$72,2,0)</f>
        <v>동일</v>
      </c>
      <c r="G740" s="81">
        <v>33447100</v>
      </c>
      <c r="H740" s="81">
        <v>21608354</v>
      </c>
      <c r="I740" s="81">
        <v>19643958</v>
      </c>
      <c r="J740" s="81">
        <v>9052367</v>
      </c>
      <c r="K740" s="81">
        <v>10591591</v>
      </c>
      <c r="L740" s="81">
        <v>6081300</v>
      </c>
      <c r="M740" s="81">
        <v>4510291</v>
      </c>
      <c r="N740" s="82">
        <v>0.13484849209647501</v>
      </c>
    </row>
    <row r="741" spans="1:14" ht="14.25" hidden="1" customHeight="1">
      <c r="A741" s="78">
        <v>2025</v>
      </c>
      <c r="B741" s="78">
        <v>12</v>
      </c>
      <c r="C741" s="79" t="s">
        <v>194</v>
      </c>
      <c r="D741" s="78" t="s">
        <v>134</v>
      </c>
      <c r="E741" s="80" t="s">
        <v>135</v>
      </c>
      <c r="F741" s="78" t="str">
        <f>VLOOKUP('표1'!$E741,구분!$C$3:$D$72,2,0)</f>
        <v>동일</v>
      </c>
      <c r="G741" s="81">
        <v>61193040</v>
      </c>
      <c r="H741" s="81">
        <v>39392182</v>
      </c>
      <c r="I741" s="81">
        <v>35811075</v>
      </c>
      <c r="J741" s="81">
        <v>18473160</v>
      </c>
      <c r="K741" s="81">
        <v>17337915</v>
      </c>
      <c r="L741" s="81">
        <v>8135140</v>
      </c>
      <c r="M741" s="81">
        <v>9202775</v>
      </c>
      <c r="N741" s="82">
        <v>0.15038924361332601</v>
      </c>
    </row>
    <row r="742" spans="1:14" ht="14.25" hidden="1" customHeight="1">
      <c r="A742" s="78">
        <v>2025</v>
      </c>
      <c r="B742" s="78">
        <v>12</v>
      </c>
      <c r="C742" s="79" t="s">
        <v>194</v>
      </c>
      <c r="D742" s="78" t="s">
        <v>136</v>
      </c>
      <c r="E742" s="80" t="s">
        <v>137</v>
      </c>
      <c r="F742" s="78" t="str">
        <f>VLOOKUP('표1'!$E742,구분!$C$3:$D$72,2,0)</f>
        <v>동일</v>
      </c>
      <c r="G742" s="81">
        <v>56509930</v>
      </c>
      <c r="H742" s="81">
        <v>36268013</v>
      </c>
      <c r="I742" s="81">
        <v>32970921</v>
      </c>
      <c r="J742" s="81">
        <v>16768270</v>
      </c>
      <c r="K742" s="81">
        <v>16202651</v>
      </c>
      <c r="L742" s="81">
        <v>6523900</v>
      </c>
      <c r="M742" s="81">
        <v>9678751</v>
      </c>
      <c r="N742" s="82">
        <v>0.171275225433831</v>
      </c>
    </row>
    <row r="743" spans="1:14" ht="14.25" hidden="1" customHeight="1">
      <c r="A743" s="78">
        <v>2025</v>
      </c>
      <c r="B743" s="78">
        <v>12</v>
      </c>
      <c r="C743" s="79" t="s">
        <v>194</v>
      </c>
      <c r="D743" s="78" t="s">
        <v>138</v>
      </c>
      <c r="E743" s="80" t="s">
        <v>139</v>
      </c>
      <c r="F743" s="78" t="str">
        <f>VLOOKUP('표1'!$E743,구분!$C$3:$D$72,2,0)</f>
        <v>동일</v>
      </c>
      <c r="G743" s="81">
        <v>30161880</v>
      </c>
      <c r="H743" s="81">
        <v>19347919</v>
      </c>
      <c r="I743" s="81">
        <v>17589017</v>
      </c>
      <c r="J743" s="81">
        <v>8526710</v>
      </c>
      <c r="K743" s="81">
        <v>9062307</v>
      </c>
      <c r="L743" s="81">
        <v>4968320</v>
      </c>
      <c r="M743" s="81">
        <v>4093987</v>
      </c>
      <c r="N743" s="82">
        <v>0.13573381367474399</v>
      </c>
    </row>
    <row r="744" spans="1:14" ht="14.25" hidden="1" customHeight="1">
      <c r="A744" s="78">
        <v>2025</v>
      </c>
      <c r="B744" s="78">
        <v>12</v>
      </c>
      <c r="C744" s="79" t="s">
        <v>194</v>
      </c>
      <c r="D744" s="78" t="s">
        <v>140</v>
      </c>
      <c r="E744" s="80" t="s">
        <v>141</v>
      </c>
      <c r="F744" s="78" t="str">
        <f>VLOOKUP('표1'!$E744,구분!$C$3:$D$72,2,0)</f>
        <v>동일</v>
      </c>
      <c r="G744" s="81">
        <v>65330250</v>
      </c>
      <c r="H744" s="81">
        <v>41784830</v>
      </c>
      <c r="I744" s="81">
        <v>37986209</v>
      </c>
      <c r="J744" s="81">
        <v>20379402</v>
      </c>
      <c r="K744" s="81">
        <v>17606807</v>
      </c>
      <c r="L744" s="81">
        <v>9127740</v>
      </c>
      <c r="M744" s="81">
        <v>8479067</v>
      </c>
      <c r="N744" s="82">
        <v>0.12978776294289401</v>
      </c>
    </row>
    <row r="745" spans="1:14" ht="14.25" hidden="1" customHeight="1">
      <c r="A745" s="78">
        <v>2025</v>
      </c>
      <c r="B745" s="78">
        <v>12</v>
      </c>
      <c r="C745" s="79" t="s">
        <v>194</v>
      </c>
      <c r="D745" s="78" t="s">
        <v>142</v>
      </c>
      <c r="E745" s="80" t="s">
        <v>143</v>
      </c>
      <c r="F745" s="78" t="str">
        <f>VLOOKUP('표1'!$E745,구분!$C$3:$D$72,2,0)</f>
        <v>동일</v>
      </c>
      <c r="G745" s="81">
        <v>56835110</v>
      </c>
      <c r="H745" s="81">
        <v>37047219</v>
      </c>
      <c r="I745" s="81">
        <v>33679290</v>
      </c>
      <c r="J745" s="81">
        <v>15700487</v>
      </c>
      <c r="K745" s="81">
        <v>17978803</v>
      </c>
      <c r="L745" s="81">
        <v>6492390</v>
      </c>
      <c r="M745" s="81">
        <v>11486413</v>
      </c>
      <c r="N745" s="82">
        <v>0.20210065573903199</v>
      </c>
    </row>
    <row r="746" spans="1:14" ht="14.25" hidden="1" customHeight="1">
      <c r="A746" s="78">
        <v>2025</v>
      </c>
      <c r="B746" s="78">
        <v>12</v>
      </c>
      <c r="C746" s="79" t="s">
        <v>194</v>
      </c>
      <c r="D746" s="78" t="s">
        <v>144</v>
      </c>
      <c r="E746" s="80" t="s">
        <v>145</v>
      </c>
      <c r="F746" s="78" t="str">
        <f>VLOOKUP('표1'!$E746,구분!$C$3:$D$72,2,0)</f>
        <v>동일</v>
      </c>
      <c r="G746" s="81">
        <v>36446680</v>
      </c>
      <c r="H746" s="81">
        <v>23159976</v>
      </c>
      <c r="I746" s="81">
        <v>21054524</v>
      </c>
      <c r="J746" s="81">
        <v>10910564</v>
      </c>
      <c r="K746" s="81">
        <v>10143960</v>
      </c>
      <c r="L746" s="81">
        <v>6663440</v>
      </c>
      <c r="M746" s="81">
        <v>3480520</v>
      </c>
      <c r="N746" s="82">
        <v>9.5496215293135095E-2</v>
      </c>
    </row>
    <row r="747" spans="1:14" ht="14.25" hidden="1" customHeight="1">
      <c r="A747" s="78">
        <v>2025</v>
      </c>
      <c r="B747" s="78">
        <v>12</v>
      </c>
      <c r="C747" s="79" t="s">
        <v>194</v>
      </c>
      <c r="D747" s="78" t="s">
        <v>146</v>
      </c>
      <c r="E747" s="80" t="s">
        <v>147</v>
      </c>
      <c r="F747" s="78" t="str">
        <f>VLOOKUP('표1'!$E747,구분!$C$3:$D$72,2,0)</f>
        <v>동일</v>
      </c>
      <c r="G747" s="81">
        <v>68119180</v>
      </c>
      <c r="H747" s="81">
        <v>43027655</v>
      </c>
      <c r="I747" s="81">
        <v>39116050</v>
      </c>
      <c r="J747" s="81">
        <v>20481285</v>
      </c>
      <c r="K747" s="81">
        <v>18634765</v>
      </c>
      <c r="L747" s="81">
        <v>8028540</v>
      </c>
      <c r="M747" s="81">
        <v>10606225</v>
      </c>
      <c r="N747" s="82">
        <v>0.155701008144843</v>
      </c>
    </row>
    <row r="748" spans="1:14" ht="14.25" hidden="1" customHeight="1">
      <c r="A748" s="78">
        <v>2025</v>
      </c>
      <c r="B748" s="78">
        <v>12</v>
      </c>
      <c r="C748" s="79" t="s">
        <v>194</v>
      </c>
      <c r="D748" s="78" t="s">
        <v>148</v>
      </c>
      <c r="E748" s="80" t="s">
        <v>149</v>
      </c>
      <c r="F748" s="78" t="str">
        <f>VLOOKUP('표1'!$E748,구분!$C$3:$D$72,2,0)</f>
        <v>동일</v>
      </c>
      <c r="G748" s="81">
        <v>25497120</v>
      </c>
      <c r="H748" s="81">
        <v>16314165</v>
      </c>
      <c r="I748" s="81">
        <v>14831059</v>
      </c>
      <c r="J748" s="81">
        <v>7353079</v>
      </c>
      <c r="K748" s="81">
        <v>7477980</v>
      </c>
      <c r="L748" s="81">
        <v>4909310</v>
      </c>
      <c r="M748" s="81">
        <v>2568670</v>
      </c>
      <c r="N748" s="82">
        <v>0.100743534956105</v>
      </c>
    </row>
    <row r="749" spans="1:14" ht="14.25" hidden="1" customHeight="1">
      <c r="A749" s="78">
        <v>2025</v>
      </c>
      <c r="B749" s="78">
        <v>12</v>
      </c>
      <c r="C749" s="79" t="s">
        <v>194</v>
      </c>
      <c r="D749" s="78" t="s">
        <v>150</v>
      </c>
      <c r="E749" s="80" t="s">
        <v>151</v>
      </c>
      <c r="F749" s="78" t="str">
        <f>VLOOKUP('표1'!$E749,구분!$C$3:$D$72,2,0)</f>
        <v>동일</v>
      </c>
      <c r="G749" s="81">
        <v>37849800</v>
      </c>
      <c r="H749" s="81">
        <v>24372481</v>
      </c>
      <c r="I749" s="81">
        <v>22156801</v>
      </c>
      <c r="J749" s="81">
        <v>11280485</v>
      </c>
      <c r="K749" s="81">
        <v>10876316</v>
      </c>
      <c r="L749" s="81">
        <v>5925525</v>
      </c>
      <c r="M749" s="81">
        <v>4950791</v>
      </c>
      <c r="N749" s="82">
        <v>0.130800981775333</v>
      </c>
    </row>
    <row r="750" spans="1:14" ht="15" hidden="1" customHeight="1">
      <c r="A750" s="78">
        <v>2025</v>
      </c>
      <c r="B750" s="78">
        <v>12</v>
      </c>
      <c r="C750" s="79" t="s">
        <v>194</v>
      </c>
      <c r="D750" s="78" t="s">
        <v>152</v>
      </c>
      <c r="E750" s="78" t="s">
        <v>153</v>
      </c>
      <c r="F750" s="78" t="str">
        <f>VLOOKUP('표1'!$E750,구분!$C$3:$D$72,2,0)</f>
        <v>동일</v>
      </c>
      <c r="G750" s="81">
        <v>37267710</v>
      </c>
      <c r="H750" s="81">
        <v>22987724</v>
      </c>
      <c r="I750" s="81">
        <v>20897931</v>
      </c>
      <c r="J750" s="81">
        <v>10641146</v>
      </c>
      <c r="K750" s="81">
        <v>10256785</v>
      </c>
      <c r="L750" s="81">
        <v>5861890</v>
      </c>
      <c r="M750" s="81">
        <v>4394895</v>
      </c>
      <c r="N750" s="82">
        <v>0.117927691290933</v>
      </c>
    </row>
    <row r="751" spans="1:14" ht="15" hidden="1" customHeight="1">
      <c r="A751" s="78">
        <v>2025</v>
      </c>
      <c r="B751" s="78">
        <v>12</v>
      </c>
      <c r="C751" s="79" t="s">
        <v>194</v>
      </c>
      <c r="D751" s="78" t="s">
        <v>189</v>
      </c>
      <c r="E751" s="78" t="s">
        <v>190</v>
      </c>
      <c r="F751" s="78" t="str">
        <f>VLOOKUP('표1'!$E751,구분!$C$3:$D$72,2,0)</f>
        <v>동일</v>
      </c>
      <c r="G751" s="81">
        <v>35172570</v>
      </c>
      <c r="H751" s="81">
        <v>22471070</v>
      </c>
      <c r="I751" s="81">
        <v>20428245</v>
      </c>
      <c r="J751" s="81">
        <v>10302762</v>
      </c>
      <c r="K751" s="81">
        <v>10125483</v>
      </c>
      <c r="L751" s="81">
        <v>7072300</v>
      </c>
      <c r="M751" s="81">
        <v>3053183</v>
      </c>
      <c r="N751" s="82">
        <v>8.6805797813466604E-2</v>
      </c>
    </row>
    <row r="752" spans="1:14" ht="14.25" hidden="1" customHeight="1">
      <c r="A752" s="78">
        <v>2025</v>
      </c>
      <c r="B752" s="78">
        <v>12</v>
      </c>
      <c r="C752" s="79" t="s">
        <v>194</v>
      </c>
      <c r="D752" s="78" t="s">
        <v>154</v>
      </c>
      <c r="E752" s="80" t="s">
        <v>155</v>
      </c>
      <c r="F752" s="78" t="str">
        <f>VLOOKUP('표1'!$E752,구분!$C$3:$D$72,2,0)</f>
        <v>동일</v>
      </c>
      <c r="G752" s="81">
        <v>111412700</v>
      </c>
      <c r="H752" s="81">
        <v>71307508</v>
      </c>
      <c r="I752" s="81">
        <v>64825007</v>
      </c>
      <c r="J752" s="81">
        <v>33147756</v>
      </c>
      <c r="K752" s="81">
        <v>31677251</v>
      </c>
      <c r="L752" s="81">
        <v>17657450</v>
      </c>
      <c r="M752" s="81">
        <v>14019801</v>
      </c>
      <c r="N752" s="82">
        <v>0.12583665057933299</v>
      </c>
    </row>
    <row r="753" spans="1:14" ht="14.25" hidden="1" customHeight="1">
      <c r="A753" s="78">
        <v>2025</v>
      </c>
      <c r="B753" s="78">
        <v>12</v>
      </c>
      <c r="C753" s="79" t="s">
        <v>194</v>
      </c>
      <c r="D753" s="78" t="s">
        <v>156</v>
      </c>
      <c r="E753" s="80" t="s">
        <v>157</v>
      </c>
      <c r="F753" s="78" t="str">
        <f>VLOOKUP('표1'!$E753,구분!$C$3:$D$72,2,0)</f>
        <v>동일</v>
      </c>
      <c r="G753" s="81">
        <v>88678850</v>
      </c>
      <c r="H753" s="81">
        <v>67839395</v>
      </c>
      <c r="I753" s="81">
        <v>61672177</v>
      </c>
      <c r="J753" s="81">
        <v>28334801</v>
      </c>
      <c r="K753" s="81">
        <v>33337376</v>
      </c>
      <c r="L753" s="81">
        <v>11972800</v>
      </c>
      <c r="M753" s="81">
        <v>21364576</v>
      </c>
      <c r="N753" s="82">
        <v>0.240920760699987</v>
      </c>
    </row>
    <row r="754" spans="1:14" ht="14.25" hidden="1" customHeight="1">
      <c r="A754" s="78">
        <v>2025</v>
      </c>
      <c r="B754" s="78">
        <v>12</v>
      </c>
      <c r="C754" s="79" t="s">
        <v>194</v>
      </c>
      <c r="D754" s="78" t="s">
        <v>158</v>
      </c>
      <c r="E754" s="80" t="s">
        <v>159</v>
      </c>
      <c r="F754" s="78" t="str">
        <f>VLOOKUP('표1'!$E754,구분!$C$3:$D$72,2,0)</f>
        <v>동일</v>
      </c>
      <c r="G754" s="81">
        <v>26163670</v>
      </c>
      <c r="H754" s="81">
        <v>20146036</v>
      </c>
      <c r="I754" s="81">
        <v>18314578</v>
      </c>
      <c r="J754" s="81">
        <v>7746645</v>
      </c>
      <c r="K754" s="81">
        <v>10567933</v>
      </c>
      <c r="L754" s="81">
        <v>4187340</v>
      </c>
      <c r="M754" s="81">
        <v>6380593</v>
      </c>
      <c r="N754" s="82">
        <v>0.243872247280294</v>
      </c>
    </row>
    <row r="755" spans="1:14" ht="14.25" hidden="1" customHeight="1">
      <c r="A755" s="78">
        <v>2025</v>
      </c>
      <c r="B755" s="78">
        <v>12</v>
      </c>
      <c r="C755" s="79" t="s">
        <v>194</v>
      </c>
      <c r="D755" s="78" t="s">
        <v>160</v>
      </c>
      <c r="E755" s="80" t="s">
        <v>161</v>
      </c>
      <c r="F755" s="78" t="str">
        <f>VLOOKUP('표1'!$E755,구분!$C$3:$D$72,2,0)</f>
        <v>동일</v>
      </c>
      <c r="G755" s="81">
        <v>44488660</v>
      </c>
      <c r="H755" s="81">
        <v>34033855</v>
      </c>
      <c r="I755" s="81">
        <v>30939868</v>
      </c>
      <c r="J755" s="81">
        <v>14091306</v>
      </c>
      <c r="K755" s="81">
        <v>16848562</v>
      </c>
      <c r="L755" s="81">
        <v>6849590</v>
      </c>
      <c r="M755" s="81">
        <v>9998972</v>
      </c>
      <c r="N755" s="82">
        <v>0.22475327420515701</v>
      </c>
    </row>
    <row r="756" spans="1:14" ht="14.25" hidden="1" customHeight="1">
      <c r="A756" s="78">
        <v>2025</v>
      </c>
      <c r="B756" s="78">
        <v>12</v>
      </c>
      <c r="C756" s="79" t="s">
        <v>194</v>
      </c>
      <c r="D756" s="78" t="s">
        <v>162</v>
      </c>
      <c r="E756" s="80" t="s">
        <v>163</v>
      </c>
      <c r="F756" s="78" t="str">
        <f>VLOOKUP('표1'!$E756,구분!$C$3:$D$72,2,0)</f>
        <v>동일</v>
      </c>
      <c r="G756" s="81">
        <v>25058390</v>
      </c>
      <c r="H756" s="81">
        <v>19294972</v>
      </c>
      <c r="I756" s="81">
        <v>17540884</v>
      </c>
      <c r="J756" s="81">
        <v>7525790</v>
      </c>
      <c r="K756" s="81">
        <v>10015094</v>
      </c>
      <c r="L756" s="81">
        <v>5044850</v>
      </c>
      <c r="M756" s="81">
        <v>4970244</v>
      </c>
      <c r="N756" s="82">
        <v>0.198346501910139</v>
      </c>
    </row>
    <row r="757" spans="1:14" ht="14.25" hidden="1" customHeight="1">
      <c r="A757" s="78">
        <v>2025</v>
      </c>
      <c r="B757" s="78">
        <v>12</v>
      </c>
      <c r="C757" s="79" t="s">
        <v>194</v>
      </c>
      <c r="D757" s="78" t="s">
        <v>164</v>
      </c>
      <c r="E757" s="80" t="s">
        <v>165</v>
      </c>
      <c r="F757" s="78" t="str">
        <f>VLOOKUP('표1'!$E757,구분!$C$3:$D$72,2,0)</f>
        <v>동일</v>
      </c>
      <c r="G757" s="81">
        <v>45536520</v>
      </c>
      <c r="H757" s="81">
        <v>35063142</v>
      </c>
      <c r="I757" s="81">
        <v>31875584</v>
      </c>
      <c r="J757" s="81">
        <v>13582765</v>
      </c>
      <c r="K757" s="81">
        <v>18292819</v>
      </c>
      <c r="L757" s="81">
        <v>8377720</v>
      </c>
      <c r="M757" s="81">
        <v>9915099</v>
      </c>
      <c r="N757" s="82">
        <v>0.21773949787994301</v>
      </c>
    </row>
    <row r="758" spans="1:14" ht="14.25" hidden="1" customHeight="1">
      <c r="A758" s="78">
        <v>2025</v>
      </c>
      <c r="B758" s="78">
        <v>12</v>
      </c>
      <c r="C758" s="79" t="s">
        <v>194</v>
      </c>
      <c r="D758" s="78" t="s">
        <v>166</v>
      </c>
      <c r="E758" s="80" t="s">
        <v>167</v>
      </c>
      <c r="F758" s="78" t="str">
        <f>VLOOKUP('표1'!$E758,구분!$C$3:$D$72,2,0)</f>
        <v>동일</v>
      </c>
      <c r="G758" s="81">
        <v>26205190</v>
      </c>
      <c r="H758" s="81">
        <v>20178004</v>
      </c>
      <c r="I758" s="81">
        <v>18343640</v>
      </c>
      <c r="J758" s="81">
        <v>7764193</v>
      </c>
      <c r="K758" s="81">
        <v>10579447</v>
      </c>
      <c r="L758" s="81">
        <v>5162790</v>
      </c>
      <c r="M758" s="81">
        <v>5416657</v>
      </c>
      <c r="N758" s="82">
        <v>0.20670168771911199</v>
      </c>
    </row>
    <row r="759" spans="1:14" ht="14.25" hidden="1" customHeight="1">
      <c r="A759" s="78">
        <v>2025</v>
      </c>
      <c r="B759" s="78">
        <v>12</v>
      </c>
      <c r="C759" s="79" t="s">
        <v>194</v>
      </c>
      <c r="D759" s="78" t="s">
        <v>168</v>
      </c>
      <c r="E759" s="80" t="s">
        <v>169</v>
      </c>
      <c r="F759" s="78" t="str">
        <f>VLOOKUP('표1'!$E759,구분!$C$3:$D$72,2,0)</f>
        <v>동일</v>
      </c>
      <c r="G759" s="81">
        <v>35029390</v>
      </c>
      <c r="H759" s="81">
        <v>26972637</v>
      </c>
      <c r="I759" s="81">
        <v>24520579</v>
      </c>
      <c r="J759" s="81">
        <v>11569008</v>
      </c>
      <c r="K759" s="81">
        <v>12951571</v>
      </c>
      <c r="L759" s="81">
        <v>6601070</v>
      </c>
      <c r="M759" s="81">
        <v>6350501</v>
      </c>
      <c r="N759" s="82">
        <v>0.18129065336279099</v>
      </c>
    </row>
    <row r="760" spans="1:14" ht="15" hidden="1" customHeight="1">
      <c r="A760" s="78">
        <v>2025</v>
      </c>
      <c r="B760" s="78">
        <v>12</v>
      </c>
      <c r="C760" s="79" t="s">
        <v>194</v>
      </c>
      <c r="D760" s="78" t="s">
        <v>172</v>
      </c>
      <c r="E760" s="78" t="s">
        <v>173</v>
      </c>
      <c r="F760" s="78" t="str">
        <f>VLOOKUP('표1'!$E760,구분!$C$3:$D$72,2,0)</f>
        <v>동일</v>
      </c>
      <c r="G760" s="81">
        <v>37041870</v>
      </c>
      <c r="H760" s="81">
        <v>28892660</v>
      </c>
      <c r="I760" s="81">
        <v>26266055</v>
      </c>
      <c r="J760" s="81">
        <v>11946792</v>
      </c>
      <c r="K760" s="81">
        <v>14319263</v>
      </c>
      <c r="L760" s="81">
        <v>9331190</v>
      </c>
      <c r="M760" s="81">
        <v>4988073</v>
      </c>
      <c r="N760" s="82">
        <v>0.134660399164513</v>
      </c>
    </row>
    <row r="761" spans="1:14" ht="14.25" hidden="1" customHeight="1">
      <c r="A761" s="78">
        <v>2025</v>
      </c>
      <c r="B761" s="78">
        <v>12</v>
      </c>
      <c r="C761" s="79" t="s">
        <v>194</v>
      </c>
      <c r="D761" s="78" t="s">
        <v>174</v>
      </c>
      <c r="E761" s="80" t="s">
        <v>175</v>
      </c>
      <c r="F761" s="78" t="str">
        <f>VLOOKUP('표1'!$E761,구분!$C$3:$D$72,2,0)</f>
        <v>동일</v>
      </c>
      <c r="G761" s="81">
        <v>18727190</v>
      </c>
      <c r="H761" s="81">
        <v>15730841</v>
      </c>
      <c r="I761" s="81">
        <v>14300765</v>
      </c>
      <c r="J761" s="81">
        <v>6518826</v>
      </c>
      <c r="K761" s="81">
        <v>7781939</v>
      </c>
      <c r="L761" s="81">
        <v>5248390</v>
      </c>
      <c r="M761" s="81">
        <v>2533549</v>
      </c>
      <c r="N761" s="82">
        <v>0.135287194715278</v>
      </c>
    </row>
    <row r="762" spans="1:14" ht="14.25" hidden="1" customHeight="1">
      <c r="A762" s="78">
        <v>2025</v>
      </c>
      <c r="B762" s="78">
        <v>12</v>
      </c>
      <c r="C762" s="79" t="s">
        <v>194</v>
      </c>
      <c r="D762" s="78" t="s">
        <v>176</v>
      </c>
      <c r="E762" s="80" t="s">
        <v>177</v>
      </c>
      <c r="F762" s="78" t="str">
        <f>VLOOKUP('표1'!$E762,구분!$C$3:$D$72,2,0)</f>
        <v>동일</v>
      </c>
      <c r="G762" s="81">
        <v>84512690</v>
      </c>
      <c r="H762" s="81">
        <v>65074803</v>
      </c>
      <c r="I762" s="81">
        <v>59158912</v>
      </c>
      <c r="J762" s="81">
        <v>25467750</v>
      </c>
      <c r="K762" s="81">
        <v>33691162</v>
      </c>
      <c r="L762" s="81">
        <v>14351620</v>
      </c>
      <c r="M762" s="81">
        <v>19339542</v>
      </c>
      <c r="N762" s="82">
        <v>0.228835953511834</v>
      </c>
    </row>
    <row r="763" spans="1:14" ht="14.25" hidden="1" customHeight="1">
      <c r="A763" s="78">
        <v>2025</v>
      </c>
      <c r="B763" s="78">
        <v>12</v>
      </c>
      <c r="C763" s="79" t="s">
        <v>194</v>
      </c>
      <c r="D763" s="78" t="s">
        <v>178</v>
      </c>
      <c r="E763" s="80" t="s">
        <v>179</v>
      </c>
      <c r="F763" s="78" t="str">
        <f>VLOOKUP('표1'!$E763,구분!$C$3:$D$72,2,0)</f>
        <v>동일</v>
      </c>
      <c r="G763" s="81">
        <v>75444590</v>
      </c>
      <c r="H763" s="81">
        <v>58092353</v>
      </c>
      <c r="I763" s="81">
        <v>52811230</v>
      </c>
      <c r="J763" s="81">
        <v>22381837</v>
      </c>
      <c r="K763" s="81">
        <v>30429393</v>
      </c>
      <c r="L763" s="81">
        <v>9808950</v>
      </c>
      <c r="M763" s="81">
        <v>20620443</v>
      </c>
      <c r="N763" s="82">
        <v>0.27331904116650402</v>
      </c>
    </row>
    <row r="764" spans="1:14" ht="14.25" hidden="1" customHeight="1">
      <c r="A764" s="73">
        <v>2026</v>
      </c>
      <c r="B764" s="73">
        <v>1</v>
      </c>
      <c r="C764" s="74" t="s">
        <v>195</v>
      </c>
      <c r="D764" s="73" t="s">
        <v>54</v>
      </c>
      <c r="E764" s="75" t="s">
        <v>55</v>
      </c>
      <c r="F764" s="73" t="str">
        <f>VLOOKUP('표1'!$E764,구분!$C$3:$D$72,2,0)</f>
        <v>동일</v>
      </c>
      <c r="G764" s="76">
        <v>78912910</v>
      </c>
      <c r="H764" s="76">
        <v>50504249</v>
      </c>
      <c r="I764" s="76">
        <v>45912954</v>
      </c>
      <c r="J764" s="76">
        <v>23461063</v>
      </c>
      <c r="K764" s="76">
        <v>22451891</v>
      </c>
      <c r="L764" s="76">
        <v>6799810</v>
      </c>
      <c r="M764" s="76">
        <v>15652081</v>
      </c>
      <c r="N764" s="77">
        <v>0.198346265522333</v>
      </c>
    </row>
    <row r="765" spans="1:14" ht="14.25" hidden="1" customHeight="1">
      <c r="A765" s="78">
        <v>2026</v>
      </c>
      <c r="B765" s="78">
        <v>1</v>
      </c>
      <c r="C765" s="79" t="s">
        <v>195</v>
      </c>
      <c r="D765" s="78" t="s">
        <v>56</v>
      </c>
      <c r="E765" s="80" t="s">
        <v>57</v>
      </c>
      <c r="F765" s="78" t="str">
        <f>VLOOKUP('표1'!$E765,구분!$C$3:$D$72,2,0)</f>
        <v>동일</v>
      </c>
      <c r="G765" s="81">
        <v>15808850</v>
      </c>
      <c r="H765" s="81">
        <v>10275760</v>
      </c>
      <c r="I765" s="81">
        <v>9341600</v>
      </c>
      <c r="J765" s="81">
        <v>4512337</v>
      </c>
      <c r="K765" s="81">
        <v>4829263</v>
      </c>
      <c r="L765" s="81">
        <v>4810110</v>
      </c>
      <c r="M765" s="81">
        <v>19153</v>
      </c>
      <c r="N765" s="82">
        <v>1.21153657603178E-3</v>
      </c>
    </row>
    <row r="766" spans="1:14" ht="14.25" hidden="1" customHeight="1">
      <c r="A766" s="78">
        <v>2026</v>
      </c>
      <c r="B766" s="78">
        <v>1</v>
      </c>
      <c r="C766" s="79" t="s">
        <v>195</v>
      </c>
      <c r="D766" s="78" t="s">
        <v>58</v>
      </c>
      <c r="E766" s="80" t="s">
        <v>59</v>
      </c>
      <c r="F766" s="78" t="str">
        <f>VLOOKUP('표1'!$E766,구분!$C$3:$D$72,2,0)</f>
        <v>동일</v>
      </c>
      <c r="G766" s="81">
        <v>43107830</v>
      </c>
      <c r="H766" s="81">
        <v>27339691</v>
      </c>
      <c r="I766" s="81">
        <v>24854265</v>
      </c>
      <c r="J766" s="81">
        <v>13762342</v>
      </c>
      <c r="K766" s="81">
        <v>11091923</v>
      </c>
      <c r="L766" s="81">
        <v>5592660</v>
      </c>
      <c r="M766" s="81">
        <v>5499263</v>
      </c>
      <c r="N766" s="82">
        <v>0.12756993335085501</v>
      </c>
    </row>
    <row r="767" spans="1:14" ht="14.25" hidden="1" customHeight="1">
      <c r="A767" s="78">
        <v>2026</v>
      </c>
      <c r="B767" s="78">
        <v>1</v>
      </c>
      <c r="C767" s="79" t="s">
        <v>195</v>
      </c>
      <c r="D767" s="78" t="s">
        <v>60</v>
      </c>
      <c r="E767" s="80" t="s">
        <v>61</v>
      </c>
      <c r="F767" s="78" t="str">
        <f>VLOOKUP('표1'!$E767,구분!$C$3:$D$72,2,0)</f>
        <v>동일</v>
      </c>
      <c r="G767" s="81">
        <v>30161610</v>
      </c>
      <c r="H767" s="81">
        <v>19303430</v>
      </c>
      <c r="I767" s="81">
        <v>17548573</v>
      </c>
      <c r="J767" s="81">
        <v>10163270</v>
      </c>
      <c r="K767" s="81">
        <v>7385303</v>
      </c>
      <c r="L767" s="81">
        <v>5485370</v>
      </c>
      <c r="M767" s="81">
        <v>1899933</v>
      </c>
      <c r="N767" s="82">
        <v>6.2991763370721904E-2</v>
      </c>
    </row>
    <row r="768" spans="1:14" ht="14.25" hidden="1" customHeight="1">
      <c r="A768" s="78">
        <v>2026</v>
      </c>
      <c r="B768" s="78">
        <v>1</v>
      </c>
      <c r="C768" s="79" t="s">
        <v>195</v>
      </c>
      <c r="D768" s="78" t="s">
        <v>62</v>
      </c>
      <c r="E768" s="80" t="s">
        <v>63</v>
      </c>
      <c r="F768" s="78" t="str">
        <f>VLOOKUP('표1'!$E768,구분!$C$3:$D$72,2,0)</f>
        <v>동일</v>
      </c>
      <c r="G768" s="81">
        <v>55510080</v>
      </c>
      <c r="H768" s="81">
        <v>35526451</v>
      </c>
      <c r="I768" s="81">
        <v>32296774</v>
      </c>
      <c r="J768" s="81">
        <v>16247095</v>
      </c>
      <c r="K768" s="81">
        <v>16049679</v>
      </c>
      <c r="L768" s="81">
        <v>8156460</v>
      </c>
      <c r="M768" s="81">
        <v>7893219</v>
      </c>
      <c r="N768" s="82">
        <v>0.14219433659616401</v>
      </c>
    </row>
    <row r="769" spans="1:14" ht="14.25" hidden="1" customHeight="1">
      <c r="A769" s="78">
        <v>2026</v>
      </c>
      <c r="B769" s="78">
        <v>1</v>
      </c>
      <c r="C769" s="79" t="s">
        <v>195</v>
      </c>
      <c r="D769" s="78" t="s">
        <v>64</v>
      </c>
      <c r="E769" s="80" t="s">
        <v>65</v>
      </c>
      <c r="F769" s="78" t="str">
        <f>VLOOKUP('표1'!$E769,구분!$C$3:$D$72,2,0)</f>
        <v>동일</v>
      </c>
      <c r="G769" s="81">
        <v>21016330</v>
      </c>
      <c r="H769" s="81">
        <v>13450370</v>
      </c>
      <c r="I769" s="81">
        <v>12227609</v>
      </c>
      <c r="J769" s="81">
        <v>6053772</v>
      </c>
      <c r="K769" s="81">
        <v>6173837</v>
      </c>
      <c r="L769" s="81">
        <v>3719750</v>
      </c>
      <c r="M769" s="81">
        <v>2454087</v>
      </c>
      <c r="N769" s="82">
        <v>0.11677048276269</v>
      </c>
    </row>
    <row r="770" spans="1:14" ht="14.25" hidden="1" customHeight="1">
      <c r="A770" s="78">
        <v>2026</v>
      </c>
      <c r="B770" s="78">
        <v>1</v>
      </c>
      <c r="C770" s="79" t="s">
        <v>195</v>
      </c>
      <c r="D770" s="78" t="s">
        <v>66</v>
      </c>
      <c r="E770" s="80" t="s">
        <v>67</v>
      </c>
      <c r="F770" s="78" t="str">
        <f>VLOOKUP('표1'!$E770,구분!$C$3:$D$72,2,0)</f>
        <v>동일</v>
      </c>
      <c r="G770" s="81">
        <v>30017310</v>
      </c>
      <c r="H770" s="81">
        <v>19504339</v>
      </c>
      <c r="I770" s="81">
        <v>17731217</v>
      </c>
      <c r="J770" s="81">
        <v>9391573</v>
      </c>
      <c r="K770" s="81">
        <v>8339644</v>
      </c>
      <c r="L770" s="81">
        <v>5663030</v>
      </c>
      <c r="M770" s="81">
        <v>2676614</v>
      </c>
      <c r="N770" s="82">
        <v>8.9169016144351396E-2</v>
      </c>
    </row>
    <row r="771" spans="1:14" ht="14.25" hidden="1" customHeight="1">
      <c r="A771" s="78">
        <v>2026</v>
      </c>
      <c r="B771" s="78">
        <v>1</v>
      </c>
      <c r="C771" s="79" t="s">
        <v>195</v>
      </c>
      <c r="D771" s="78" t="s">
        <v>68</v>
      </c>
      <c r="E771" s="80" t="s">
        <v>69</v>
      </c>
      <c r="F771" s="78" t="str">
        <f>VLOOKUP('표1'!$E771,구분!$C$3:$D$72,2,0)</f>
        <v>동일</v>
      </c>
      <c r="G771" s="81">
        <v>47566710</v>
      </c>
      <c r="H771" s="81">
        <v>30442695</v>
      </c>
      <c r="I771" s="81">
        <v>27675177</v>
      </c>
      <c r="J771" s="81">
        <v>13471858</v>
      </c>
      <c r="K771" s="81">
        <v>14203319</v>
      </c>
      <c r="L771" s="81">
        <v>6418430</v>
      </c>
      <c r="M771" s="81">
        <v>7784889</v>
      </c>
      <c r="N771" s="82">
        <v>0.163662548870838</v>
      </c>
    </row>
    <row r="772" spans="1:14" ht="14.25" hidden="1" customHeight="1">
      <c r="A772" s="78">
        <v>2026</v>
      </c>
      <c r="B772" s="78">
        <v>1</v>
      </c>
      <c r="C772" s="79" t="s">
        <v>195</v>
      </c>
      <c r="D772" s="78" t="s">
        <v>70</v>
      </c>
      <c r="E772" s="80" t="s">
        <v>71</v>
      </c>
      <c r="F772" s="78" t="str">
        <f>VLOOKUP('표1'!$E772,구분!$C$3:$D$72,2,0)</f>
        <v>동일</v>
      </c>
      <c r="G772" s="81">
        <v>27693660</v>
      </c>
      <c r="H772" s="81">
        <v>17723945</v>
      </c>
      <c r="I772" s="81">
        <v>16112677</v>
      </c>
      <c r="J772" s="81">
        <v>7607297</v>
      </c>
      <c r="K772" s="81">
        <v>8505380</v>
      </c>
      <c r="L772" s="81">
        <v>6008970</v>
      </c>
      <c r="M772" s="81">
        <v>2496410</v>
      </c>
      <c r="N772" s="82">
        <v>9.0143736869738395E-2</v>
      </c>
    </row>
    <row r="773" spans="1:14" ht="14.25" hidden="1" customHeight="1">
      <c r="A773" s="78">
        <v>2026</v>
      </c>
      <c r="B773" s="78">
        <v>1</v>
      </c>
      <c r="C773" s="79" t="s">
        <v>195</v>
      </c>
      <c r="D773" s="78" t="s">
        <v>72</v>
      </c>
      <c r="E773" s="80" t="s">
        <v>73</v>
      </c>
      <c r="F773" s="78" t="str">
        <f>VLOOKUP('표1'!$E773,구분!$C$3:$D$72,2,0)</f>
        <v>동일</v>
      </c>
      <c r="G773" s="81">
        <v>13070400</v>
      </c>
      <c r="H773" s="81">
        <v>8489452</v>
      </c>
      <c r="I773" s="81">
        <v>7717684</v>
      </c>
      <c r="J773" s="81">
        <v>3946108</v>
      </c>
      <c r="K773" s="81">
        <v>3771576</v>
      </c>
      <c r="L773" s="81">
        <v>3699220</v>
      </c>
      <c r="M773" s="81">
        <v>72356</v>
      </c>
      <c r="N773" s="82">
        <v>5.5358673032194902E-3</v>
      </c>
    </row>
    <row r="774" spans="1:14" ht="14.25" hidden="1" customHeight="1">
      <c r="A774" s="78">
        <v>2026</v>
      </c>
      <c r="B774" s="78">
        <v>1</v>
      </c>
      <c r="C774" s="79" t="s">
        <v>195</v>
      </c>
      <c r="D774" s="78" t="s">
        <v>74</v>
      </c>
      <c r="E774" s="80" t="s">
        <v>75</v>
      </c>
      <c r="F774" s="78" t="str">
        <f>VLOOKUP('표1'!$E774,구분!$C$3:$D$72,2,0)</f>
        <v>동일</v>
      </c>
      <c r="G774" s="81">
        <v>34163430</v>
      </c>
      <c r="H774" s="81">
        <v>21861269</v>
      </c>
      <c r="I774" s="81">
        <v>19873881</v>
      </c>
      <c r="J774" s="81">
        <v>10264566</v>
      </c>
      <c r="K774" s="81">
        <v>9609315</v>
      </c>
      <c r="L774" s="81">
        <v>5959040</v>
      </c>
      <c r="M774" s="81">
        <v>3650275</v>
      </c>
      <c r="N774" s="82">
        <v>0.106847438913482</v>
      </c>
    </row>
    <row r="775" spans="1:14" ht="14.25" hidden="1" customHeight="1">
      <c r="A775" s="78">
        <v>2026</v>
      </c>
      <c r="B775" s="78">
        <v>1</v>
      </c>
      <c r="C775" s="79" t="s">
        <v>195</v>
      </c>
      <c r="D775" s="78" t="s">
        <v>76</v>
      </c>
      <c r="E775" s="80" t="s">
        <v>77</v>
      </c>
      <c r="F775" s="78" t="str">
        <f>VLOOKUP('표1'!$E775,구분!$C$3:$D$72,2,0)</f>
        <v>동일</v>
      </c>
      <c r="G775" s="81">
        <v>32530630</v>
      </c>
      <c r="H775" s="81">
        <v>20776378</v>
      </c>
      <c r="I775" s="81">
        <v>18887616</v>
      </c>
      <c r="J775" s="81">
        <v>9651640</v>
      </c>
      <c r="K775" s="81">
        <v>9235976</v>
      </c>
      <c r="L775" s="81">
        <v>4327720</v>
      </c>
      <c r="M775" s="81">
        <v>4908256</v>
      </c>
      <c r="N775" s="82">
        <v>0.1508810619407</v>
      </c>
    </row>
    <row r="776" spans="1:14" ht="14.25" hidden="1" customHeight="1">
      <c r="A776" s="78">
        <v>2026</v>
      </c>
      <c r="B776" s="78">
        <v>1</v>
      </c>
      <c r="C776" s="79" t="s">
        <v>195</v>
      </c>
      <c r="D776" s="78" t="s">
        <v>78</v>
      </c>
      <c r="E776" s="80" t="s">
        <v>79</v>
      </c>
      <c r="F776" s="78" t="str">
        <f>VLOOKUP('표1'!$E776,구분!$C$3:$D$72,2,0)</f>
        <v>동일</v>
      </c>
      <c r="G776" s="81">
        <v>50145740</v>
      </c>
      <c r="H776" s="81">
        <v>32086004</v>
      </c>
      <c r="I776" s="81">
        <v>29169095</v>
      </c>
      <c r="J776" s="81">
        <v>14082259</v>
      </c>
      <c r="K776" s="81">
        <v>15086836</v>
      </c>
      <c r="L776" s="81">
        <v>6329770</v>
      </c>
      <c r="M776" s="81">
        <v>8757066</v>
      </c>
      <c r="N776" s="82">
        <v>0.17463230176680999</v>
      </c>
    </row>
    <row r="777" spans="1:14" ht="14.25" hidden="1" customHeight="1">
      <c r="A777" s="78">
        <v>2026</v>
      </c>
      <c r="B777" s="78">
        <v>1</v>
      </c>
      <c r="C777" s="79" t="s">
        <v>195</v>
      </c>
      <c r="D777" s="78" t="s">
        <v>80</v>
      </c>
      <c r="E777" s="80" t="s">
        <v>81</v>
      </c>
      <c r="F777" s="78" t="str">
        <f>VLOOKUP('표1'!$E777,구분!$C$3:$D$72,2,0)</f>
        <v>동일</v>
      </c>
      <c r="G777" s="81">
        <v>64106390</v>
      </c>
      <c r="H777" s="81">
        <v>41025308</v>
      </c>
      <c r="I777" s="81">
        <v>37295735</v>
      </c>
      <c r="J777" s="81">
        <v>18784715</v>
      </c>
      <c r="K777" s="81">
        <v>18511020</v>
      </c>
      <c r="L777" s="81">
        <v>8883640</v>
      </c>
      <c r="M777" s="81">
        <v>9627380</v>
      </c>
      <c r="N777" s="82">
        <v>0.15017816476641399</v>
      </c>
    </row>
    <row r="778" spans="1:14" ht="14.25" hidden="1" customHeight="1">
      <c r="A778" s="78">
        <v>2026</v>
      </c>
      <c r="B778" s="78">
        <v>1</v>
      </c>
      <c r="C778" s="79" t="s">
        <v>195</v>
      </c>
      <c r="D778" s="78" t="s">
        <v>82</v>
      </c>
      <c r="E778" s="80" t="s">
        <v>83</v>
      </c>
      <c r="F778" s="78" t="str">
        <f>VLOOKUP('표1'!$E778,구분!$C$3:$D$72,2,0)</f>
        <v>동일</v>
      </c>
      <c r="G778" s="81">
        <v>24000370</v>
      </c>
      <c r="H778" s="81">
        <v>15840251</v>
      </c>
      <c r="I778" s="81">
        <v>14400228</v>
      </c>
      <c r="J778" s="81">
        <v>7291437</v>
      </c>
      <c r="K778" s="81">
        <v>7108791</v>
      </c>
      <c r="L778" s="81">
        <v>6345650</v>
      </c>
      <c r="M778" s="81">
        <v>763141</v>
      </c>
      <c r="N778" s="82">
        <v>3.1797051462123298E-2</v>
      </c>
    </row>
    <row r="779" spans="1:14" ht="14.25" hidden="1" customHeight="1">
      <c r="A779" s="78">
        <v>2026</v>
      </c>
      <c r="B779" s="78">
        <v>1</v>
      </c>
      <c r="C779" s="79" t="s">
        <v>195</v>
      </c>
      <c r="D779" s="78" t="s">
        <v>84</v>
      </c>
      <c r="E779" s="80" t="s">
        <v>85</v>
      </c>
      <c r="F779" s="78" t="str">
        <f>VLOOKUP('표1'!$E779,구분!$C$3:$D$72,2,0)</f>
        <v>동일</v>
      </c>
      <c r="G779" s="81">
        <v>31379370</v>
      </c>
      <c r="H779" s="81">
        <v>20063597</v>
      </c>
      <c r="I779" s="81">
        <v>18239634</v>
      </c>
      <c r="J779" s="81">
        <v>8967287</v>
      </c>
      <c r="K779" s="81">
        <v>9272347</v>
      </c>
      <c r="L779" s="81">
        <v>4705580</v>
      </c>
      <c r="M779" s="81">
        <v>4566767</v>
      </c>
      <c r="N779" s="82">
        <v>0.14553405629239899</v>
      </c>
    </row>
    <row r="780" spans="1:14" ht="14.25" hidden="1" customHeight="1">
      <c r="A780" s="78">
        <v>2026</v>
      </c>
      <c r="B780" s="78">
        <v>1</v>
      </c>
      <c r="C780" s="79" t="s">
        <v>195</v>
      </c>
      <c r="D780" s="78" t="s">
        <v>86</v>
      </c>
      <c r="E780" s="80" t="s">
        <v>87</v>
      </c>
      <c r="F780" s="78" t="str">
        <f>VLOOKUP('표1'!$E780,구분!$C$3:$D$72,2,0)</f>
        <v>동일</v>
      </c>
      <c r="G780" s="81">
        <v>37285010</v>
      </c>
      <c r="H780" s="81">
        <v>23862406</v>
      </c>
      <c r="I780" s="81">
        <v>21693096</v>
      </c>
      <c r="J780" s="81">
        <v>10579579</v>
      </c>
      <c r="K780" s="81">
        <v>11113517</v>
      </c>
      <c r="L780" s="81">
        <v>6539630</v>
      </c>
      <c r="M780" s="81">
        <v>4573887</v>
      </c>
      <c r="N780" s="82">
        <v>0.122673616018877</v>
      </c>
    </row>
    <row r="781" spans="1:14" ht="14.25" hidden="1" customHeight="1">
      <c r="A781" s="78">
        <v>2026</v>
      </c>
      <c r="B781" s="78">
        <v>1</v>
      </c>
      <c r="C781" s="79" t="s">
        <v>195</v>
      </c>
      <c r="D781" s="78" t="s">
        <v>88</v>
      </c>
      <c r="E781" s="80" t="s">
        <v>89</v>
      </c>
      <c r="F781" s="78" t="str">
        <f>VLOOKUP('표1'!$E781,구분!$C$3:$D$72,2,0)</f>
        <v>동일</v>
      </c>
      <c r="G781" s="81">
        <v>16915910</v>
      </c>
      <c r="H781" s="81">
        <v>10790139</v>
      </c>
      <c r="I781" s="81">
        <v>9809217</v>
      </c>
      <c r="J781" s="81">
        <v>5160641</v>
      </c>
      <c r="K781" s="81">
        <v>4648576</v>
      </c>
      <c r="L781" s="81">
        <v>5347940</v>
      </c>
      <c r="M781" s="81">
        <v>-699364</v>
      </c>
      <c r="N781" s="82">
        <v>-4.13435635446157E-2</v>
      </c>
    </row>
    <row r="782" spans="1:14" ht="14.25" hidden="1" customHeight="1">
      <c r="A782" s="78">
        <v>2026</v>
      </c>
      <c r="B782" s="78">
        <v>1</v>
      </c>
      <c r="C782" s="79" t="s">
        <v>195</v>
      </c>
      <c r="D782" s="78" t="s">
        <v>90</v>
      </c>
      <c r="E782" s="80" t="s">
        <v>91</v>
      </c>
      <c r="F782" s="78" t="str">
        <f>VLOOKUP('표1'!$E782,구분!$C$3:$D$72,2,0)</f>
        <v>동일</v>
      </c>
      <c r="G782" s="81">
        <v>27698920</v>
      </c>
      <c r="H782" s="81">
        <v>17725011</v>
      </c>
      <c r="I782" s="81">
        <v>16113646</v>
      </c>
      <c r="J782" s="81">
        <v>8547504</v>
      </c>
      <c r="K782" s="81">
        <v>7566142</v>
      </c>
      <c r="L782" s="81">
        <v>5935680</v>
      </c>
      <c r="M782" s="81">
        <v>1630462</v>
      </c>
      <c r="N782" s="82">
        <v>5.8863739091632498E-2</v>
      </c>
    </row>
    <row r="783" spans="1:14" ht="14.25" hidden="1" customHeight="1">
      <c r="A783" s="78">
        <v>2026</v>
      </c>
      <c r="B783" s="78">
        <v>1</v>
      </c>
      <c r="C783" s="79" t="s">
        <v>195</v>
      </c>
      <c r="D783" s="78" t="s">
        <v>92</v>
      </c>
      <c r="E783" s="80" t="s">
        <v>93</v>
      </c>
      <c r="F783" s="78" t="str">
        <f>VLOOKUP('표1'!$E783,구분!$C$3:$D$72,2,0)</f>
        <v>동일</v>
      </c>
      <c r="G783" s="81">
        <v>30630370</v>
      </c>
      <c r="H783" s="81">
        <v>19603436</v>
      </c>
      <c r="I783" s="81">
        <v>17821305</v>
      </c>
      <c r="J783" s="81">
        <v>8454140</v>
      </c>
      <c r="K783" s="81">
        <v>9367165</v>
      </c>
      <c r="L783" s="81">
        <v>5551210</v>
      </c>
      <c r="M783" s="81">
        <v>3815955</v>
      </c>
      <c r="N783" s="82">
        <v>0.12458076738870601</v>
      </c>
    </row>
    <row r="784" spans="1:14" ht="14.25" hidden="1" customHeight="1">
      <c r="A784" s="78">
        <v>2026</v>
      </c>
      <c r="B784" s="78">
        <v>1</v>
      </c>
      <c r="C784" s="79" t="s">
        <v>195</v>
      </c>
      <c r="D784" s="78" t="s">
        <v>94</v>
      </c>
      <c r="E784" s="80" t="s">
        <v>95</v>
      </c>
      <c r="F784" s="78" t="str">
        <f>VLOOKUP('표1'!$E784,구분!$C$3:$D$72,2,0)</f>
        <v>폐점</v>
      </c>
      <c r="G784" s="81">
        <v>42818150</v>
      </c>
      <c r="H784" s="81">
        <v>27403616</v>
      </c>
      <c r="I784" s="81">
        <v>24912378</v>
      </c>
      <c r="J784" s="81">
        <v>11935886</v>
      </c>
      <c r="K784" s="81">
        <v>12976492</v>
      </c>
      <c r="L784" s="81">
        <v>6483310</v>
      </c>
      <c r="M784" s="81">
        <v>6493182</v>
      </c>
      <c r="N784" s="82">
        <v>0.15164555217822401</v>
      </c>
    </row>
    <row r="785" spans="1:14" ht="14.25" hidden="1" customHeight="1">
      <c r="A785" s="78">
        <v>2026</v>
      </c>
      <c r="B785" s="78">
        <v>1</v>
      </c>
      <c r="C785" s="79" t="s">
        <v>195</v>
      </c>
      <c r="D785" s="78" t="s">
        <v>96</v>
      </c>
      <c r="E785" s="80" t="s">
        <v>97</v>
      </c>
      <c r="F785" s="78" t="str">
        <f>VLOOKUP('표1'!$E785,구분!$C$3:$D$72,2,0)</f>
        <v>동일</v>
      </c>
      <c r="G785" s="81">
        <v>64263980</v>
      </c>
      <c r="H785" s="81">
        <v>41128944</v>
      </c>
      <c r="I785" s="81">
        <v>37389949</v>
      </c>
      <c r="J785" s="81">
        <v>19516524</v>
      </c>
      <c r="K785" s="81">
        <v>17873425</v>
      </c>
      <c r="L785" s="81">
        <v>9761920</v>
      </c>
      <c r="M785" s="81">
        <v>8111505</v>
      </c>
      <c r="N785" s="82">
        <v>0.12622164080095899</v>
      </c>
    </row>
    <row r="786" spans="1:14" ht="14.25" hidden="1" customHeight="1">
      <c r="A786" s="78">
        <v>2026</v>
      </c>
      <c r="B786" s="78">
        <v>1</v>
      </c>
      <c r="C786" s="79" t="s">
        <v>195</v>
      </c>
      <c r="D786" s="78" t="s">
        <v>98</v>
      </c>
      <c r="E786" s="80" t="s">
        <v>99</v>
      </c>
      <c r="F786" s="78" t="str">
        <f>VLOOKUP('표1'!$E786,구분!$C$3:$D$72,2,0)</f>
        <v>동일</v>
      </c>
      <c r="G786" s="81">
        <v>49294220</v>
      </c>
      <c r="H786" s="81">
        <v>31548302</v>
      </c>
      <c r="I786" s="81">
        <v>28680275</v>
      </c>
      <c r="J786" s="81">
        <v>13705169</v>
      </c>
      <c r="K786" s="81">
        <v>14975106</v>
      </c>
      <c r="L786" s="81">
        <v>8496730</v>
      </c>
      <c r="M786" s="81">
        <v>6478376</v>
      </c>
      <c r="N786" s="82">
        <v>0.13142262926566201</v>
      </c>
    </row>
    <row r="787" spans="1:14" ht="14.25" hidden="1" customHeight="1">
      <c r="A787" s="78">
        <v>2026</v>
      </c>
      <c r="B787" s="78">
        <v>1</v>
      </c>
      <c r="C787" s="79" t="s">
        <v>195</v>
      </c>
      <c r="D787" s="78" t="s">
        <v>100</v>
      </c>
      <c r="E787" s="80" t="s">
        <v>101</v>
      </c>
      <c r="F787" s="78" t="str">
        <f>VLOOKUP('표1'!$E787,구분!$C$3:$D$72,2,0)</f>
        <v>동일</v>
      </c>
      <c r="G787" s="81">
        <v>86573790</v>
      </c>
      <c r="H787" s="81">
        <v>54426235</v>
      </c>
      <c r="I787" s="81">
        <v>49478395</v>
      </c>
      <c r="J787" s="81">
        <v>25151764</v>
      </c>
      <c r="K787" s="81">
        <v>24326631</v>
      </c>
      <c r="L787" s="81">
        <v>12554350</v>
      </c>
      <c r="M787" s="81">
        <v>11772281</v>
      </c>
      <c r="N787" s="82">
        <v>0.135979734744199</v>
      </c>
    </row>
    <row r="788" spans="1:14" ht="14.25" hidden="1" customHeight="1">
      <c r="A788" s="78">
        <v>2026</v>
      </c>
      <c r="B788" s="78">
        <v>1</v>
      </c>
      <c r="C788" s="79" t="s">
        <v>195</v>
      </c>
      <c r="D788" s="78" t="s">
        <v>102</v>
      </c>
      <c r="E788" s="80" t="s">
        <v>103</v>
      </c>
      <c r="F788" s="78" t="str">
        <f>VLOOKUP('표1'!$E788,구분!$C$3:$D$72,2,0)</f>
        <v>동일</v>
      </c>
      <c r="G788" s="81">
        <v>83930160</v>
      </c>
      <c r="H788" s="81">
        <v>52875687</v>
      </c>
      <c r="I788" s="81">
        <v>48068806</v>
      </c>
      <c r="J788" s="81">
        <v>26206342</v>
      </c>
      <c r="K788" s="81">
        <v>21862464</v>
      </c>
      <c r="L788" s="81">
        <v>8963040</v>
      </c>
      <c r="M788" s="81">
        <v>12899424</v>
      </c>
      <c r="N788" s="82">
        <v>0.15369235564426401</v>
      </c>
    </row>
    <row r="789" spans="1:14" ht="14.25" hidden="1" customHeight="1">
      <c r="A789" s="78">
        <v>2026</v>
      </c>
      <c r="B789" s="78">
        <v>1</v>
      </c>
      <c r="C789" s="79" t="s">
        <v>195</v>
      </c>
      <c r="D789" s="78" t="s">
        <v>104</v>
      </c>
      <c r="E789" s="80" t="s">
        <v>105</v>
      </c>
      <c r="F789" s="78" t="str">
        <f>VLOOKUP('표1'!$E789,구분!$C$3:$D$72,2,0)</f>
        <v>동일</v>
      </c>
      <c r="G789" s="81">
        <v>34010210</v>
      </c>
      <c r="H789" s="81">
        <v>21329906</v>
      </c>
      <c r="I789" s="81">
        <v>19390824</v>
      </c>
      <c r="J789" s="81">
        <v>10169758</v>
      </c>
      <c r="K789" s="81">
        <v>9221066</v>
      </c>
      <c r="L789" s="81">
        <v>5779620</v>
      </c>
      <c r="M789" s="81">
        <v>3441446</v>
      </c>
      <c r="N789" s="82">
        <v>0.101188613654547</v>
      </c>
    </row>
    <row r="790" spans="1:14" ht="14.25" hidden="1" customHeight="1">
      <c r="A790" s="78">
        <v>2026</v>
      </c>
      <c r="B790" s="78">
        <v>1</v>
      </c>
      <c r="C790" s="79" t="s">
        <v>195</v>
      </c>
      <c r="D790" s="78" t="s">
        <v>106</v>
      </c>
      <c r="E790" s="80" t="s">
        <v>107</v>
      </c>
      <c r="F790" s="78" t="str">
        <f>VLOOKUP('표1'!$E790,구분!$C$3:$D$72,2,0)</f>
        <v>폐점</v>
      </c>
      <c r="G790" s="81">
        <v>40332290</v>
      </c>
      <c r="H790" s="81">
        <v>25055480</v>
      </c>
      <c r="I790" s="81">
        <v>22777709</v>
      </c>
      <c r="J790" s="81">
        <v>11067883</v>
      </c>
      <c r="K790" s="81">
        <v>11709826</v>
      </c>
      <c r="L790" s="81">
        <v>6413850</v>
      </c>
      <c r="M790" s="81">
        <v>5295976</v>
      </c>
      <c r="N790" s="82">
        <v>0.13130858674278101</v>
      </c>
    </row>
    <row r="791" spans="1:14" ht="14.25" hidden="1" customHeight="1">
      <c r="A791" s="78">
        <v>2026</v>
      </c>
      <c r="B791" s="78">
        <v>1</v>
      </c>
      <c r="C791" s="79" t="s">
        <v>195</v>
      </c>
      <c r="D791" s="78" t="s">
        <v>108</v>
      </c>
      <c r="E791" s="80" t="s">
        <v>109</v>
      </c>
      <c r="F791" s="78" t="str">
        <f>VLOOKUP('표1'!$E791,구분!$C$3:$D$72,2,0)</f>
        <v>동일</v>
      </c>
      <c r="G791" s="81">
        <v>38905820</v>
      </c>
      <c r="H791" s="81">
        <v>24126240</v>
      </c>
      <c r="I791" s="81">
        <v>21932945</v>
      </c>
      <c r="J791" s="81">
        <v>11191874</v>
      </c>
      <c r="K791" s="81">
        <v>10741071</v>
      </c>
      <c r="L791" s="81">
        <v>6634420</v>
      </c>
      <c r="M791" s="81">
        <v>4106651</v>
      </c>
      <c r="N791" s="82">
        <v>0.10555364210290399</v>
      </c>
    </row>
    <row r="792" spans="1:14" ht="14.25" hidden="1" customHeight="1">
      <c r="A792" s="78">
        <v>2026</v>
      </c>
      <c r="B792" s="78">
        <v>1</v>
      </c>
      <c r="C792" s="79" t="s">
        <v>195</v>
      </c>
      <c r="D792" s="78" t="s">
        <v>187</v>
      </c>
      <c r="E792" s="80" t="s">
        <v>188</v>
      </c>
      <c r="F792" s="78" t="str">
        <f>VLOOKUP('표1'!$E792,구분!$C$3:$D$72,2,0)</f>
        <v>동일</v>
      </c>
      <c r="G792" s="81">
        <v>30345640</v>
      </c>
      <c r="H792" s="81">
        <v>18873251</v>
      </c>
      <c r="I792" s="81">
        <v>17157501</v>
      </c>
      <c r="J792" s="81">
        <v>8475614</v>
      </c>
      <c r="K792" s="81">
        <v>8681887</v>
      </c>
      <c r="L792" s="81">
        <v>6092290</v>
      </c>
      <c r="M792" s="81">
        <v>2589597</v>
      </c>
      <c r="N792" s="82">
        <v>8.5336707349062305E-2</v>
      </c>
    </row>
    <row r="793" spans="1:14" ht="14.25" hidden="1" customHeight="1">
      <c r="A793" s="78">
        <v>2026</v>
      </c>
      <c r="B793" s="78">
        <v>1</v>
      </c>
      <c r="C793" s="79" t="s">
        <v>195</v>
      </c>
      <c r="D793" s="78" t="s">
        <v>110</v>
      </c>
      <c r="E793" s="80" t="s">
        <v>111</v>
      </c>
      <c r="F793" s="78" t="str">
        <f>VLOOKUP('표1'!$E793,구분!$C$3:$D$72,2,0)</f>
        <v>동일</v>
      </c>
      <c r="G793" s="81">
        <v>114223380</v>
      </c>
      <c r="H793" s="81">
        <v>70984513</v>
      </c>
      <c r="I793" s="81">
        <v>64531375</v>
      </c>
      <c r="J793" s="81">
        <v>35345501</v>
      </c>
      <c r="K793" s="81">
        <v>29185874</v>
      </c>
      <c r="L793" s="81">
        <v>15982860</v>
      </c>
      <c r="M793" s="81">
        <v>13203014</v>
      </c>
      <c r="N793" s="82">
        <v>0.115589417858235</v>
      </c>
    </row>
    <row r="794" spans="1:14" ht="14.25" hidden="1" customHeight="1">
      <c r="A794" s="78">
        <v>2026</v>
      </c>
      <c r="B794" s="78">
        <v>1</v>
      </c>
      <c r="C794" s="79" t="s">
        <v>195</v>
      </c>
      <c r="D794" s="78" t="s">
        <v>112</v>
      </c>
      <c r="E794" s="80" t="s">
        <v>113</v>
      </c>
      <c r="F794" s="78" t="str">
        <f>VLOOKUP('표1'!$E794,구분!$C$3:$D$72,2,0)</f>
        <v>동일</v>
      </c>
      <c r="G794" s="81">
        <v>38174120</v>
      </c>
      <c r="H794" s="81">
        <v>23667955</v>
      </c>
      <c r="I794" s="81">
        <v>21516323</v>
      </c>
      <c r="J794" s="81">
        <v>10677390</v>
      </c>
      <c r="K794" s="81">
        <v>10838933</v>
      </c>
      <c r="L794" s="81">
        <v>6784560</v>
      </c>
      <c r="M794" s="81">
        <v>4054373</v>
      </c>
      <c r="N794" s="82">
        <v>0.106207372953195</v>
      </c>
    </row>
    <row r="795" spans="1:14" ht="14.25" hidden="1" customHeight="1">
      <c r="A795" s="78">
        <v>2026</v>
      </c>
      <c r="B795" s="78">
        <v>1</v>
      </c>
      <c r="C795" s="79" t="s">
        <v>195</v>
      </c>
      <c r="D795" s="78" t="s">
        <v>116</v>
      </c>
      <c r="E795" s="80" t="s">
        <v>117</v>
      </c>
      <c r="F795" s="78" t="str">
        <f>VLOOKUP('표1'!$E795,구분!$C$3:$D$72,2,0)</f>
        <v>동일</v>
      </c>
      <c r="G795" s="81">
        <v>31981700</v>
      </c>
      <c r="H795" s="81">
        <v>20125035</v>
      </c>
      <c r="I795" s="81">
        <v>18295486</v>
      </c>
      <c r="J795" s="81">
        <v>9091134</v>
      </c>
      <c r="K795" s="81">
        <v>9204352</v>
      </c>
      <c r="L795" s="81">
        <v>7087050</v>
      </c>
      <c r="M795" s="81">
        <v>2117302</v>
      </c>
      <c r="N795" s="82">
        <v>6.6203547653814504E-2</v>
      </c>
    </row>
    <row r="796" spans="1:14" ht="14.25" hidden="1" customHeight="1">
      <c r="A796" s="78">
        <v>2026</v>
      </c>
      <c r="B796" s="78">
        <v>1</v>
      </c>
      <c r="C796" s="79" t="s">
        <v>195</v>
      </c>
      <c r="D796" s="78" t="s">
        <v>118</v>
      </c>
      <c r="E796" s="80" t="s">
        <v>119</v>
      </c>
      <c r="F796" s="78" t="str">
        <f>VLOOKUP('표1'!$E796,구분!$C$3:$D$72,2,0)</f>
        <v>동일</v>
      </c>
      <c r="G796" s="81">
        <v>83766400</v>
      </c>
      <c r="H796" s="81">
        <v>51935168</v>
      </c>
      <c r="I796" s="81">
        <v>47213789</v>
      </c>
      <c r="J796" s="81">
        <v>21620257</v>
      </c>
      <c r="K796" s="81">
        <v>25593532</v>
      </c>
      <c r="L796" s="81">
        <v>12056370</v>
      </c>
      <c r="M796" s="81">
        <v>13537162</v>
      </c>
      <c r="N796" s="82">
        <v>0.16160610937082201</v>
      </c>
    </row>
    <row r="797" spans="1:14" ht="14.25" hidden="1" customHeight="1">
      <c r="A797" s="78">
        <v>2026</v>
      </c>
      <c r="B797" s="78">
        <v>1</v>
      </c>
      <c r="C797" s="79" t="s">
        <v>195</v>
      </c>
      <c r="D797" s="78" t="s">
        <v>180</v>
      </c>
      <c r="E797" s="80" t="s">
        <v>181</v>
      </c>
      <c r="F797" s="78" t="str">
        <f>VLOOKUP('표1'!$E797,구분!$C$3:$D$72,2,0)</f>
        <v>동일</v>
      </c>
      <c r="G797" s="81">
        <v>36293680</v>
      </c>
      <c r="H797" s="81">
        <v>22657501</v>
      </c>
      <c r="I797" s="81">
        <v>20597728</v>
      </c>
      <c r="J797" s="81">
        <v>11211368</v>
      </c>
      <c r="K797" s="81">
        <v>9386360</v>
      </c>
      <c r="L797" s="81">
        <v>7418910</v>
      </c>
      <c r="M797" s="81">
        <v>1967450</v>
      </c>
      <c r="N797" s="82">
        <v>5.4209162586984799E-2</v>
      </c>
    </row>
    <row r="798" spans="1:14" ht="14.25" hidden="1" customHeight="1">
      <c r="A798" s="78">
        <v>2026</v>
      </c>
      <c r="B798" s="78">
        <v>1</v>
      </c>
      <c r="C798" s="79" t="s">
        <v>195</v>
      </c>
      <c r="D798" s="78" t="s">
        <v>120</v>
      </c>
      <c r="E798" s="80" t="s">
        <v>121</v>
      </c>
      <c r="F798" s="78" t="str">
        <f>VLOOKUP('표1'!$E798,구분!$C$3:$D$72,2,0)</f>
        <v>동일</v>
      </c>
      <c r="G798" s="81">
        <v>83240700</v>
      </c>
      <c r="H798" s="81">
        <v>52780692</v>
      </c>
      <c r="I798" s="81">
        <v>47982447</v>
      </c>
      <c r="J798" s="81">
        <v>26079794</v>
      </c>
      <c r="K798" s="81">
        <v>21902653</v>
      </c>
      <c r="L798" s="81">
        <v>9938500</v>
      </c>
      <c r="M798" s="81">
        <v>11964153</v>
      </c>
      <c r="N798" s="82">
        <v>0.14372960582984101</v>
      </c>
    </row>
    <row r="799" spans="1:14" ht="14.25" hidden="1" customHeight="1">
      <c r="A799" s="78">
        <v>2026</v>
      </c>
      <c r="B799" s="78">
        <v>1</v>
      </c>
      <c r="C799" s="79" t="s">
        <v>195</v>
      </c>
      <c r="D799" s="78" t="s">
        <v>122</v>
      </c>
      <c r="E799" s="80" t="s">
        <v>123</v>
      </c>
      <c r="F799" s="78" t="str">
        <f>VLOOKUP('표1'!$E799,구분!$C$3:$D$72,2,0)</f>
        <v>동일</v>
      </c>
      <c r="G799" s="81">
        <v>55302410</v>
      </c>
      <c r="H799" s="81">
        <v>35072783</v>
      </c>
      <c r="I799" s="81">
        <v>31884348</v>
      </c>
      <c r="J799" s="81">
        <v>15810213</v>
      </c>
      <c r="K799" s="81">
        <v>16074135</v>
      </c>
      <c r="L799" s="81">
        <v>9717350</v>
      </c>
      <c r="M799" s="81">
        <v>6356785</v>
      </c>
      <c r="N799" s="82">
        <v>0.11494589476299499</v>
      </c>
    </row>
    <row r="800" spans="1:14" ht="14.25" hidden="1" customHeight="1">
      <c r="A800" s="78">
        <v>2026</v>
      </c>
      <c r="B800" s="78">
        <v>1</v>
      </c>
      <c r="C800" s="79" t="s">
        <v>195</v>
      </c>
      <c r="D800" s="78" t="s">
        <v>124</v>
      </c>
      <c r="E800" s="80" t="s">
        <v>125</v>
      </c>
      <c r="F800" s="78" t="str">
        <f>VLOOKUP('표1'!$E800,구분!$C$3:$D$72,2,0)</f>
        <v>동일</v>
      </c>
      <c r="G800" s="81">
        <v>92415870</v>
      </c>
      <c r="H800" s="81">
        <v>58214052</v>
      </c>
      <c r="I800" s="81">
        <v>52921865</v>
      </c>
      <c r="J800" s="81">
        <v>24964620</v>
      </c>
      <c r="K800" s="81">
        <v>27957245</v>
      </c>
      <c r="L800" s="81">
        <v>8110220</v>
      </c>
      <c r="M800" s="81">
        <v>19847025</v>
      </c>
      <c r="N800" s="82">
        <v>0.21475775751502399</v>
      </c>
    </row>
    <row r="801" spans="1:14" ht="14.25" hidden="1" customHeight="1">
      <c r="A801" s="78">
        <v>2026</v>
      </c>
      <c r="B801" s="78">
        <v>1</v>
      </c>
      <c r="C801" s="79" t="s">
        <v>195</v>
      </c>
      <c r="D801" s="78" t="s">
        <v>126</v>
      </c>
      <c r="E801" s="80" t="s">
        <v>127</v>
      </c>
      <c r="F801" s="78" t="str">
        <f>VLOOKUP('표1'!$E801,구분!$C$3:$D$72,2,0)</f>
        <v>동일</v>
      </c>
      <c r="G801" s="81">
        <v>69504370</v>
      </c>
      <c r="H801" s="81">
        <v>44202865</v>
      </c>
      <c r="I801" s="81">
        <v>40184423</v>
      </c>
      <c r="J801" s="81">
        <v>19580651</v>
      </c>
      <c r="K801" s="81">
        <v>20603772</v>
      </c>
      <c r="L801" s="81">
        <v>10426810</v>
      </c>
      <c r="M801" s="81">
        <v>10176962</v>
      </c>
      <c r="N801" s="82">
        <v>0.14642190124160501</v>
      </c>
    </row>
    <row r="802" spans="1:14" ht="14.25" customHeight="1">
      <c r="A802" s="78">
        <v>2026</v>
      </c>
      <c r="B802" s="78">
        <v>1</v>
      </c>
      <c r="C802" s="79" t="s">
        <v>195</v>
      </c>
      <c r="D802" s="78" t="s">
        <v>128</v>
      </c>
      <c r="E802" s="80" t="s">
        <v>129</v>
      </c>
      <c r="F802" s="78" t="str">
        <f>VLOOKUP('표1'!$E802,구분!$C$3:$D$72,2,0)</f>
        <v>동일</v>
      </c>
      <c r="G802" s="81">
        <v>80148670</v>
      </c>
      <c r="H802" s="81">
        <v>51190071</v>
      </c>
      <c r="I802" s="81">
        <v>46536428</v>
      </c>
      <c r="J802" s="81">
        <v>23868744</v>
      </c>
      <c r="K802" s="81">
        <v>22667684</v>
      </c>
      <c r="L802" s="81">
        <v>11597890</v>
      </c>
      <c r="M802" s="81">
        <v>11069794</v>
      </c>
      <c r="N802" s="82">
        <v>0.138115754135409</v>
      </c>
    </row>
    <row r="803" spans="1:14" ht="14.25" hidden="1" customHeight="1">
      <c r="A803" s="78">
        <v>2026</v>
      </c>
      <c r="B803" s="78">
        <v>1</v>
      </c>
      <c r="C803" s="79" t="s">
        <v>195</v>
      </c>
      <c r="D803" s="78" t="s">
        <v>130</v>
      </c>
      <c r="E803" s="80" t="s">
        <v>131</v>
      </c>
      <c r="F803" s="78" t="str">
        <f>VLOOKUP('표1'!$E803,구분!$C$3:$D$72,2,0)</f>
        <v>동일</v>
      </c>
      <c r="G803" s="81">
        <v>53310870</v>
      </c>
      <c r="H803" s="81">
        <v>34030729</v>
      </c>
      <c r="I803" s="81">
        <v>30937026</v>
      </c>
      <c r="J803" s="81">
        <v>14923335</v>
      </c>
      <c r="K803" s="81">
        <v>16013691</v>
      </c>
      <c r="L803" s="81">
        <v>6854210</v>
      </c>
      <c r="M803" s="81">
        <v>9159481</v>
      </c>
      <c r="N803" s="82">
        <v>0.171812634083818</v>
      </c>
    </row>
    <row r="804" spans="1:14" ht="14.25" hidden="1" customHeight="1">
      <c r="A804" s="78">
        <v>2026</v>
      </c>
      <c r="B804" s="78">
        <v>1</v>
      </c>
      <c r="C804" s="79" t="s">
        <v>195</v>
      </c>
      <c r="D804" s="78" t="s">
        <v>132</v>
      </c>
      <c r="E804" s="80" t="s">
        <v>133</v>
      </c>
      <c r="F804" s="78" t="str">
        <f>VLOOKUP('표1'!$E804,구분!$C$3:$D$72,2,0)</f>
        <v>동일</v>
      </c>
      <c r="G804" s="81">
        <v>26661700</v>
      </c>
      <c r="H804" s="81">
        <v>17162553</v>
      </c>
      <c r="I804" s="81">
        <v>15602321</v>
      </c>
      <c r="J804" s="81">
        <v>7041092</v>
      </c>
      <c r="K804" s="81">
        <v>8561229</v>
      </c>
      <c r="L804" s="81">
        <v>4932540</v>
      </c>
      <c r="M804" s="81">
        <v>3628689</v>
      </c>
      <c r="N804" s="82">
        <v>0.136101186345957</v>
      </c>
    </row>
    <row r="805" spans="1:14" ht="14.25" hidden="1" customHeight="1">
      <c r="A805" s="78">
        <v>2026</v>
      </c>
      <c r="B805" s="78">
        <v>1</v>
      </c>
      <c r="C805" s="79" t="s">
        <v>195</v>
      </c>
      <c r="D805" s="78" t="s">
        <v>134</v>
      </c>
      <c r="E805" s="80" t="s">
        <v>135</v>
      </c>
      <c r="F805" s="78" t="str">
        <f>VLOOKUP('표1'!$E805,구분!$C$3:$D$72,2,0)</f>
        <v>동일</v>
      </c>
      <c r="G805" s="81">
        <v>47566440</v>
      </c>
      <c r="H805" s="81">
        <v>30215368</v>
      </c>
      <c r="I805" s="81">
        <v>27468516</v>
      </c>
      <c r="J805" s="81">
        <v>14692329</v>
      </c>
      <c r="K805" s="81">
        <v>12776187</v>
      </c>
      <c r="L805" s="81">
        <v>7921830</v>
      </c>
      <c r="M805" s="81">
        <v>4854357</v>
      </c>
      <c r="N805" s="82">
        <v>0.10205424244488299</v>
      </c>
    </row>
    <row r="806" spans="1:14" ht="14.25" hidden="1" customHeight="1">
      <c r="A806" s="78">
        <v>2026</v>
      </c>
      <c r="B806" s="78">
        <v>1</v>
      </c>
      <c r="C806" s="79" t="s">
        <v>195</v>
      </c>
      <c r="D806" s="78" t="s">
        <v>136</v>
      </c>
      <c r="E806" s="80" t="s">
        <v>137</v>
      </c>
      <c r="F806" s="78" t="str">
        <f>VLOOKUP('표1'!$E806,구분!$C$3:$D$72,2,0)</f>
        <v>동일</v>
      </c>
      <c r="G806" s="81">
        <v>42153770</v>
      </c>
      <c r="H806" s="81">
        <v>27015254</v>
      </c>
      <c r="I806" s="81">
        <v>24559322</v>
      </c>
      <c r="J806" s="81">
        <v>11828249</v>
      </c>
      <c r="K806" s="81">
        <v>12731073</v>
      </c>
      <c r="L806" s="81">
        <v>6511750</v>
      </c>
      <c r="M806" s="81">
        <v>6219323</v>
      </c>
      <c r="N806" s="82">
        <v>0.14753895084591501</v>
      </c>
    </row>
    <row r="807" spans="1:14" ht="14.25" hidden="1" customHeight="1">
      <c r="A807" s="78">
        <v>2026</v>
      </c>
      <c r="B807" s="78">
        <v>1</v>
      </c>
      <c r="C807" s="79" t="s">
        <v>195</v>
      </c>
      <c r="D807" s="78" t="s">
        <v>138</v>
      </c>
      <c r="E807" s="80" t="s">
        <v>139</v>
      </c>
      <c r="F807" s="78" t="str">
        <f>VLOOKUP('표1'!$E807,구분!$C$3:$D$72,2,0)</f>
        <v>동일</v>
      </c>
      <c r="G807" s="81">
        <v>33828460</v>
      </c>
      <c r="H807" s="81">
        <v>21570010</v>
      </c>
      <c r="I807" s="81">
        <v>19609100</v>
      </c>
      <c r="J807" s="81">
        <v>9400191</v>
      </c>
      <c r="K807" s="81">
        <v>10208909</v>
      </c>
      <c r="L807" s="81">
        <v>4955120</v>
      </c>
      <c r="M807" s="81">
        <v>5253789</v>
      </c>
      <c r="N807" s="82">
        <v>0.155306774236841</v>
      </c>
    </row>
    <row r="808" spans="1:14" ht="14.25" hidden="1" customHeight="1">
      <c r="A808" s="78">
        <v>2026</v>
      </c>
      <c r="B808" s="78">
        <v>1</v>
      </c>
      <c r="C808" s="79" t="s">
        <v>195</v>
      </c>
      <c r="D808" s="78" t="s">
        <v>140</v>
      </c>
      <c r="E808" s="80" t="s">
        <v>141</v>
      </c>
      <c r="F808" s="78" t="str">
        <f>VLOOKUP('표1'!$E808,구분!$C$3:$D$72,2,0)</f>
        <v>동일</v>
      </c>
      <c r="G808" s="81">
        <v>49129360</v>
      </c>
      <c r="H808" s="81">
        <v>31093076</v>
      </c>
      <c r="I808" s="81">
        <v>28266433</v>
      </c>
      <c r="J808" s="81">
        <v>14379346</v>
      </c>
      <c r="K808" s="81">
        <v>13887087</v>
      </c>
      <c r="L808" s="81">
        <v>6837940</v>
      </c>
      <c r="M808" s="81">
        <v>7049147</v>
      </c>
      <c r="N808" s="82">
        <v>0.14348135208763199</v>
      </c>
    </row>
    <row r="809" spans="1:14" ht="14.25" hidden="1" customHeight="1">
      <c r="A809" s="78">
        <v>2026</v>
      </c>
      <c r="B809" s="78">
        <v>1</v>
      </c>
      <c r="C809" s="79" t="s">
        <v>195</v>
      </c>
      <c r="D809" s="78" t="s">
        <v>142</v>
      </c>
      <c r="E809" s="80" t="s">
        <v>143</v>
      </c>
      <c r="F809" s="78" t="str">
        <f>VLOOKUP('표1'!$E809,구분!$C$3:$D$72,2,0)</f>
        <v>동일</v>
      </c>
      <c r="G809" s="81">
        <v>45002280</v>
      </c>
      <c r="H809" s="81">
        <v>29156160</v>
      </c>
      <c r="I809" s="81">
        <v>26505600</v>
      </c>
      <c r="J809" s="81">
        <v>12193213</v>
      </c>
      <c r="K809" s="81">
        <v>14312387</v>
      </c>
      <c r="L809" s="81">
        <v>5735490</v>
      </c>
      <c r="M809" s="81">
        <v>8576897</v>
      </c>
      <c r="N809" s="82">
        <v>0.19058805464967599</v>
      </c>
    </row>
    <row r="810" spans="1:14" ht="14.25" hidden="1" customHeight="1">
      <c r="A810" s="78">
        <v>2026</v>
      </c>
      <c r="B810" s="78">
        <v>1</v>
      </c>
      <c r="C810" s="79" t="s">
        <v>195</v>
      </c>
      <c r="D810" s="78" t="s">
        <v>144</v>
      </c>
      <c r="E810" s="80" t="s">
        <v>145</v>
      </c>
      <c r="F810" s="78" t="str">
        <f>VLOOKUP('표1'!$E810,구분!$C$3:$D$72,2,0)</f>
        <v>동일</v>
      </c>
      <c r="G810" s="81">
        <v>37290280</v>
      </c>
      <c r="H810" s="81">
        <v>23923692</v>
      </c>
      <c r="I810" s="81">
        <v>21748811</v>
      </c>
      <c r="J810" s="81">
        <v>10883956</v>
      </c>
      <c r="K810" s="81">
        <v>10864855</v>
      </c>
      <c r="L810" s="81">
        <v>6963310</v>
      </c>
      <c r="M810" s="81">
        <v>3901545</v>
      </c>
      <c r="N810" s="82">
        <v>0.10462632621691199</v>
      </c>
    </row>
    <row r="811" spans="1:14" ht="14.25" hidden="1" customHeight="1">
      <c r="A811" s="78">
        <v>2026</v>
      </c>
      <c r="B811" s="78">
        <v>1</v>
      </c>
      <c r="C811" s="79" t="s">
        <v>195</v>
      </c>
      <c r="D811" s="78" t="s">
        <v>146</v>
      </c>
      <c r="E811" s="80" t="s">
        <v>147</v>
      </c>
      <c r="F811" s="78" t="str">
        <f>VLOOKUP('표1'!$E811,구분!$C$3:$D$72,2,0)</f>
        <v>동일</v>
      </c>
      <c r="G811" s="81">
        <v>72278680</v>
      </c>
      <c r="H811" s="81">
        <v>45505769</v>
      </c>
      <c r="I811" s="81">
        <v>41368881</v>
      </c>
      <c r="J811" s="81">
        <v>22320896</v>
      </c>
      <c r="K811" s="81">
        <v>19047985</v>
      </c>
      <c r="L811" s="81">
        <v>8997750</v>
      </c>
      <c r="M811" s="81">
        <v>10050235</v>
      </c>
      <c r="N811" s="82">
        <v>0.13904840265483501</v>
      </c>
    </row>
    <row r="812" spans="1:14" ht="14.25" hidden="1" customHeight="1">
      <c r="A812" s="78">
        <v>2026</v>
      </c>
      <c r="B812" s="78">
        <v>1</v>
      </c>
      <c r="C812" s="79" t="s">
        <v>195</v>
      </c>
      <c r="D812" s="78" t="s">
        <v>148</v>
      </c>
      <c r="E812" s="80" t="s">
        <v>149</v>
      </c>
      <c r="F812" s="78" t="str">
        <f>VLOOKUP('표1'!$E812,구분!$C$3:$D$72,2,0)</f>
        <v>동일</v>
      </c>
      <c r="G812" s="81">
        <v>22954550</v>
      </c>
      <c r="H812" s="81">
        <v>14500742</v>
      </c>
      <c r="I812" s="81">
        <v>13182493</v>
      </c>
      <c r="J812" s="81">
        <v>6401003</v>
      </c>
      <c r="K812" s="81">
        <v>6781490</v>
      </c>
      <c r="L812" s="81">
        <v>4846940</v>
      </c>
      <c r="M812" s="81">
        <v>1934550</v>
      </c>
      <c r="N812" s="82">
        <v>8.4277409053978403E-2</v>
      </c>
    </row>
    <row r="813" spans="1:14" ht="14.25" hidden="1" customHeight="1">
      <c r="A813" s="78">
        <v>2026</v>
      </c>
      <c r="B813" s="78">
        <v>1</v>
      </c>
      <c r="C813" s="79" t="s">
        <v>195</v>
      </c>
      <c r="D813" s="78" t="s">
        <v>150</v>
      </c>
      <c r="E813" s="80" t="s">
        <v>151</v>
      </c>
      <c r="F813" s="78" t="str">
        <f>VLOOKUP('표1'!$E813,구분!$C$3:$D$72,2,0)</f>
        <v>동일</v>
      </c>
      <c r="G813" s="81">
        <v>30311590</v>
      </c>
      <c r="H813" s="81">
        <v>19018958</v>
      </c>
      <c r="I813" s="81">
        <v>17289962</v>
      </c>
      <c r="J813" s="81">
        <v>9042516</v>
      </c>
      <c r="K813" s="81">
        <v>8247446</v>
      </c>
      <c r="L813" s="81">
        <v>5816520</v>
      </c>
      <c r="M813" s="81">
        <v>2430926</v>
      </c>
      <c r="N813" s="82">
        <v>8.01979044979165E-2</v>
      </c>
    </row>
    <row r="814" spans="1:14" ht="15" hidden="1" customHeight="1">
      <c r="A814" s="78">
        <v>2026</v>
      </c>
      <c r="B814" s="78">
        <v>1</v>
      </c>
      <c r="C814" s="79" t="s">
        <v>195</v>
      </c>
      <c r="D814" s="78" t="s">
        <v>152</v>
      </c>
      <c r="E814" s="78" t="s">
        <v>153</v>
      </c>
      <c r="F814" s="78" t="str">
        <f>VLOOKUP('표1'!$E814,구분!$C$3:$D$72,2,0)</f>
        <v>동일</v>
      </c>
      <c r="G814" s="81">
        <v>31033270</v>
      </c>
      <c r="H814" s="81">
        <v>19424321</v>
      </c>
      <c r="I814" s="81">
        <v>17658474</v>
      </c>
      <c r="J814" s="81">
        <v>8511876</v>
      </c>
      <c r="K814" s="81">
        <v>9146598</v>
      </c>
      <c r="L814" s="81">
        <v>5763390</v>
      </c>
      <c r="M814" s="81">
        <v>3383208</v>
      </c>
      <c r="N814" s="82">
        <v>0.10901874021010401</v>
      </c>
    </row>
    <row r="815" spans="1:14" ht="15" hidden="1" customHeight="1">
      <c r="A815" s="78">
        <v>2026</v>
      </c>
      <c r="B815" s="78">
        <v>1</v>
      </c>
      <c r="C815" s="79" t="s">
        <v>195</v>
      </c>
      <c r="D815" s="78" t="s">
        <v>189</v>
      </c>
      <c r="E815" s="78" t="s">
        <v>190</v>
      </c>
      <c r="F815" s="78" t="str">
        <f>VLOOKUP('표1'!$E815,구분!$C$3:$D$72,2,0)</f>
        <v>동일</v>
      </c>
      <c r="G815" s="81">
        <v>36591940</v>
      </c>
      <c r="H815" s="81">
        <v>23414509</v>
      </c>
      <c r="I815" s="81">
        <v>21285917</v>
      </c>
      <c r="J815" s="81">
        <v>11369933</v>
      </c>
      <c r="K815" s="81">
        <v>9915984</v>
      </c>
      <c r="L815" s="81">
        <v>7719250</v>
      </c>
      <c r="M815" s="81">
        <v>2196734</v>
      </c>
      <c r="N815" s="82">
        <v>6.0033275087355301E-2</v>
      </c>
    </row>
    <row r="816" spans="1:14" ht="14.25" hidden="1" customHeight="1">
      <c r="A816" s="78">
        <v>2026</v>
      </c>
      <c r="B816" s="78">
        <v>1</v>
      </c>
      <c r="C816" s="79" t="s">
        <v>195</v>
      </c>
      <c r="D816" s="78" t="s">
        <v>154</v>
      </c>
      <c r="E816" s="80" t="s">
        <v>155</v>
      </c>
      <c r="F816" s="78" t="str">
        <f>VLOOKUP('표1'!$E816,구분!$C$3:$D$72,2,0)</f>
        <v>동일</v>
      </c>
      <c r="G816" s="81">
        <v>64756850</v>
      </c>
      <c r="H816" s="81">
        <v>40796829</v>
      </c>
      <c r="I816" s="81">
        <v>37088026</v>
      </c>
      <c r="J816" s="81">
        <v>19020373</v>
      </c>
      <c r="K816" s="81">
        <v>18067653</v>
      </c>
      <c r="L816" s="81">
        <v>10315010</v>
      </c>
      <c r="M816" s="81">
        <v>7752643</v>
      </c>
      <c r="N816" s="82">
        <v>0.119719272941781</v>
      </c>
    </row>
    <row r="817" spans="1:14" ht="14.25" hidden="1" customHeight="1">
      <c r="A817" s="78">
        <v>2026</v>
      </c>
      <c r="B817" s="78">
        <v>1</v>
      </c>
      <c r="C817" s="79" t="s">
        <v>195</v>
      </c>
      <c r="D817" s="78" t="s">
        <v>156</v>
      </c>
      <c r="E817" s="80" t="s">
        <v>157</v>
      </c>
      <c r="F817" s="78" t="str">
        <f>VLOOKUP('표1'!$E817,구분!$C$3:$D$72,2,0)</f>
        <v>동일</v>
      </c>
      <c r="G817" s="81">
        <v>78272160</v>
      </c>
      <c r="H817" s="81">
        <v>59878261</v>
      </c>
      <c r="I817" s="81">
        <v>54434783</v>
      </c>
      <c r="J817" s="81">
        <v>25840443</v>
      </c>
      <c r="K817" s="81">
        <v>28594340</v>
      </c>
      <c r="L817" s="81">
        <v>10567900</v>
      </c>
      <c r="M817" s="81">
        <v>18026440</v>
      </c>
      <c r="N817" s="82">
        <v>0.23030461916472</v>
      </c>
    </row>
    <row r="818" spans="1:14" ht="14.25" hidden="1" customHeight="1">
      <c r="A818" s="78">
        <v>2026</v>
      </c>
      <c r="B818" s="78">
        <v>1</v>
      </c>
      <c r="C818" s="79" t="s">
        <v>195</v>
      </c>
      <c r="D818" s="78" t="s">
        <v>158</v>
      </c>
      <c r="E818" s="80" t="s">
        <v>159</v>
      </c>
      <c r="F818" s="78" t="str">
        <f>VLOOKUP('표1'!$E818,구분!$C$3:$D$72,2,0)</f>
        <v>동일</v>
      </c>
      <c r="G818" s="81">
        <v>34248200</v>
      </c>
      <c r="H818" s="81">
        <v>26371134</v>
      </c>
      <c r="I818" s="81">
        <v>23973758</v>
      </c>
      <c r="J818" s="81">
        <v>10366517</v>
      </c>
      <c r="K818" s="81">
        <v>13607241</v>
      </c>
      <c r="L818" s="81">
        <v>5415000</v>
      </c>
      <c r="M818" s="81">
        <v>8192241</v>
      </c>
      <c r="N818" s="82">
        <v>0.23920208945287599</v>
      </c>
    </row>
    <row r="819" spans="1:14" ht="14.25" hidden="1" customHeight="1">
      <c r="A819" s="78">
        <v>2026</v>
      </c>
      <c r="B819" s="78">
        <v>1</v>
      </c>
      <c r="C819" s="79" t="s">
        <v>195</v>
      </c>
      <c r="D819" s="78" t="s">
        <v>160</v>
      </c>
      <c r="E819" s="80" t="s">
        <v>161</v>
      </c>
      <c r="F819" s="78" t="str">
        <f>VLOOKUP('표1'!$E819,구분!$C$3:$D$72,2,0)</f>
        <v>동일</v>
      </c>
      <c r="G819" s="81">
        <v>33732270</v>
      </c>
      <c r="H819" s="81">
        <v>25805224</v>
      </c>
      <c r="I819" s="81">
        <v>23459295</v>
      </c>
      <c r="J819" s="81">
        <v>10089140</v>
      </c>
      <c r="K819" s="81">
        <v>13370155</v>
      </c>
      <c r="L819" s="81">
        <v>6840090</v>
      </c>
      <c r="M819" s="81">
        <v>6530065</v>
      </c>
      <c r="N819" s="82">
        <v>0.193585104115436</v>
      </c>
    </row>
    <row r="820" spans="1:14" ht="14.25" hidden="1" customHeight="1">
      <c r="A820" s="78">
        <v>2026</v>
      </c>
      <c r="B820" s="78">
        <v>1</v>
      </c>
      <c r="C820" s="79" t="s">
        <v>195</v>
      </c>
      <c r="D820" s="78" t="s">
        <v>162</v>
      </c>
      <c r="E820" s="80" t="s">
        <v>163</v>
      </c>
      <c r="F820" s="78" t="str">
        <f>VLOOKUP('표1'!$E820,구분!$C$3:$D$72,2,0)</f>
        <v>동일</v>
      </c>
      <c r="G820" s="81">
        <v>29324380</v>
      </c>
      <c r="H820" s="81">
        <v>22579792</v>
      </c>
      <c r="I820" s="81">
        <v>20527084</v>
      </c>
      <c r="J820" s="81">
        <v>8875726</v>
      </c>
      <c r="K820" s="81">
        <v>11651358</v>
      </c>
      <c r="L820" s="81">
        <v>5054410</v>
      </c>
      <c r="M820" s="81">
        <v>6596948</v>
      </c>
      <c r="N820" s="82">
        <v>0.224964619882842</v>
      </c>
    </row>
    <row r="821" spans="1:14" ht="14.25" hidden="1" customHeight="1">
      <c r="A821" s="78">
        <v>2026</v>
      </c>
      <c r="B821" s="78">
        <v>1</v>
      </c>
      <c r="C821" s="79" t="s">
        <v>195</v>
      </c>
      <c r="D821" s="78" t="s">
        <v>164</v>
      </c>
      <c r="E821" s="80" t="s">
        <v>165</v>
      </c>
      <c r="F821" s="78" t="str">
        <f>VLOOKUP('표1'!$E821,구분!$C$3:$D$72,2,0)</f>
        <v>동일</v>
      </c>
      <c r="G821" s="81">
        <v>35386560</v>
      </c>
      <c r="H821" s="81">
        <v>27247675</v>
      </c>
      <c r="I821" s="81">
        <v>24770614</v>
      </c>
      <c r="J821" s="81">
        <v>10659509</v>
      </c>
      <c r="K821" s="81">
        <v>14111105</v>
      </c>
      <c r="L821" s="81">
        <v>7851090</v>
      </c>
      <c r="M821" s="81">
        <v>6260015</v>
      </c>
      <c r="N821" s="82">
        <v>0.176903745376776</v>
      </c>
    </row>
    <row r="822" spans="1:14" ht="14.25" hidden="1" customHeight="1">
      <c r="A822" s="78">
        <v>2026</v>
      </c>
      <c r="B822" s="78">
        <v>1</v>
      </c>
      <c r="C822" s="79" t="s">
        <v>195</v>
      </c>
      <c r="D822" s="78" t="s">
        <v>166</v>
      </c>
      <c r="E822" s="80" t="s">
        <v>167</v>
      </c>
      <c r="F822" s="78" t="str">
        <f>VLOOKUP('표1'!$E822,구분!$C$3:$D$72,2,0)</f>
        <v>동일</v>
      </c>
      <c r="G822" s="81">
        <v>21461450</v>
      </c>
      <c r="H822" s="81">
        <v>16525336</v>
      </c>
      <c r="I822" s="81">
        <v>15023033</v>
      </c>
      <c r="J822" s="81">
        <v>6594853</v>
      </c>
      <c r="K822" s="81">
        <v>8428180</v>
      </c>
      <c r="L822" s="81">
        <v>5119820</v>
      </c>
      <c r="M822" s="81">
        <v>3308360</v>
      </c>
      <c r="N822" s="82">
        <v>0.15415361031058</v>
      </c>
    </row>
    <row r="823" spans="1:14" ht="14.25" hidden="1" customHeight="1">
      <c r="A823" s="78">
        <v>2026</v>
      </c>
      <c r="B823" s="78">
        <v>1</v>
      </c>
      <c r="C823" s="79" t="s">
        <v>195</v>
      </c>
      <c r="D823" s="78" t="s">
        <v>168</v>
      </c>
      <c r="E823" s="80" t="s">
        <v>169</v>
      </c>
      <c r="F823" s="78" t="str">
        <f>VLOOKUP('표1'!$E823,구분!$C$3:$D$72,2,0)</f>
        <v>동일</v>
      </c>
      <c r="G823" s="81">
        <v>32987370</v>
      </c>
      <c r="H823" s="81">
        <v>25400284</v>
      </c>
      <c r="I823" s="81">
        <v>23091167</v>
      </c>
      <c r="J823" s="81">
        <v>10103365</v>
      </c>
      <c r="K823" s="81">
        <v>12987802</v>
      </c>
      <c r="L823" s="81">
        <v>6590570</v>
      </c>
      <c r="M823" s="81">
        <v>6397232</v>
      </c>
      <c r="N823" s="82">
        <v>0.193929737350992</v>
      </c>
    </row>
    <row r="824" spans="1:14" ht="15" hidden="1" customHeight="1">
      <c r="A824" s="78">
        <v>2026</v>
      </c>
      <c r="B824" s="78">
        <v>1</v>
      </c>
      <c r="C824" s="79" t="s">
        <v>195</v>
      </c>
      <c r="D824" s="78" t="s">
        <v>172</v>
      </c>
      <c r="E824" s="78" t="s">
        <v>173</v>
      </c>
      <c r="F824" s="78" t="str">
        <f>VLOOKUP('표1'!$E824,구분!$C$3:$D$72,2,0)</f>
        <v>동일</v>
      </c>
      <c r="G824" s="81">
        <v>20858850</v>
      </c>
      <c r="H824" s="81">
        <v>16269903</v>
      </c>
      <c r="I824" s="81">
        <v>14790821</v>
      </c>
      <c r="J824" s="81">
        <v>7076883</v>
      </c>
      <c r="K824" s="81">
        <v>7713938</v>
      </c>
      <c r="L824" s="81">
        <v>7550540</v>
      </c>
      <c r="M824" s="81">
        <v>163398</v>
      </c>
      <c r="N824" s="82">
        <v>7.8335095175429102E-3</v>
      </c>
    </row>
    <row r="825" spans="1:14" ht="14.25" hidden="1" customHeight="1">
      <c r="A825" s="78">
        <v>2026</v>
      </c>
      <c r="B825" s="78">
        <v>1</v>
      </c>
      <c r="C825" s="79" t="s">
        <v>195</v>
      </c>
      <c r="D825" s="78" t="s">
        <v>174</v>
      </c>
      <c r="E825" s="80" t="s">
        <v>175</v>
      </c>
      <c r="F825" s="78" t="str">
        <f>VLOOKUP('표1'!$E825,구분!$C$3:$D$72,2,0)</f>
        <v>동일</v>
      </c>
      <c r="G825" s="81">
        <v>13807850</v>
      </c>
      <c r="H825" s="81">
        <v>11598594</v>
      </c>
      <c r="I825" s="81">
        <v>10544176</v>
      </c>
      <c r="J825" s="81">
        <v>4379470</v>
      </c>
      <c r="K825" s="81">
        <v>6164706</v>
      </c>
      <c r="L825" s="81">
        <v>4764140</v>
      </c>
      <c r="M825" s="81">
        <v>1400566</v>
      </c>
      <c r="N825" s="82">
        <v>0.101432590881274</v>
      </c>
    </row>
    <row r="826" spans="1:14" ht="14.25" hidden="1" customHeight="1">
      <c r="A826" s="78">
        <v>2026</v>
      </c>
      <c r="B826" s="78">
        <v>1</v>
      </c>
      <c r="C826" s="79" t="s">
        <v>195</v>
      </c>
      <c r="D826" s="78" t="s">
        <v>176</v>
      </c>
      <c r="E826" s="80" t="s">
        <v>177</v>
      </c>
      <c r="F826" s="78" t="str">
        <f>VLOOKUP('표1'!$E826,구분!$C$3:$D$72,2,0)</f>
        <v>동일</v>
      </c>
      <c r="G826" s="81">
        <v>76944950</v>
      </c>
      <c r="H826" s="81">
        <v>59247647</v>
      </c>
      <c r="I826" s="81">
        <v>53861497</v>
      </c>
      <c r="J826" s="81">
        <v>23038910</v>
      </c>
      <c r="K826" s="81">
        <v>30822587</v>
      </c>
      <c r="L826" s="81">
        <v>13081800</v>
      </c>
      <c r="M826" s="81">
        <v>17740787</v>
      </c>
      <c r="N826" s="82">
        <v>0.230564669936104</v>
      </c>
    </row>
    <row r="827" spans="1:14" ht="14.25" hidden="1" customHeight="1">
      <c r="A827" s="78">
        <v>2026</v>
      </c>
      <c r="B827" s="78">
        <v>1</v>
      </c>
      <c r="C827" s="79" t="s">
        <v>195</v>
      </c>
      <c r="D827" s="78" t="s">
        <v>178</v>
      </c>
      <c r="E827" s="80" t="s">
        <v>179</v>
      </c>
      <c r="F827" s="78" t="str">
        <f>VLOOKUP('표1'!$E827,구분!$C$3:$D$72,2,0)</f>
        <v>동일</v>
      </c>
      <c r="G827" s="81">
        <v>78760810</v>
      </c>
      <c r="H827" s="81">
        <v>60645861</v>
      </c>
      <c r="I827" s="81">
        <v>55132601</v>
      </c>
      <c r="J827" s="81">
        <v>23800340</v>
      </c>
      <c r="K827" s="81">
        <v>31332261</v>
      </c>
      <c r="L827" s="81">
        <v>10224760</v>
      </c>
      <c r="M827" s="81">
        <v>21107501</v>
      </c>
      <c r="N827" s="82">
        <v>0.26799497110301401</v>
      </c>
    </row>
    <row r="828" spans="1:14" ht="14.25" hidden="1" customHeight="1">
      <c r="A828" s="73">
        <v>2026</v>
      </c>
      <c r="B828" s="73">
        <v>2</v>
      </c>
      <c r="C828" s="74" t="s">
        <v>196</v>
      </c>
      <c r="D828" s="73" t="s">
        <v>54</v>
      </c>
      <c r="E828" s="75" t="s">
        <v>55</v>
      </c>
      <c r="F828" s="73" t="str">
        <f>VLOOKUP('표1'!$E828,구분!$C$3:$D$72,2,0)</f>
        <v>동일</v>
      </c>
      <c r="G828" s="76">
        <v>63864030</v>
      </c>
      <c r="H828" s="76">
        <v>40872979</v>
      </c>
      <c r="I828" s="76">
        <v>37157254</v>
      </c>
      <c r="J828" s="76">
        <v>19236890</v>
      </c>
      <c r="K828" s="76">
        <v>17920364</v>
      </c>
      <c r="L828" s="76">
        <v>6737270</v>
      </c>
      <c r="M828" s="76">
        <v>11183094</v>
      </c>
      <c r="N828" s="77">
        <v>0.17510786588318999</v>
      </c>
    </row>
    <row r="829" spans="1:14" ht="14.25" hidden="1" customHeight="1">
      <c r="A829" s="78">
        <v>2026</v>
      </c>
      <c r="B829" s="78">
        <v>2</v>
      </c>
      <c r="C829" s="79" t="s">
        <v>196</v>
      </c>
      <c r="D829" s="78" t="s">
        <v>56</v>
      </c>
      <c r="E829" s="80" t="s">
        <v>57</v>
      </c>
      <c r="F829" s="78" t="str">
        <f>VLOOKUP('표1'!$E829,구분!$C$3:$D$72,2,0)</f>
        <v>동일</v>
      </c>
      <c r="G829" s="81">
        <v>16965290</v>
      </c>
      <c r="H829" s="81">
        <v>11027446</v>
      </c>
      <c r="I829" s="81">
        <v>10024951</v>
      </c>
      <c r="J829" s="81">
        <v>6026665</v>
      </c>
      <c r="K829" s="81">
        <v>3998286</v>
      </c>
      <c r="L829" s="81">
        <v>4810770</v>
      </c>
      <c r="M829" s="81">
        <v>-812484</v>
      </c>
      <c r="N829" s="82">
        <v>-4.7890958539464998E-2</v>
      </c>
    </row>
    <row r="830" spans="1:14" ht="14.25" hidden="1" customHeight="1">
      <c r="A830" s="78">
        <v>2026</v>
      </c>
      <c r="B830" s="78">
        <v>2</v>
      </c>
      <c r="C830" s="79" t="s">
        <v>196</v>
      </c>
      <c r="D830" s="78" t="s">
        <v>58</v>
      </c>
      <c r="E830" s="80" t="s">
        <v>59</v>
      </c>
      <c r="F830" s="78" t="str">
        <f>VLOOKUP('표1'!$E830,구분!$C$3:$D$72,2,0)</f>
        <v>동일</v>
      </c>
      <c r="G830" s="81">
        <v>43330230</v>
      </c>
      <c r="H830" s="81">
        <v>27731348</v>
      </c>
      <c r="I830" s="81">
        <v>25210316</v>
      </c>
      <c r="J830" s="81">
        <v>13567360</v>
      </c>
      <c r="K830" s="81">
        <v>11642956</v>
      </c>
      <c r="L830" s="81">
        <v>5631500</v>
      </c>
      <c r="M830" s="81">
        <v>6011456</v>
      </c>
      <c r="N830" s="82">
        <v>0.138735843313087</v>
      </c>
    </row>
    <row r="831" spans="1:14" ht="14.25" hidden="1" customHeight="1">
      <c r="A831" s="78">
        <v>2026</v>
      </c>
      <c r="B831" s="78">
        <v>2</v>
      </c>
      <c r="C831" s="79" t="s">
        <v>196</v>
      </c>
      <c r="D831" s="78" t="s">
        <v>60</v>
      </c>
      <c r="E831" s="80" t="s">
        <v>61</v>
      </c>
      <c r="F831" s="78" t="str">
        <f>VLOOKUP('표1'!$E831,구분!$C$3:$D$72,2,0)</f>
        <v>동일</v>
      </c>
      <c r="G831" s="81">
        <v>33737080</v>
      </c>
      <c r="H831" s="81">
        <v>21591731</v>
      </c>
      <c r="I831" s="81">
        <v>19628846</v>
      </c>
      <c r="J831" s="81">
        <v>9728316</v>
      </c>
      <c r="K831" s="81">
        <v>9900530</v>
      </c>
      <c r="L831" s="81">
        <v>5326530</v>
      </c>
      <c r="M831" s="81">
        <v>4574000</v>
      </c>
      <c r="N831" s="82">
        <v>0.13557782712670999</v>
      </c>
    </row>
    <row r="832" spans="1:14" ht="14.25" hidden="1" customHeight="1">
      <c r="A832" s="78">
        <v>2026</v>
      </c>
      <c r="B832" s="78">
        <v>2</v>
      </c>
      <c r="C832" s="79" t="s">
        <v>196</v>
      </c>
      <c r="D832" s="78" t="s">
        <v>62</v>
      </c>
      <c r="E832" s="80" t="s">
        <v>63</v>
      </c>
      <c r="F832" s="78" t="str">
        <f>VLOOKUP('표1'!$E832,구분!$C$3:$D$72,2,0)</f>
        <v>동일</v>
      </c>
      <c r="G832" s="81">
        <v>47187970</v>
      </c>
      <c r="H832" s="81">
        <v>30200300</v>
      </c>
      <c r="I832" s="81">
        <v>27454818</v>
      </c>
      <c r="J832" s="81">
        <v>14139754</v>
      </c>
      <c r="K832" s="81">
        <v>13315064</v>
      </c>
      <c r="L832" s="81">
        <v>7048210</v>
      </c>
      <c r="M832" s="81">
        <v>6266854</v>
      </c>
      <c r="N832" s="82">
        <v>0.13280617920203</v>
      </c>
    </row>
    <row r="833" spans="1:14" ht="14.25" hidden="1" customHeight="1">
      <c r="A833" s="78">
        <v>2026</v>
      </c>
      <c r="B833" s="78">
        <v>2</v>
      </c>
      <c r="C833" s="79" t="s">
        <v>196</v>
      </c>
      <c r="D833" s="78" t="s">
        <v>64</v>
      </c>
      <c r="E833" s="80" t="s">
        <v>65</v>
      </c>
      <c r="F833" s="78" t="str">
        <f>VLOOKUP('표1'!$E833,구분!$C$3:$D$72,2,0)</f>
        <v>동일</v>
      </c>
      <c r="G833" s="81">
        <v>26227060</v>
      </c>
      <c r="H833" s="81">
        <v>16785317</v>
      </c>
      <c r="I833" s="81">
        <v>15259379</v>
      </c>
      <c r="J833" s="81">
        <v>8125919</v>
      </c>
      <c r="K833" s="81">
        <v>7133460</v>
      </c>
      <c r="L833" s="81">
        <v>4699400</v>
      </c>
      <c r="M833" s="81">
        <v>2434060</v>
      </c>
      <c r="N833" s="82">
        <v>9.2807199892019895E-2</v>
      </c>
    </row>
    <row r="834" spans="1:14" ht="14.25" hidden="1" customHeight="1">
      <c r="A834" s="78">
        <v>2026</v>
      </c>
      <c r="B834" s="78">
        <v>2</v>
      </c>
      <c r="C834" s="79" t="s">
        <v>196</v>
      </c>
      <c r="D834" s="78" t="s">
        <v>66</v>
      </c>
      <c r="E834" s="80" t="s">
        <v>67</v>
      </c>
      <c r="F834" s="78" t="str">
        <f>VLOOKUP('표1'!$E834,구분!$C$3:$D$72,2,0)</f>
        <v>동일</v>
      </c>
      <c r="G834" s="81">
        <v>25084050</v>
      </c>
      <c r="H834" s="81">
        <v>16272433</v>
      </c>
      <c r="I834" s="81">
        <v>14793121</v>
      </c>
      <c r="J834" s="81">
        <v>8334624</v>
      </c>
      <c r="K834" s="81">
        <v>6458497</v>
      </c>
      <c r="L834" s="81">
        <v>4766780</v>
      </c>
      <c r="M834" s="81">
        <v>1691717</v>
      </c>
      <c r="N834" s="82">
        <v>6.7441940197057501E-2</v>
      </c>
    </row>
    <row r="835" spans="1:14" ht="14.25" hidden="1" customHeight="1">
      <c r="A835" s="78">
        <v>2026</v>
      </c>
      <c r="B835" s="78">
        <v>2</v>
      </c>
      <c r="C835" s="79" t="s">
        <v>196</v>
      </c>
      <c r="D835" s="78" t="s">
        <v>68</v>
      </c>
      <c r="E835" s="80" t="s">
        <v>69</v>
      </c>
      <c r="F835" s="78" t="str">
        <f>VLOOKUP('표1'!$E835,구분!$C$3:$D$72,2,0)</f>
        <v>동일</v>
      </c>
      <c r="G835" s="81">
        <v>60609100</v>
      </c>
      <c r="H835" s="81">
        <v>38789824</v>
      </c>
      <c r="I835" s="81">
        <v>35263476</v>
      </c>
      <c r="J835" s="81">
        <v>18610087</v>
      </c>
      <c r="K835" s="81">
        <v>16653389</v>
      </c>
      <c r="L835" s="81">
        <v>6865860</v>
      </c>
      <c r="M835" s="81">
        <v>9787529</v>
      </c>
      <c r="N835" s="82">
        <v>0.16148612997058201</v>
      </c>
    </row>
    <row r="836" spans="1:14" ht="14.25" hidden="1" customHeight="1">
      <c r="A836" s="78">
        <v>2026</v>
      </c>
      <c r="B836" s="78">
        <v>2</v>
      </c>
      <c r="C836" s="79" t="s">
        <v>196</v>
      </c>
      <c r="D836" s="78" t="s">
        <v>70</v>
      </c>
      <c r="E836" s="80" t="s">
        <v>71</v>
      </c>
      <c r="F836" s="78" t="str">
        <f>VLOOKUP('표1'!$E836,구분!$C$3:$D$72,2,0)</f>
        <v>동일</v>
      </c>
      <c r="G836" s="81">
        <v>27783650</v>
      </c>
      <c r="H836" s="81">
        <v>17781547</v>
      </c>
      <c r="I836" s="81">
        <v>16165043</v>
      </c>
      <c r="J836" s="81">
        <v>7985084</v>
      </c>
      <c r="K836" s="81">
        <v>8179959</v>
      </c>
      <c r="L836" s="81">
        <v>5918230</v>
      </c>
      <c r="M836" s="81">
        <v>2261729</v>
      </c>
      <c r="N836" s="82">
        <v>8.1405034975606194E-2</v>
      </c>
    </row>
    <row r="837" spans="1:14" ht="14.25" hidden="1" customHeight="1">
      <c r="A837" s="78">
        <v>2026</v>
      </c>
      <c r="B837" s="78">
        <v>2</v>
      </c>
      <c r="C837" s="79" t="s">
        <v>196</v>
      </c>
      <c r="D837" s="78" t="s">
        <v>72</v>
      </c>
      <c r="E837" s="80" t="s">
        <v>73</v>
      </c>
      <c r="F837" s="78" t="str">
        <f>VLOOKUP('표1'!$E837,구분!$C$3:$D$72,2,0)</f>
        <v>동일</v>
      </c>
      <c r="G837" s="81">
        <v>11710780</v>
      </c>
      <c r="H837" s="81">
        <v>7612012</v>
      </c>
      <c r="I837" s="81">
        <v>6920011</v>
      </c>
      <c r="J837" s="81">
        <v>3845498</v>
      </c>
      <c r="K837" s="81">
        <v>3074513</v>
      </c>
      <c r="L837" s="81">
        <v>3967280</v>
      </c>
      <c r="M837" s="81">
        <v>-892767</v>
      </c>
      <c r="N837" s="82">
        <v>-7.62346316812373E-2</v>
      </c>
    </row>
    <row r="838" spans="1:14" ht="14.25" hidden="1" customHeight="1">
      <c r="A838" s="78">
        <v>2026</v>
      </c>
      <c r="B838" s="78">
        <v>2</v>
      </c>
      <c r="C838" s="79" t="s">
        <v>196</v>
      </c>
      <c r="D838" s="78" t="s">
        <v>74</v>
      </c>
      <c r="E838" s="80" t="s">
        <v>75</v>
      </c>
      <c r="F838" s="78" t="str">
        <f>VLOOKUP('표1'!$E838,구분!$C$3:$D$72,2,0)</f>
        <v>동일</v>
      </c>
      <c r="G838" s="81">
        <v>30078280</v>
      </c>
      <c r="H838" s="81">
        <v>19250099</v>
      </c>
      <c r="I838" s="81">
        <v>17500090</v>
      </c>
      <c r="J838" s="81">
        <v>9286553</v>
      </c>
      <c r="K838" s="81">
        <v>8213537</v>
      </c>
      <c r="L838" s="81">
        <v>5880400</v>
      </c>
      <c r="M838" s="81">
        <v>2333137</v>
      </c>
      <c r="N838" s="82">
        <v>7.7568830398546701E-2</v>
      </c>
    </row>
    <row r="839" spans="1:14" ht="14.25" hidden="1" customHeight="1">
      <c r="A839" s="78">
        <v>2026</v>
      </c>
      <c r="B839" s="78">
        <v>2</v>
      </c>
      <c r="C839" s="79" t="s">
        <v>196</v>
      </c>
      <c r="D839" s="78" t="s">
        <v>76</v>
      </c>
      <c r="E839" s="80" t="s">
        <v>77</v>
      </c>
      <c r="F839" s="78" t="str">
        <f>VLOOKUP('표1'!$E839,구분!$C$3:$D$72,2,0)</f>
        <v>동일</v>
      </c>
      <c r="G839" s="81">
        <v>37997270</v>
      </c>
      <c r="H839" s="81">
        <v>24278333</v>
      </c>
      <c r="I839" s="81">
        <v>22071212</v>
      </c>
      <c r="J839" s="81">
        <v>11951244</v>
      </c>
      <c r="K839" s="81">
        <v>10119968</v>
      </c>
      <c r="L839" s="81">
        <v>5147170</v>
      </c>
      <c r="M839" s="81">
        <v>4972798</v>
      </c>
      <c r="N839" s="82">
        <v>0.13087250741961201</v>
      </c>
    </row>
    <row r="840" spans="1:14" ht="14.25" hidden="1" customHeight="1">
      <c r="A840" s="78">
        <v>2026</v>
      </c>
      <c r="B840" s="78">
        <v>2</v>
      </c>
      <c r="C840" s="79" t="s">
        <v>196</v>
      </c>
      <c r="D840" s="78" t="s">
        <v>78</v>
      </c>
      <c r="E840" s="80" t="s">
        <v>79</v>
      </c>
      <c r="F840" s="78" t="str">
        <f>VLOOKUP('표1'!$E840,구분!$C$3:$D$72,2,0)</f>
        <v>동일</v>
      </c>
      <c r="G840" s="81">
        <v>53808120</v>
      </c>
      <c r="H840" s="81">
        <v>34437190</v>
      </c>
      <c r="I840" s="81">
        <v>31306536</v>
      </c>
      <c r="J840" s="81">
        <v>15942475</v>
      </c>
      <c r="K840" s="81">
        <v>15364061</v>
      </c>
      <c r="L840" s="81">
        <v>6593430</v>
      </c>
      <c r="M840" s="81">
        <v>8770631</v>
      </c>
      <c r="N840" s="82">
        <v>0.16299827981352999</v>
      </c>
    </row>
    <row r="841" spans="1:14" ht="14.25" hidden="1" customHeight="1">
      <c r="A841" s="78">
        <v>2026</v>
      </c>
      <c r="B841" s="78">
        <v>2</v>
      </c>
      <c r="C841" s="79" t="s">
        <v>196</v>
      </c>
      <c r="D841" s="78" t="s">
        <v>80</v>
      </c>
      <c r="E841" s="80" t="s">
        <v>81</v>
      </c>
      <c r="F841" s="78" t="str">
        <f>VLOOKUP('표1'!$E841,구분!$C$3:$D$72,2,0)</f>
        <v>동일</v>
      </c>
      <c r="G841" s="81">
        <v>65533240</v>
      </c>
      <c r="H841" s="81">
        <v>41941266</v>
      </c>
      <c r="I841" s="81">
        <v>38128424</v>
      </c>
      <c r="J841" s="81">
        <v>19033875</v>
      </c>
      <c r="K841" s="81">
        <v>19094549</v>
      </c>
      <c r="L841" s="81">
        <v>9099430</v>
      </c>
      <c r="M841" s="81">
        <v>9995119</v>
      </c>
      <c r="N841" s="82">
        <v>0.15251983573527</v>
      </c>
    </row>
    <row r="842" spans="1:14" ht="14.25" hidden="1" customHeight="1">
      <c r="A842" s="78">
        <v>2026</v>
      </c>
      <c r="B842" s="78">
        <v>2</v>
      </c>
      <c r="C842" s="79" t="s">
        <v>196</v>
      </c>
      <c r="D842" s="78" t="s">
        <v>82</v>
      </c>
      <c r="E842" s="80" t="s">
        <v>83</v>
      </c>
      <c r="F842" s="78" t="str">
        <f>VLOOKUP('표1'!$E842,구분!$C$3:$D$72,2,0)</f>
        <v>동일</v>
      </c>
      <c r="G842" s="81">
        <v>30858970</v>
      </c>
      <c r="H842" s="81">
        <v>20366641</v>
      </c>
      <c r="I842" s="81">
        <v>18515128</v>
      </c>
      <c r="J842" s="81">
        <v>10150569</v>
      </c>
      <c r="K842" s="81">
        <v>8364559</v>
      </c>
      <c r="L842" s="81">
        <v>5930710</v>
      </c>
      <c r="M842" s="81">
        <v>2433849</v>
      </c>
      <c r="N842" s="82">
        <v>7.8870065980815293E-2</v>
      </c>
    </row>
    <row r="843" spans="1:14" ht="14.25" hidden="1" customHeight="1">
      <c r="A843" s="78">
        <v>2026</v>
      </c>
      <c r="B843" s="78">
        <v>2</v>
      </c>
      <c r="C843" s="79" t="s">
        <v>196</v>
      </c>
      <c r="D843" s="78" t="s">
        <v>84</v>
      </c>
      <c r="E843" s="80" t="s">
        <v>85</v>
      </c>
      <c r="F843" s="78" t="str">
        <f>VLOOKUP('표1'!$E843,구분!$C$3:$D$72,2,0)</f>
        <v>동일</v>
      </c>
      <c r="G843" s="81">
        <v>22487210</v>
      </c>
      <c r="H843" s="81">
        <v>14391814</v>
      </c>
      <c r="I843" s="81">
        <v>13083467</v>
      </c>
      <c r="J843" s="81">
        <v>6451564</v>
      </c>
      <c r="K843" s="81">
        <v>6631903</v>
      </c>
      <c r="L843" s="81">
        <v>3314040</v>
      </c>
      <c r="M843" s="81">
        <v>3317863</v>
      </c>
      <c r="N843" s="82">
        <v>0.14754444859989299</v>
      </c>
    </row>
    <row r="844" spans="1:14" ht="14.25" hidden="1" customHeight="1">
      <c r="A844" s="78">
        <v>2026</v>
      </c>
      <c r="B844" s="78">
        <v>2</v>
      </c>
      <c r="C844" s="79" t="s">
        <v>196</v>
      </c>
      <c r="D844" s="78" t="s">
        <v>86</v>
      </c>
      <c r="E844" s="80" t="s">
        <v>87</v>
      </c>
      <c r="F844" s="78" t="str">
        <f>VLOOKUP('표1'!$E844,구분!$C$3:$D$72,2,0)</f>
        <v>동일</v>
      </c>
      <c r="G844" s="81">
        <v>24271020</v>
      </c>
      <c r="H844" s="81">
        <v>15533444</v>
      </c>
      <c r="I844" s="81">
        <v>14121313</v>
      </c>
      <c r="J844" s="81">
        <v>6793560</v>
      </c>
      <c r="K844" s="81">
        <v>7327753</v>
      </c>
      <c r="L844" s="81">
        <v>5726390</v>
      </c>
      <c r="M844" s="81">
        <v>1601363</v>
      </c>
      <c r="N844" s="82">
        <v>6.5978397282026105E-2</v>
      </c>
    </row>
    <row r="845" spans="1:14" ht="14.25" hidden="1" customHeight="1">
      <c r="A845" s="78">
        <v>2026</v>
      </c>
      <c r="B845" s="78">
        <v>2</v>
      </c>
      <c r="C845" s="79" t="s">
        <v>196</v>
      </c>
      <c r="D845" s="78" t="s">
        <v>88</v>
      </c>
      <c r="E845" s="80" t="s">
        <v>89</v>
      </c>
      <c r="F845" s="78" t="str">
        <f>VLOOKUP('표1'!$E845,구분!$C$3:$D$72,2,0)</f>
        <v>동일</v>
      </c>
      <c r="G845" s="81">
        <v>21230150</v>
      </c>
      <c r="H845" s="81">
        <v>13587296</v>
      </c>
      <c r="I845" s="81">
        <v>12352087</v>
      </c>
      <c r="J845" s="81">
        <v>7344034</v>
      </c>
      <c r="K845" s="81">
        <v>5008053</v>
      </c>
      <c r="L845" s="81">
        <v>5467250</v>
      </c>
      <c r="M845" s="81">
        <v>-459197</v>
      </c>
      <c r="N845" s="82">
        <v>-2.1629475062587899E-2</v>
      </c>
    </row>
    <row r="846" spans="1:14" ht="14.25" hidden="1" customHeight="1">
      <c r="A846" s="78">
        <v>2026</v>
      </c>
      <c r="B846" s="78">
        <v>2</v>
      </c>
      <c r="C846" s="79" t="s">
        <v>196</v>
      </c>
      <c r="D846" s="78" t="s">
        <v>90</v>
      </c>
      <c r="E846" s="80" t="s">
        <v>91</v>
      </c>
      <c r="F846" s="78" t="str">
        <f>VLOOKUP('표1'!$E846,구분!$C$3:$D$72,2,0)</f>
        <v>동일</v>
      </c>
      <c r="G846" s="81">
        <v>23571660</v>
      </c>
      <c r="H846" s="81">
        <v>15085866</v>
      </c>
      <c r="I846" s="81">
        <v>13714424</v>
      </c>
      <c r="J846" s="81">
        <v>8248813</v>
      </c>
      <c r="K846" s="81">
        <v>5465611</v>
      </c>
      <c r="L846" s="81">
        <v>5074760</v>
      </c>
      <c r="M846" s="81">
        <v>390851</v>
      </c>
      <c r="N846" s="82">
        <v>1.6581394776608901E-2</v>
      </c>
    </row>
    <row r="847" spans="1:14" ht="14.25" hidden="1" customHeight="1">
      <c r="A847" s="78">
        <v>2026</v>
      </c>
      <c r="B847" s="78">
        <v>2</v>
      </c>
      <c r="C847" s="79" t="s">
        <v>196</v>
      </c>
      <c r="D847" s="78" t="s">
        <v>92</v>
      </c>
      <c r="E847" s="80" t="s">
        <v>93</v>
      </c>
      <c r="F847" s="78" t="str">
        <f>VLOOKUP('표1'!$E847,구분!$C$3:$D$72,2,0)</f>
        <v>동일</v>
      </c>
      <c r="G847" s="81">
        <v>26869670</v>
      </c>
      <c r="H847" s="81">
        <v>17196588</v>
      </c>
      <c r="I847" s="81">
        <v>15633262</v>
      </c>
      <c r="J847" s="81">
        <v>7634653</v>
      </c>
      <c r="K847" s="81">
        <v>7998609</v>
      </c>
      <c r="L847" s="81">
        <v>5585470</v>
      </c>
      <c r="M847" s="81">
        <v>2413139</v>
      </c>
      <c r="N847" s="82">
        <v>8.9809030032746998E-2</v>
      </c>
    </row>
    <row r="848" spans="1:14" ht="14.25" hidden="1" customHeight="1">
      <c r="A848" s="78">
        <v>2026</v>
      </c>
      <c r="B848" s="78">
        <v>2</v>
      </c>
      <c r="C848" s="79" t="s">
        <v>196</v>
      </c>
      <c r="D848" s="78" t="s">
        <v>94</v>
      </c>
      <c r="E848" s="80" t="s">
        <v>95</v>
      </c>
      <c r="F848" s="78" t="str">
        <f>VLOOKUP('표1'!$E848,구분!$C$3:$D$72,2,0)</f>
        <v>폐점</v>
      </c>
      <c r="G848" s="81">
        <v>42192690</v>
      </c>
      <c r="H848" s="81">
        <v>27003321</v>
      </c>
      <c r="I848" s="81">
        <v>24548474</v>
      </c>
      <c r="J848" s="81">
        <v>12921631</v>
      </c>
      <c r="K848" s="81">
        <v>11626843</v>
      </c>
      <c r="L848" s="81">
        <v>6388020</v>
      </c>
      <c r="M848" s="81">
        <v>5238823</v>
      </c>
      <c r="N848" s="82">
        <v>0.124164233188261</v>
      </c>
    </row>
    <row r="849" spans="1:14" ht="14.25" hidden="1" customHeight="1">
      <c r="A849" s="78">
        <v>2026</v>
      </c>
      <c r="B849" s="78">
        <v>2</v>
      </c>
      <c r="C849" s="79" t="s">
        <v>196</v>
      </c>
      <c r="D849" s="78" t="s">
        <v>96</v>
      </c>
      <c r="E849" s="80" t="s">
        <v>97</v>
      </c>
      <c r="F849" s="78" t="str">
        <f>VLOOKUP('표1'!$E849,구분!$C$3:$D$72,2,0)</f>
        <v>동일</v>
      </c>
      <c r="G849" s="81">
        <v>70333830</v>
      </c>
      <c r="H849" s="81">
        <v>45013652</v>
      </c>
      <c r="I849" s="81">
        <v>40921502</v>
      </c>
      <c r="J849" s="81">
        <v>20091419</v>
      </c>
      <c r="K849" s="81">
        <v>20830083</v>
      </c>
      <c r="L849" s="81">
        <v>9276780</v>
      </c>
      <c r="M849" s="81">
        <v>11553303</v>
      </c>
      <c r="N849" s="82">
        <v>0.164263811596781</v>
      </c>
    </row>
    <row r="850" spans="1:14" ht="14.25" hidden="1" customHeight="1">
      <c r="A850" s="78">
        <v>2026</v>
      </c>
      <c r="B850" s="78">
        <v>2</v>
      </c>
      <c r="C850" s="79" t="s">
        <v>196</v>
      </c>
      <c r="D850" s="78" t="s">
        <v>98</v>
      </c>
      <c r="E850" s="80" t="s">
        <v>99</v>
      </c>
      <c r="F850" s="78" t="str">
        <f>VLOOKUP('표1'!$E850,구분!$C$3:$D$72,2,0)</f>
        <v>동일</v>
      </c>
      <c r="G850" s="81">
        <v>50759090</v>
      </c>
      <c r="H850" s="81">
        <v>33068909</v>
      </c>
      <c r="I850" s="81">
        <v>30062645</v>
      </c>
      <c r="J850" s="81">
        <v>15210819</v>
      </c>
      <c r="K850" s="81">
        <v>14851826</v>
      </c>
      <c r="L850" s="81">
        <v>7671170</v>
      </c>
      <c r="M850" s="81">
        <v>7180656</v>
      </c>
      <c r="N850" s="82">
        <v>0.14146542028235701</v>
      </c>
    </row>
    <row r="851" spans="1:14" ht="14.25" hidden="1" customHeight="1">
      <c r="A851" s="78">
        <v>2026</v>
      </c>
      <c r="B851" s="78">
        <v>2</v>
      </c>
      <c r="C851" s="79" t="s">
        <v>196</v>
      </c>
      <c r="D851" s="78" t="s">
        <v>100</v>
      </c>
      <c r="E851" s="80" t="s">
        <v>101</v>
      </c>
      <c r="F851" s="78" t="str">
        <f>VLOOKUP('표1'!$E851,구분!$C$3:$D$72,2,0)</f>
        <v>동일</v>
      </c>
      <c r="G851" s="81">
        <v>60225350</v>
      </c>
      <c r="H851" s="81">
        <v>37953517</v>
      </c>
      <c r="I851" s="81">
        <v>34503197</v>
      </c>
      <c r="J851" s="81">
        <v>18191482</v>
      </c>
      <c r="K851" s="81">
        <v>16311715</v>
      </c>
      <c r="L851" s="81">
        <v>8733490</v>
      </c>
      <c r="M851" s="81">
        <v>7578225</v>
      </c>
      <c r="N851" s="82">
        <v>0.12583114917555499</v>
      </c>
    </row>
    <row r="852" spans="1:14" ht="14.25" hidden="1" customHeight="1">
      <c r="A852" s="78">
        <v>2026</v>
      </c>
      <c r="B852" s="78">
        <v>2</v>
      </c>
      <c r="C852" s="79" t="s">
        <v>196</v>
      </c>
      <c r="D852" s="78" t="s">
        <v>102</v>
      </c>
      <c r="E852" s="80" t="s">
        <v>103</v>
      </c>
      <c r="F852" s="78" t="str">
        <f>VLOOKUP('표1'!$E852,구분!$C$3:$D$72,2,0)</f>
        <v>동일</v>
      </c>
      <c r="G852" s="81">
        <v>55917890</v>
      </c>
      <c r="H852" s="81">
        <v>34837428</v>
      </c>
      <c r="I852" s="81">
        <v>31670389</v>
      </c>
      <c r="J852" s="81">
        <v>16473625</v>
      </c>
      <c r="K852" s="81">
        <v>15196764</v>
      </c>
      <c r="L852" s="81">
        <v>8112300</v>
      </c>
      <c r="M852" s="81">
        <v>7084464</v>
      </c>
      <c r="N852" s="82">
        <v>0.12669405086636901</v>
      </c>
    </row>
    <row r="853" spans="1:14" ht="14.25" hidden="1" customHeight="1">
      <c r="A853" s="78">
        <v>2026</v>
      </c>
      <c r="B853" s="78">
        <v>2</v>
      </c>
      <c r="C853" s="79" t="s">
        <v>196</v>
      </c>
      <c r="D853" s="78" t="s">
        <v>104</v>
      </c>
      <c r="E853" s="80" t="s">
        <v>105</v>
      </c>
      <c r="F853" s="78" t="str">
        <f>VLOOKUP('표1'!$E853,구분!$C$3:$D$72,2,0)</f>
        <v>동일</v>
      </c>
      <c r="G853" s="81">
        <v>26483650</v>
      </c>
      <c r="H853" s="81">
        <v>16451253</v>
      </c>
      <c r="I853" s="81">
        <v>14955685</v>
      </c>
      <c r="J853" s="81">
        <v>8404401</v>
      </c>
      <c r="K853" s="81">
        <v>6551284</v>
      </c>
      <c r="L853" s="81">
        <v>4483550</v>
      </c>
      <c r="M853" s="81">
        <v>2067734</v>
      </c>
      <c r="N853" s="82">
        <v>7.80758694515295E-2</v>
      </c>
    </row>
    <row r="854" spans="1:14" ht="14.25" hidden="1" customHeight="1">
      <c r="A854" s="78">
        <v>2026</v>
      </c>
      <c r="B854" s="78">
        <v>2</v>
      </c>
      <c r="C854" s="79" t="s">
        <v>196</v>
      </c>
      <c r="D854" s="78" t="s">
        <v>106</v>
      </c>
      <c r="E854" s="80" t="s">
        <v>107</v>
      </c>
      <c r="F854" s="78" t="str">
        <f>VLOOKUP('표1'!$E854,구분!$C$3:$D$72,2,0)</f>
        <v>폐점</v>
      </c>
      <c r="G854" s="81">
        <v>36846300</v>
      </c>
      <c r="H854" s="81">
        <v>22974911</v>
      </c>
      <c r="I854" s="81">
        <v>20886283</v>
      </c>
      <c r="J854" s="81">
        <v>10342837</v>
      </c>
      <c r="K854" s="81">
        <v>10543446</v>
      </c>
      <c r="L854" s="81">
        <v>6859260</v>
      </c>
      <c r="M854" s="81">
        <v>3684186</v>
      </c>
      <c r="N854" s="82">
        <v>9.9987949943413604E-2</v>
      </c>
    </row>
    <row r="855" spans="1:14" ht="14.25" hidden="1" customHeight="1">
      <c r="A855" s="78">
        <v>2026</v>
      </c>
      <c r="B855" s="78">
        <v>2</v>
      </c>
      <c r="C855" s="79" t="s">
        <v>196</v>
      </c>
      <c r="D855" s="78" t="s">
        <v>108</v>
      </c>
      <c r="E855" s="80" t="s">
        <v>109</v>
      </c>
      <c r="F855" s="78" t="str">
        <f>VLOOKUP('표1'!$E855,구분!$C$3:$D$72,2,0)</f>
        <v>동일</v>
      </c>
      <c r="G855" s="81">
        <v>32909600</v>
      </c>
      <c r="H855" s="81">
        <v>20403953</v>
      </c>
      <c r="I855" s="81">
        <v>18549048</v>
      </c>
      <c r="J855" s="81">
        <v>8937895</v>
      </c>
      <c r="K855" s="81">
        <v>9611153</v>
      </c>
      <c r="L855" s="81">
        <v>6211080</v>
      </c>
      <c r="M855" s="81">
        <v>3400073</v>
      </c>
      <c r="N855" s="82">
        <v>0.103315537107713</v>
      </c>
    </row>
    <row r="856" spans="1:14" ht="14.25" hidden="1" customHeight="1">
      <c r="A856" s="78">
        <v>2026</v>
      </c>
      <c r="B856" s="78">
        <v>2</v>
      </c>
      <c r="C856" s="79" t="s">
        <v>196</v>
      </c>
      <c r="D856" s="78" t="s">
        <v>187</v>
      </c>
      <c r="E856" s="80" t="s">
        <v>188</v>
      </c>
      <c r="F856" s="78" t="str">
        <f>VLOOKUP('표1'!$E856,구분!$C$3:$D$72,2,0)</f>
        <v>동일</v>
      </c>
      <c r="G856" s="81">
        <v>26509680</v>
      </c>
      <c r="H856" s="81">
        <v>16466058</v>
      </c>
      <c r="I856" s="81">
        <v>14969144</v>
      </c>
      <c r="J856" s="81">
        <v>7219097</v>
      </c>
      <c r="K856" s="81">
        <v>7750047</v>
      </c>
      <c r="L856" s="81">
        <v>5363550</v>
      </c>
      <c r="M856" s="81">
        <v>2386497</v>
      </c>
      <c r="N856" s="82">
        <v>9.0023606471296494E-2</v>
      </c>
    </row>
    <row r="857" spans="1:14" ht="14.25" hidden="1" customHeight="1">
      <c r="A857" s="78">
        <v>2026</v>
      </c>
      <c r="B857" s="78">
        <v>2</v>
      </c>
      <c r="C857" s="79" t="s">
        <v>196</v>
      </c>
      <c r="D857" s="78" t="s">
        <v>110</v>
      </c>
      <c r="E857" s="80" t="s">
        <v>111</v>
      </c>
      <c r="F857" s="78" t="str">
        <f>VLOOKUP('표1'!$E857,구분!$C$3:$D$72,2,0)</f>
        <v>동일</v>
      </c>
      <c r="G857" s="81">
        <v>90332090</v>
      </c>
      <c r="H857" s="81">
        <v>56248185</v>
      </c>
      <c r="I857" s="81">
        <v>51134714</v>
      </c>
      <c r="J857" s="81">
        <v>28396966</v>
      </c>
      <c r="K857" s="81">
        <v>22737748</v>
      </c>
      <c r="L857" s="81">
        <v>12568920</v>
      </c>
      <c r="M857" s="81">
        <v>10168828</v>
      </c>
      <c r="N857" s="82">
        <v>0.112571601077757</v>
      </c>
    </row>
    <row r="858" spans="1:14" ht="14.25" hidden="1" customHeight="1">
      <c r="A858" s="78">
        <v>2026</v>
      </c>
      <c r="B858" s="78">
        <v>2</v>
      </c>
      <c r="C858" s="79" t="s">
        <v>196</v>
      </c>
      <c r="D858" s="78" t="s">
        <v>112</v>
      </c>
      <c r="E858" s="80" t="s">
        <v>113</v>
      </c>
      <c r="F858" s="78" t="str">
        <f>VLOOKUP('표1'!$E858,구분!$C$3:$D$72,2,0)</f>
        <v>동일</v>
      </c>
      <c r="G858" s="81">
        <v>53959330</v>
      </c>
      <c r="H858" s="81">
        <v>34234782</v>
      </c>
      <c r="I858" s="81">
        <v>31122529</v>
      </c>
      <c r="J858" s="81">
        <v>15473378</v>
      </c>
      <c r="K858" s="81">
        <v>15649151</v>
      </c>
      <c r="L858" s="81">
        <v>7874770</v>
      </c>
      <c r="M858" s="81">
        <v>7774381</v>
      </c>
      <c r="N858" s="82">
        <v>0.14407853099732701</v>
      </c>
    </row>
    <row r="859" spans="1:14" ht="14.25" hidden="1" customHeight="1">
      <c r="A859" s="78">
        <v>2026</v>
      </c>
      <c r="B859" s="78">
        <v>2</v>
      </c>
      <c r="C859" s="79" t="s">
        <v>196</v>
      </c>
      <c r="D859" s="78" t="s">
        <v>116</v>
      </c>
      <c r="E859" s="80" t="s">
        <v>117</v>
      </c>
      <c r="F859" s="78" t="str">
        <f>VLOOKUP('표1'!$E859,구분!$C$3:$D$72,2,0)</f>
        <v>동일</v>
      </c>
      <c r="G859" s="81">
        <v>16994460</v>
      </c>
      <c r="H859" s="81">
        <v>10546281</v>
      </c>
      <c r="I859" s="81">
        <v>9587528</v>
      </c>
      <c r="J859" s="81">
        <v>5421822</v>
      </c>
      <c r="K859" s="81">
        <v>4165706</v>
      </c>
      <c r="L859" s="81">
        <v>5197510</v>
      </c>
      <c r="M859" s="81">
        <v>-1031804</v>
      </c>
      <c r="N859" s="82">
        <v>-6.07141386075227E-2</v>
      </c>
    </row>
    <row r="860" spans="1:14" ht="14.25" hidden="1" customHeight="1">
      <c r="A860" s="78">
        <v>2026</v>
      </c>
      <c r="B860" s="78">
        <v>2</v>
      </c>
      <c r="C860" s="79" t="s">
        <v>196</v>
      </c>
      <c r="D860" s="78" t="s">
        <v>118</v>
      </c>
      <c r="E860" s="80" t="s">
        <v>119</v>
      </c>
      <c r="F860" s="78" t="str">
        <f>VLOOKUP('표1'!$E860,구분!$C$3:$D$72,2,0)</f>
        <v>동일</v>
      </c>
      <c r="G860" s="81">
        <v>64654450</v>
      </c>
      <c r="H860" s="81">
        <v>40085759</v>
      </c>
      <c r="I860" s="81">
        <v>36441599</v>
      </c>
      <c r="J860" s="81">
        <v>17579680</v>
      </c>
      <c r="K860" s="81">
        <v>18861919</v>
      </c>
      <c r="L860" s="81">
        <v>9287710</v>
      </c>
      <c r="M860" s="81">
        <v>9574209</v>
      </c>
      <c r="N860" s="82">
        <v>0.14808275377796901</v>
      </c>
    </row>
    <row r="861" spans="1:14" ht="14.25" hidden="1" customHeight="1">
      <c r="A861" s="78">
        <v>2026</v>
      </c>
      <c r="B861" s="78">
        <v>2</v>
      </c>
      <c r="C861" s="79" t="s">
        <v>196</v>
      </c>
      <c r="D861" s="78" t="s">
        <v>180</v>
      </c>
      <c r="E861" s="80" t="s">
        <v>181</v>
      </c>
      <c r="F861" s="78" t="str">
        <f>VLOOKUP('표1'!$E861,구분!$C$3:$D$72,2,0)</f>
        <v>동일</v>
      </c>
      <c r="G861" s="81">
        <v>35406830</v>
      </c>
      <c r="H861" s="81">
        <v>22516486</v>
      </c>
      <c r="I861" s="81">
        <v>20469533</v>
      </c>
      <c r="J861" s="81">
        <v>10382592</v>
      </c>
      <c r="K861" s="81">
        <v>10086941</v>
      </c>
      <c r="L861" s="81">
        <v>6787670</v>
      </c>
      <c r="M861" s="81">
        <v>3299271</v>
      </c>
      <c r="N861" s="82">
        <v>9.3181767472547E-2</v>
      </c>
    </row>
    <row r="862" spans="1:14" ht="14.25" hidden="1" customHeight="1">
      <c r="A862" s="78">
        <v>2026</v>
      </c>
      <c r="B862" s="78">
        <v>2</v>
      </c>
      <c r="C862" s="79" t="s">
        <v>196</v>
      </c>
      <c r="D862" s="78" t="s">
        <v>120</v>
      </c>
      <c r="E862" s="80" t="s">
        <v>121</v>
      </c>
      <c r="F862" s="78" t="str">
        <f>VLOOKUP('표1'!$E862,구분!$C$3:$D$72,2,0)</f>
        <v>동일</v>
      </c>
      <c r="G862" s="81">
        <v>76369080</v>
      </c>
      <c r="H862" s="81">
        <v>48611928</v>
      </c>
      <c r="I862" s="81">
        <v>44192662</v>
      </c>
      <c r="J862" s="81">
        <v>23974589</v>
      </c>
      <c r="K862" s="81">
        <v>20218073</v>
      </c>
      <c r="L862" s="81">
        <v>9046340</v>
      </c>
      <c r="M862" s="81">
        <v>11171733</v>
      </c>
      <c r="N862" s="82">
        <v>0.14628607546404901</v>
      </c>
    </row>
    <row r="863" spans="1:14" ht="14.25" hidden="1" customHeight="1">
      <c r="A863" s="78">
        <v>2026</v>
      </c>
      <c r="B863" s="78">
        <v>2</v>
      </c>
      <c r="C863" s="79" t="s">
        <v>196</v>
      </c>
      <c r="D863" s="78" t="s">
        <v>122</v>
      </c>
      <c r="E863" s="80" t="s">
        <v>123</v>
      </c>
      <c r="F863" s="78" t="str">
        <f>VLOOKUP('표1'!$E863,구분!$C$3:$D$72,2,0)</f>
        <v>동일</v>
      </c>
      <c r="G863" s="81">
        <v>39695860</v>
      </c>
      <c r="H863" s="81">
        <v>25366690</v>
      </c>
      <c r="I863" s="81">
        <v>23060627</v>
      </c>
      <c r="J863" s="81">
        <v>11836851</v>
      </c>
      <c r="K863" s="81">
        <v>11223776</v>
      </c>
      <c r="L863" s="81">
        <v>6895320</v>
      </c>
      <c r="M863" s="81">
        <v>4328456</v>
      </c>
      <c r="N863" s="82">
        <v>0.109040489360855</v>
      </c>
    </row>
    <row r="864" spans="1:14" ht="14.25" hidden="1" customHeight="1">
      <c r="A864" s="78">
        <v>2026</v>
      </c>
      <c r="B864" s="78">
        <v>2</v>
      </c>
      <c r="C864" s="79" t="s">
        <v>196</v>
      </c>
      <c r="D864" s="78" t="s">
        <v>124</v>
      </c>
      <c r="E864" s="80" t="s">
        <v>125</v>
      </c>
      <c r="F864" s="78" t="str">
        <f>VLOOKUP('표1'!$E864,구분!$C$3:$D$72,2,0)</f>
        <v>동일</v>
      </c>
      <c r="G864" s="81">
        <v>85545330</v>
      </c>
      <c r="H864" s="81">
        <v>53098234</v>
      </c>
      <c r="I864" s="81">
        <v>48271122</v>
      </c>
      <c r="J864" s="81">
        <v>23429523</v>
      </c>
      <c r="K864" s="81">
        <v>24841599</v>
      </c>
      <c r="L864" s="81">
        <v>8337080</v>
      </c>
      <c r="M864" s="81">
        <v>16504519</v>
      </c>
      <c r="N864" s="82">
        <v>0.19293302159217801</v>
      </c>
    </row>
    <row r="865" spans="1:14" ht="14.25" hidden="1" customHeight="1">
      <c r="A865" s="78">
        <v>2026</v>
      </c>
      <c r="B865" s="78">
        <v>2</v>
      </c>
      <c r="C865" s="79" t="s">
        <v>196</v>
      </c>
      <c r="D865" s="78" t="s">
        <v>126</v>
      </c>
      <c r="E865" s="80" t="s">
        <v>127</v>
      </c>
      <c r="F865" s="78" t="str">
        <f>VLOOKUP('표1'!$E865,구분!$C$3:$D$72,2,0)</f>
        <v>동일</v>
      </c>
      <c r="G865" s="81">
        <v>73442470</v>
      </c>
      <c r="H865" s="81">
        <v>46507081</v>
      </c>
      <c r="I865" s="81">
        <v>42279165</v>
      </c>
      <c r="J865" s="81">
        <v>21229070</v>
      </c>
      <c r="K865" s="81">
        <v>21050095</v>
      </c>
      <c r="L865" s="81">
        <v>11014930</v>
      </c>
      <c r="M865" s="81">
        <v>10035165</v>
      </c>
      <c r="N865" s="82">
        <v>0.13663980800209999</v>
      </c>
    </row>
    <row r="866" spans="1:14" ht="14.25" customHeight="1">
      <c r="A866" s="78">
        <v>2026</v>
      </c>
      <c r="B866" s="78">
        <v>2</v>
      </c>
      <c r="C866" s="79" t="s">
        <v>196</v>
      </c>
      <c r="D866" s="78" t="s">
        <v>128</v>
      </c>
      <c r="E866" s="80" t="s">
        <v>129</v>
      </c>
      <c r="F866" s="78" t="str">
        <f>VLOOKUP('표1'!$E866,구분!$C$3:$D$72,2,0)</f>
        <v>동일</v>
      </c>
      <c r="G866" s="81">
        <v>92270890</v>
      </c>
      <c r="H866" s="81">
        <v>57998084</v>
      </c>
      <c r="I866" s="81">
        <v>52725531</v>
      </c>
      <c r="J866" s="81">
        <v>26985556</v>
      </c>
      <c r="K866" s="81">
        <v>25739975</v>
      </c>
      <c r="L866" s="81">
        <v>13380090</v>
      </c>
      <c r="M866" s="81">
        <v>12359885</v>
      </c>
      <c r="N866" s="82">
        <v>0.13395215977650199</v>
      </c>
    </row>
    <row r="867" spans="1:14" ht="14.25" hidden="1" customHeight="1">
      <c r="A867" s="78">
        <v>2026</v>
      </c>
      <c r="B867" s="78">
        <v>2</v>
      </c>
      <c r="C867" s="79" t="s">
        <v>196</v>
      </c>
      <c r="D867" s="78" t="s">
        <v>130</v>
      </c>
      <c r="E867" s="80" t="s">
        <v>131</v>
      </c>
      <c r="F867" s="78" t="str">
        <f>VLOOKUP('표1'!$E867,구분!$C$3:$D$72,2,0)</f>
        <v>동일</v>
      </c>
      <c r="G867" s="81">
        <v>41973740</v>
      </c>
      <c r="H867" s="81">
        <v>26443469</v>
      </c>
      <c r="I867" s="81">
        <v>24039517</v>
      </c>
      <c r="J867" s="81">
        <v>12275166</v>
      </c>
      <c r="K867" s="81">
        <v>11764351</v>
      </c>
      <c r="L867" s="81">
        <v>5328150</v>
      </c>
      <c r="M867" s="81">
        <v>6436201</v>
      </c>
      <c r="N867" s="82">
        <v>0.15333875418297299</v>
      </c>
    </row>
    <row r="868" spans="1:14" ht="14.25" hidden="1" customHeight="1">
      <c r="A868" s="78">
        <v>2026</v>
      </c>
      <c r="B868" s="78">
        <v>2</v>
      </c>
      <c r="C868" s="79" t="s">
        <v>196</v>
      </c>
      <c r="D868" s="78" t="s">
        <v>132</v>
      </c>
      <c r="E868" s="80" t="s">
        <v>133</v>
      </c>
      <c r="F868" s="78" t="str">
        <f>VLOOKUP('표1'!$E868,구분!$C$3:$D$72,2,0)</f>
        <v>동일</v>
      </c>
      <c r="G868" s="81">
        <v>22073060</v>
      </c>
      <c r="H868" s="81">
        <v>14197625</v>
      </c>
      <c r="I868" s="81">
        <v>12906932</v>
      </c>
      <c r="J868" s="81">
        <v>6211420</v>
      </c>
      <c r="K868" s="81">
        <v>6695512</v>
      </c>
      <c r="L868" s="81">
        <v>5621870</v>
      </c>
      <c r="M868" s="81">
        <v>1073642</v>
      </c>
      <c r="N868" s="82">
        <v>4.8640378814717999E-2</v>
      </c>
    </row>
    <row r="869" spans="1:14" ht="14.25" hidden="1" customHeight="1">
      <c r="A869" s="78">
        <v>2026</v>
      </c>
      <c r="B869" s="78">
        <v>2</v>
      </c>
      <c r="C869" s="79" t="s">
        <v>196</v>
      </c>
      <c r="D869" s="78" t="s">
        <v>134</v>
      </c>
      <c r="E869" s="80" t="s">
        <v>135</v>
      </c>
      <c r="F869" s="78" t="str">
        <f>VLOOKUP('표1'!$E869,구분!$C$3:$D$72,2,0)</f>
        <v>동일</v>
      </c>
      <c r="G869" s="81">
        <v>45136810</v>
      </c>
      <c r="H869" s="81">
        <v>28559388</v>
      </c>
      <c r="I869" s="81">
        <v>25963080</v>
      </c>
      <c r="J869" s="81">
        <v>14309554</v>
      </c>
      <c r="K869" s="81">
        <v>11653526</v>
      </c>
      <c r="L869" s="81">
        <v>7817280</v>
      </c>
      <c r="M869" s="81">
        <v>3836246</v>
      </c>
      <c r="N869" s="82">
        <v>8.4991518009358696E-2</v>
      </c>
    </row>
    <row r="870" spans="1:14" ht="14.25" hidden="1" customHeight="1">
      <c r="A870" s="78">
        <v>2026</v>
      </c>
      <c r="B870" s="78">
        <v>2</v>
      </c>
      <c r="C870" s="79" t="s">
        <v>196</v>
      </c>
      <c r="D870" s="78" t="s">
        <v>136</v>
      </c>
      <c r="E870" s="80" t="s">
        <v>137</v>
      </c>
      <c r="F870" s="78" t="str">
        <f>VLOOKUP('표1'!$E870,구분!$C$3:$D$72,2,0)</f>
        <v>동일</v>
      </c>
      <c r="G870" s="81">
        <v>49602060</v>
      </c>
      <c r="H870" s="81">
        <v>31249309</v>
      </c>
      <c r="I870" s="81">
        <v>28408463</v>
      </c>
      <c r="J870" s="81">
        <v>15427521</v>
      </c>
      <c r="K870" s="81">
        <v>12980942</v>
      </c>
      <c r="L870" s="81">
        <v>6638480</v>
      </c>
      <c r="M870" s="81">
        <v>6342462</v>
      </c>
      <c r="N870" s="82">
        <v>0.12786690714054999</v>
      </c>
    </row>
    <row r="871" spans="1:14" ht="14.25" hidden="1" customHeight="1">
      <c r="A871" s="78">
        <v>2026</v>
      </c>
      <c r="B871" s="78">
        <v>2</v>
      </c>
      <c r="C871" s="79" t="s">
        <v>196</v>
      </c>
      <c r="D871" s="78" t="s">
        <v>138</v>
      </c>
      <c r="E871" s="80" t="s">
        <v>139</v>
      </c>
      <c r="F871" s="78" t="str">
        <f>VLOOKUP('표1'!$E871,구분!$C$3:$D$72,2,0)</f>
        <v>동일</v>
      </c>
      <c r="G871" s="81">
        <v>35384510</v>
      </c>
      <c r="H871" s="81">
        <v>22288621</v>
      </c>
      <c r="I871" s="81">
        <v>20262383</v>
      </c>
      <c r="J871" s="81">
        <v>9999120</v>
      </c>
      <c r="K871" s="81">
        <v>10263263</v>
      </c>
      <c r="L871" s="81">
        <v>5005330</v>
      </c>
      <c r="M871" s="81">
        <v>5257933</v>
      </c>
      <c r="N871" s="82">
        <v>0.14859420124794701</v>
      </c>
    </row>
    <row r="872" spans="1:14" ht="14.25" hidden="1" customHeight="1">
      <c r="A872" s="78">
        <v>2026</v>
      </c>
      <c r="B872" s="78">
        <v>2</v>
      </c>
      <c r="C872" s="79" t="s">
        <v>196</v>
      </c>
      <c r="D872" s="78" t="s">
        <v>140</v>
      </c>
      <c r="E872" s="80" t="s">
        <v>141</v>
      </c>
      <c r="F872" s="78" t="str">
        <f>VLOOKUP('표1'!$E872,구분!$C$3:$D$72,2,0)</f>
        <v>동일</v>
      </c>
      <c r="G872" s="81">
        <v>71587340</v>
      </c>
      <c r="H872" s="81">
        <v>45351162</v>
      </c>
      <c r="I872" s="81">
        <v>41228329</v>
      </c>
      <c r="J872" s="81">
        <v>20503476</v>
      </c>
      <c r="K872" s="81">
        <v>20724853</v>
      </c>
      <c r="L872" s="81">
        <v>10005510</v>
      </c>
      <c r="M872" s="81">
        <v>10719343</v>
      </c>
      <c r="N872" s="82">
        <v>0.14973797042885001</v>
      </c>
    </row>
    <row r="873" spans="1:14" ht="14.25" hidden="1" customHeight="1">
      <c r="A873" s="78">
        <v>2026</v>
      </c>
      <c r="B873" s="78">
        <v>2</v>
      </c>
      <c r="C873" s="79" t="s">
        <v>196</v>
      </c>
      <c r="D873" s="78" t="s">
        <v>142</v>
      </c>
      <c r="E873" s="80" t="s">
        <v>143</v>
      </c>
      <c r="F873" s="78" t="str">
        <f>VLOOKUP('표1'!$E873,구분!$C$3:$D$72,2,0)</f>
        <v>동일</v>
      </c>
      <c r="G873" s="81">
        <v>51108690</v>
      </c>
      <c r="H873" s="81">
        <v>32510097</v>
      </c>
      <c r="I873" s="81">
        <v>29554634</v>
      </c>
      <c r="J873" s="81">
        <v>14130867</v>
      </c>
      <c r="K873" s="81">
        <v>15423767</v>
      </c>
      <c r="L873" s="81">
        <v>6084350</v>
      </c>
      <c r="M873" s="81">
        <v>9339417</v>
      </c>
      <c r="N873" s="82">
        <v>0.182736380055916</v>
      </c>
    </row>
    <row r="874" spans="1:14" ht="14.25" hidden="1" customHeight="1">
      <c r="A874" s="78">
        <v>2026</v>
      </c>
      <c r="B874" s="78">
        <v>2</v>
      </c>
      <c r="C874" s="79" t="s">
        <v>196</v>
      </c>
      <c r="D874" s="78" t="s">
        <v>144</v>
      </c>
      <c r="E874" s="80" t="s">
        <v>145</v>
      </c>
      <c r="F874" s="78" t="str">
        <f>VLOOKUP('표1'!$E874,구분!$C$3:$D$72,2,0)</f>
        <v>동일</v>
      </c>
      <c r="G874" s="81">
        <v>45206490</v>
      </c>
      <c r="H874" s="81">
        <v>28623084</v>
      </c>
      <c r="I874" s="81">
        <v>26020985</v>
      </c>
      <c r="J874" s="81">
        <v>13586248</v>
      </c>
      <c r="K874" s="81">
        <v>12434737</v>
      </c>
      <c r="L874" s="81">
        <v>7940590</v>
      </c>
      <c r="M874" s="81">
        <v>4494147</v>
      </c>
      <c r="N874" s="82">
        <v>9.9413756741565204E-2</v>
      </c>
    </row>
    <row r="875" spans="1:14" ht="14.25" hidden="1" customHeight="1">
      <c r="A875" s="78">
        <v>2026</v>
      </c>
      <c r="B875" s="78">
        <v>2</v>
      </c>
      <c r="C875" s="79" t="s">
        <v>196</v>
      </c>
      <c r="D875" s="78" t="s">
        <v>146</v>
      </c>
      <c r="E875" s="80" t="s">
        <v>147</v>
      </c>
      <c r="F875" s="78" t="str">
        <f>VLOOKUP('표1'!$E875,구분!$C$3:$D$72,2,0)</f>
        <v>동일</v>
      </c>
      <c r="G875" s="81">
        <v>71806430</v>
      </c>
      <c r="H875" s="81">
        <v>45018072</v>
      </c>
      <c r="I875" s="81">
        <v>40925520</v>
      </c>
      <c r="J875" s="81">
        <v>23380133</v>
      </c>
      <c r="K875" s="81">
        <v>17545387</v>
      </c>
      <c r="L875" s="81">
        <v>8383530</v>
      </c>
      <c r="M875" s="81">
        <v>9161857</v>
      </c>
      <c r="N875" s="82">
        <v>0.127591038852649</v>
      </c>
    </row>
    <row r="876" spans="1:14" ht="14.25" hidden="1" customHeight="1">
      <c r="A876" s="78">
        <v>2026</v>
      </c>
      <c r="B876" s="78">
        <v>2</v>
      </c>
      <c r="C876" s="79" t="s">
        <v>196</v>
      </c>
      <c r="D876" s="78" t="s">
        <v>148</v>
      </c>
      <c r="E876" s="80" t="s">
        <v>149</v>
      </c>
      <c r="F876" s="78" t="str">
        <f>VLOOKUP('표1'!$E876,구분!$C$3:$D$72,2,0)</f>
        <v>동일</v>
      </c>
      <c r="G876" s="81">
        <v>19642680</v>
      </c>
      <c r="H876" s="81">
        <v>12511864</v>
      </c>
      <c r="I876" s="81">
        <v>11374422</v>
      </c>
      <c r="J876" s="81">
        <v>5338713</v>
      </c>
      <c r="K876" s="81">
        <v>6035709</v>
      </c>
      <c r="L876" s="81">
        <v>4791910</v>
      </c>
      <c r="M876" s="81">
        <v>1243799</v>
      </c>
      <c r="N876" s="82">
        <v>6.3321247406158396E-2</v>
      </c>
    </row>
    <row r="877" spans="1:14" ht="14.25" hidden="1" customHeight="1">
      <c r="A877" s="78">
        <v>2026</v>
      </c>
      <c r="B877" s="78">
        <v>2</v>
      </c>
      <c r="C877" s="79" t="s">
        <v>196</v>
      </c>
      <c r="D877" s="78" t="s">
        <v>150</v>
      </c>
      <c r="E877" s="80" t="s">
        <v>151</v>
      </c>
      <c r="F877" s="78" t="str">
        <f>VLOOKUP('표1'!$E877,구분!$C$3:$D$72,2,0)</f>
        <v>동일</v>
      </c>
      <c r="G877" s="81">
        <v>29308410</v>
      </c>
      <c r="H877" s="81">
        <v>18889743</v>
      </c>
      <c r="I877" s="81">
        <v>17172494</v>
      </c>
      <c r="J877" s="81">
        <v>8529642</v>
      </c>
      <c r="K877" s="81">
        <v>8642852</v>
      </c>
      <c r="L877" s="81">
        <v>6038140</v>
      </c>
      <c r="M877" s="81">
        <v>2604712</v>
      </c>
      <c r="N877" s="82">
        <v>8.8872511337189597E-2</v>
      </c>
    </row>
    <row r="878" spans="1:14" ht="15" hidden="1" customHeight="1">
      <c r="A878" s="78">
        <v>2026</v>
      </c>
      <c r="B878" s="78">
        <v>2</v>
      </c>
      <c r="C878" s="79" t="s">
        <v>196</v>
      </c>
      <c r="D878" s="78" t="s">
        <v>152</v>
      </c>
      <c r="E878" s="78" t="s">
        <v>153</v>
      </c>
      <c r="F878" s="78" t="str">
        <f>VLOOKUP('표1'!$E878,구분!$C$3:$D$72,2,0)</f>
        <v>동일</v>
      </c>
      <c r="G878" s="81">
        <v>25239980</v>
      </c>
      <c r="H878" s="81">
        <v>15766968</v>
      </c>
      <c r="I878" s="81">
        <v>14333607</v>
      </c>
      <c r="J878" s="81">
        <v>7148662</v>
      </c>
      <c r="K878" s="81">
        <v>7184945</v>
      </c>
      <c r="L878" s="81">
        <v>5667550</v>
      </c>
      <c r="M878" s="81">
        <v>1517395</v>
      </c>
      <c r="N878" s="82">
        <v>6.0118708493429901E-2</v>
      </c>
    </row>
    <row r="879" spans="1:14" ht="15" hidden="1" customHeight="1">
      <c r="A879" s="78">
        <v>2026</v>
      </c>
      <c r="B879" s="78">
        <v>2</v>
      </c>
      <c r="C879" s="79" t="s">
        <v>196</v>
      </c>
      <c r="D879" s="78" t="s">
        <v>189</v>
      </c>
      <c r="E879" s="78" t="s">
        <v>190</v>
      </c>
      <c r="F879" s="78" t="str">
        <f>VLOOKUP('표1'!$E879,구분!$C$3:$D$72,2,0)</f>
        <v>동일</v>
      </c>
      <c r="G879" s="81">
        <v>28273500</v>
      </c>
      <c r="H879" s="81">
        <v>17854880</v>
      </c>
      <c r="I879" s="81">
        <v>16231709</v>
      </c>
      <c r="J879" s="81">
        <v>7843558</v>
      </c>
      <c r="K879" s="81">
        <v>8388151</v>
      </c>
      <c r="L879" s="81">
        <v>6527060</v>
      </c>
      <c r="M879" s="81">
        <v>1861091</v>
      </c>
      <c r="N879" s="82">
        <v>6.5824570711089894E-2</v>
      </c>
    </row>
    <row r="880" spans="1:14" ht="14.25" hidden="1" customHeight="1">
      <c r="A880" s="78">
        <v>2026</v>
      </c>
      <c r="B880" s="78">
        <v>2</v>
      </c>
      <c r="C880" s="79" t="s">
        <v>196</v>
      </c>
      <c r="D880" s="78" t="s">
        <v>154</v>
      </c>
      <c r="E880" s="80" t="s">
        <v>155</v>
      </c>
      <c r="F880" s="78" t="str">
        <f>VLOOKUP('표1'!$E880,구분!$C$3:$D$72,2,0)</f>
        <v>동일</v>
      </c>
      <c r="G880" s="81">
        <v>59668970</v>
      </c>
      <c r="H880" s="81">
        <v>37591463</v>
      </c>
      <c r="I880" s="81">
        <v>34174057</v>
      </c>
      <c r="J880" s="81">
        <v>18780961</v>
      </c>
      <c r="K880" s="81">
        <v>15393096</v>
      </c>
      <c r="L880" s="81">
        <v>9090580</v>
      </c>
      <c r="M880" s="81">
        <v>6302516</v>
      </c>
      <c r="N880" s="82">
        <v>0.10562468230975</v>
      </c>
    </row>
    <row r="881" spans="1:14" ht="14.25" hidden="1" customHeight="1">
      <c r="A881" s="78">
        <v>2026</v>
      </c>
      <c r="B881" s="78">
        <v>2</v>
      </c>
      <c r="C881" s="79" t="s">
        <v>196</v>
      </c>
      <c r="D881" s="78" t="s">
        <v>156</v>
      </c>
      <c r="E881" s="80" t="s">
        <v>157</v>
      </c>
      <c r="F881" s="78" t="str">
        <f>VLOOKUP('표1'!$E881,구분!$C$3:$D$72,2,0)</f>
        <v>동일</v>
      </c>
      <c r="G881" s="81">
        <v>54398880</v>
      </c>
      <c r="H881" s="81">
        <v>41615177</v>
      </c>
      <c r="I881" s="81">
        <v>37831979</v>
      </c>
      <c r="J881" s="81">
        <v>17279480</v>
      </c>
      <c r="K881" s="81">
        <v>20552499</v>
      </c>
      <c r="L881" s="81">
        <v>7344660</v>
      </c>
      <c r="M881" s="81">
        <v>13207839</v>
      </c>
      <c r="N881" s="82">
        <v>0.242796156832641</v>
      </c>
    </row>
    <row r="882" spans="1:14" ht="14.25" hidden="1" customHeight="1">
      <c r="A882" s="78">
        <v>2026</v>
      </c>
      <c r="B882" s="78">
        <v>2</v>
      </c>
      <c r="C882" s="79" t="s">
        <v>196</v>
      </c>
      <c r="D882" s="78" t="s">
        <v>158</v>
      </c>
      <c r="E882" s="80" t="s">
        <v>159</v>
      </c>
      <c r="F882" s="78" t="str">
        <f>VLOOKUP('표1'!$E882,구분!$C$3:$D$72,2,0)</f>
        <v>동일</v>
      </c>
      <c r="G882" s="81">
        <v>45189830</v>
      </c>
      <c r="H882" s="81">
        <v>34796191</v>
      </c>
      <c r="I882" s="81">
        <v>31632901</v>
      </c>
      <c r="J882" s="81">
        <v>13976929</v>
      </c>
      <c r="K882" s="81">
        <v>17655972</v>
      </c>
      <c r="L882" s="81">
        <v>7231190</v>
      </c>
      <c r="M882" s="81">
        <v>10424782</v>
      </c>
      <c r="N882" s="82">
        <v>0.23068867486334901</v>
      </c>
    </row>
    <row r="883" spans="1:14" ht="14.25" hidden="1" customHeight="1">
      <c r="A883" s="78">
        <v>2026</v>
      </c>
      <c r="B883" s="78">
        <v>2</v>
      </c>
      <c r="C883" s="79" t="s">
        <v>196</v>
      </c>
      <c r="D883" s="78" t="s">
        <v>160</v>
      </c>
      <c r="E883" s="80" t="s">
        <v>161</v>
      </c>
      <c r="F883" s="78" t="str">
        <f>VLOOKUP('표1'!$E883,구분!$C$3:$D$72,2,0)</f>
        <v>동일</v>
      </c>
      <c r="G883" s="81">
        <v>39009830</v>
      </c>
      <c r="H883" s="81">
        <v>29842559</v>
      </c>
      <c r="I883" s="81">
        <v>27129599</v>
      </c>
      <c r="J883" s="81">
        <v>12226204</v>
      </c>
      <c r="K883" s="81">
        <v>14903395</v>
      </c>
      <c r="L883" s="81">
        <v>7210150</v>
      </c>
      <c r="M883" s="81">
        <v>7693245</v>
      </c>
      <c r="N883" s="82">
        <v>0.19721298452210601</v>
      </c>
    </row>
    <row r="884" spans="1:14" ht="14.25" hidden="1" customHeight="1">
      <c r="A884" s="78">
        <v>2026</v>
      </c>
      <c r="B884" s="78">
        <v>2</v>
      </c>
      <c r="C884" s="79" t="s">
        <v>196</v>
      </c>
      <c r="D884" s="78" t="s">
        <v>162</v>
      </c>
      <c r="E884" s="80" t="s">
        <v>163</v>
      </c>
      <c r="F884" s="78" t="str">
        <f>VLOOKUP('표1'!$E884,구분!$C$3:$D$72,2,0)</f>
        <v>동일</v>
      </c>
      <c r="G884" s="81">
        <v>15876110</v>
      </c>
      <c r="H884" s="81">
        <v>12224618</v>
      </c>
      <c r="I884" s="81">
        <v>11113289</v>
      </c>
      <c r="J884" s="81">
        <v>5166973</v>
      </c>
      <c r="K884" s="81">
        <v>5946316</v>
      </c>
      <c r="L884" s="81">
        <v>4807370</v>
      </c>
      <c r="M884" s="81">
        <v>1138946</v>
      </c>
      <c r="N884" s="82">
        <v>7.1739613797082505E-2</v>
      </c>
    </row>
    <row r="885" spans="1:14" ht="14.25" hidden="1" customHeight="1">
      <c r="A885" s="78">
        <v>2026</v>
      </c>
      <c r="B885" s="78">
        <v>2</v>
      </c>
      <c r="C885" s="79" t="s">
        <v>196</v>
      </c>
      <c r="D885" s="78" t="s">
        <v>164</v>
      </c>
      <c r="E885" s="80" t="s">
        <v>165</v>
      </c>
      <c r="F885" s="78" t="str">
        <f>VLOOKUP('표1'!$E885,구분!$C$3:$D$72,2,0)</f>
        <v>동일</v>
      </c>
      <c r="G885" s="81">
        <v>37716440</v>
      </c>
      <c r="H885" s="81">
        <v>29041687</v>
      </c>
      <c r="I885" s="81">
        <v>26401534</v>
      </c>
      <c r="J885" s="81">
        <v>12494356</v>
      </c>
      <c r="K885" s="81">
        <v>13907178</v>
      </c>
      <c r="L885" s="81">
        <v>8104100</v>
      </c>
      <c r="M885" s="81">
        <v>5803078</v>
      </c>
      <c r="N885" s="82">
        <v>0.15386070371434801</v>
      </c>
    </row>
    <row r="886" spans="1:14" ht="14.25" hidden="1" customHeight="1">
      <c r="A886" s="78">
        <v>2026</v>
      </c>
      <c r="B886" s="78">
        <v>2</v>
      </c>
      <c r="C886" s="79" t="s">
        <v>196</v>
      </c>
      <c r="D886" s="78" t="s">
        <v>166</v>
      </c>
      <c r="E886" s="80" t="s">
        <v>167</v>
      </c>
      <c r="F886" s="78" t="str">
        <f>VLOOKUP('표1'!$E886,구분!$C$3:$D$72,2,0)</f>
        <v>동일</v>
      </c>
      <c r="G886" s="81">
        <v>21180130</v>
      </c>
      <c r="H886" s="81">
        <v>16308719</v>
      </c>
      <c r="I886" s="81">
        <v>14826108</v>
      </c>
      <c r="J886" s="81">
        <v>6669913</v>
      </c>
      <c r="K886" s="81">
        <v>8156195</v>
      </c>
      <c r="L886" s="81">
        <v>5268680</v>
      </c>
      <c r="M886" s="81">
        <v>2887515</v>
      </c>
      <c r="N886" s="82">
        <v>0.13633131619116601</v>
      </c>
    </row>
    <row r="887" spans="1:14" ht="14.25" hidden="1" customHeight="1">
      <c r="A887" s="78">
        <v>2026</v>
      </c>
      <c r="B887" s="78">
        <v>2</v>
      </c>
      <c r="C887" s="79" t="s">
        <v>196</v>
      </c>
      <c r="D887" s="78" t="s">
        <v>168</v>
      </c>
      <c r="E887" s="80" t="s">
        <v>169</v>
      </c>
      <c r="F887" s="78" t="str">
        <f>VLOOKUP('표1'!$E887,구분!$C$3:$D$72,2,0)</f>
        <v>동일</v>
      </c>
      <c r="G887" s="81">
        <v>38649610</v>
      </c>
      <c r="H887" s="81">
        <v>29760214</v>
      </c>
      <c r="I887" s="81">
        <v>27054740</v>
      </c>
      <c r="J887" s="81">
        <v>12061436</v>
      </c>
      <c r="K887" s="81">
        <v>14993304</v>
      </c>
      <c r="L887" s="81">
        <v>6905230</v>
      </c>
      <c r="M887" s="81">
        <v>8088074</v>
      </c>
      <c r="N887" s="82">
        <v>0.20926663943051399</v>
      </c>
    </row>
    <row r="888" spans="1:14" ht="15" hidden="1" customHeight="1">
      <c r="A888" s="78">
        <v>2026</v>
      </c>
      <c r="B888" s="78">
        <v>2</v>
      </c>
      <c r="C888" s="79" t="s">
        <v>196</v>
      </c>
      <c r="D888" s="78" t="s">
        <v>172</v>
      </c>
      <c r="E888" s="78" t="s">
        <v>173</v>
      </c>
      <c r="F888" s="78" t="str">
        <f>VLOOKUP('표1'!$E888,구분!$C$3:$D$72,2,0)</f>
        <v>동일</v>
      </c>
      <c r="G888" s="81">
        <v>32548010</v>
      </c>
      <c r="H888" s="81">
        <v>25387447</v>
      </c>
      <c r="I888" s="81">
        <v>23079497</v>
      </c>
      <c r="J888" s="81">
        <v>11680465</v>
      </c>
      <c r="K888" s="81">
        <v>11399032</v>
      </c>
      <c r="L888" s="81">
        <v>8510400</v>
      </c>
      <c r="M888" s="81">
        <v>2888632</v>
      </c>
      <c r="N888" s="82">
        <v>8.8749880561054303E-2</v>
      </c>
    </row>
    <row r="889" spans="1:14" ht="14.25" hidden="1" customHeight="1">
      <c r="A889" s="78">
        <v>2026</v>
      </c>
      <c r="B889" s="78">
        <v>2</v>
      </c>
      <c r="C889" s="79" t="s">
        <v>196</v>
      </c>
      <c r="D889" s="78" t="s">
        <v>174</v>
      </c>
      <c r="E889" s="80" t="s">
        <v>175</v>
      </c>
      <c r="F889" s="78" t="str">
        <f>VLOOKUP('표1'!$E889,구분!$C$3:$D$72,2,0)</f>
        <v>동일</v>
      </c>
      <c r="G889" s="81">
        <v>22023690</v>
      </c>
      <c r="H889" s="81">
        <v>18499902</v>
      </c>
      <c r="I889" s="81">
        <v>16818093</v>
      </c>
      <c r="J889" s="81">
        <v>8263579</v>
      </c>
      <c r="K889" s="81">
        <v>8554514</v>
      </c>
      <c r="L889" s="81">
        <v>5238050</v>
      </c>
      <c r="M889" s="81">
        <v>3316464</v>
      </c>
      <c r="N889" s="82">
        <v>0.15058620966786199</v>
      </c>
    </row>
    <row r="890" spans="1:14" ht="14.25" hidden="1" customHeight="1">
      <c r="A890" s="78">
        <v>2026</v>
      </c>
      <c r="B890" s="78">
        <v>2</v>
      </c>
      <c r="C890" s="79" t="s">
        <v>196</v>
      </c>
      <c r="D890" s="78" t="s">
        <v>176</v>
      </c>
      <c r="E890" s="80" t="s">
        <v>177</v>
      </c>
      <c r="F890" s="78" t="str">
        <f>VLOOKUP('표1'!$E890,구분!$C$3:$D$72,2,0)</f>
        <v>동일</v>
      </c>
      <c r="G890" s="81">
        <v>82160540</v>
      </c>
      <c r="H890" s="81">
        <v>63263658</v>
      </c>
      <c r="I890" s="81">
        <v>57512416</v>
      </c>
      <c r="J890" s="81">
        <v>25331832</v>
      </c>
      <c r="K890" s="81">
        <v>32180584</v>
      </c>
      <c r="L890" s="81">
        <v>13968110</v>
      </c>
      <c r="M890" s="81">
        <v>18212474</v>
      </c>
      <c r="N890" s="82">
        <v>0.221669356116695</v>
      </c>
    </row>
    <row r="891" spans="1:14" ht="14.25" hidden="1" customHeight="1">
      <c r="A891" s="78">
        <v>2026</v>
      </c>
      <c r="B891" s="78">
        <v>2</v>
      </c>
      <c r="C891" s="79" t="s">
        <v>196</v>
      </c>
      <c r="D891" s="78" t="s">
        <v>178</v>
      </c>
      <c r="E891" s="80" t="s">
        <v>179</v>
      </c>
      <c r="F891" s="78" t="str">
        <f>VLOOKUP('표1'!$E891,구분!$C$3:$D$72,2,0)</f>
        <v>동일</v>
      </c>
      <c r="G891" s="81">
        <v>74561270</v>
      </c>
      <c r="H891" s="81">
        <v>57412217</v>
      </c>
      <c r="I891" s="81">
        <v>52192925</v>
      </c>
      <c r="J891" s="81">
        <v>23876824</v>
      </c>
      <c r="K891" s="81">
        <v>28316101</v>
      </c>
      <c r="L891" s="81">
        <v>9693780</v>
      </c>
      <c r="M891" s="81">
        <v>18622321</v>
      </c>
      <c r="N891" s="82">
        <v>0.249758634744285</v>
      </c>
    </row>
    <row r="892" spans="1:14" ht="14.25" hidden="1" customHeight="1">
      <c r="A892" s="73">
        <v>2026</v>
      </c>
      <c r="B892" s="73">
        <v>3</v>
      </c>
      <c r="C892" s="74" t="s">
        <v>197</v>
      </c>
      <c r="D892" s="73" t="s">
        <v>54</v>
      </c>
      <c r="E892" s="75" t="s">
        <v>55</v>
      </c>
      <c r="F892" s="73" t="str">
        <f>VLOOKUP('표1'!$E892,구분!$C$3:$D$72,2,0)</f>
        <v>동일</v>
      </c>
      <c r="G892" s="76">
        <v>62690850</v>
      </c>
      <c r="H892" s="76">
        <v>40122143</v>
      </c>
      <c r="I892" s="76">
        <v>36474675</v>
      </c>
      <c r="J892" s="76">
        <v>17697828</v>
      </c>
      <c r="K892" s="76">
        <v>18776847</v>
      </c>
      <c r="L892" s="76">
        <v>7680280</v>
      </c>
      <c r="M892" s="76">
        <v>11096567</v>
      </c>
      <c r="N892" s="77">
        <v>0.17700457084247501</v>
      </c>
    </row>
    <row r="893" spans="1:14" ht="14.25" hidden="1" customHeight="1">
      <c r="A893" s="78">
        <v>2026</v>
      </c>
      <c r="B893" s="78">
        <v>3</v>
      </c>
      <c r="C893" s="79" t="s">
        <v>197</v>
      </c>
      <c r="D893" s="78" t="s">
        <v>56</v>
      </c>
      <c r="E893" s="80" t="s">
        <v>57</v>
      </c>
      <c r="F893" s="78" t="str">
        <f>VLOOKUP('표1'!$E893,구분!$C$3:$D$72,2,0)</f>
        <v>동일</v>
      </c>
      <c r="G893" s="81">
        <v>18163600</v>
      </c>
      <c r="H893" s="81">
        <v>11806349</v>
      </c>
      <c r="I893" s="81">
        <v>10733045</v>
      </c>
      <c r="J893" s="81">
        <v>5235118</v>
      </c>
      <c r="K893" s="81">
        <v>5497927</v>
      </c>
      <c r="L893" s="81">
        <v>5077470</v>
      </c>
      <c r="M893" s="81">
        <v>420457</v>
      </c>
      <c r="N893" s="82">
        <v>2.3148329626285501E-2</v>
      </c>
    </row>
    <row r="894" spans="1:14" ht="14.25" hidden="1" customHeight="1">
      <c r="A894" s="78">
        <v>2026</v>
      </c>
      <c r="B894" s="78">
        <v>3</v>
      </c>
      <c r="C894" s="79" t="s">
        <v>197</v>
      </c>
      <c r="D894" s="78" t="s">
        <v>58</v>
      </c>
      <c r="E894" s="80" t="s">
        <v>59</v>
      </c>
      <c r="F894" s="78" t="str">
        <f>VLOOKUP('표1'!$E894,구분!$C$3:$D$72,2,0)</f>
        <v>동일</v>
      </c>
      <c r="G894" s="81">
        <v>52562870</v>
      </c>
      <c r="H894" s="81">
        <v>33640235</v>
      </c>
      <c r="I894" s="81">
        <v>30582032</v>
      </c>
      <c r="J894" s="81">
        <v>15917653</v>
      </c>
      <c r="K894" s="81">
        <v>14664379</v>
      </c>
      <c r="L894" s="81">
        <v>7224820</v>
      </c>
      <c r="M894" s="81">
        <v>7439559</v>
      </c>
      <c r="N894" s="82">
        <v>0.141536392514336</v>
      </c>
    </row>
    <row r="895" spans="1:14" ht="14.25" hidden="1" customHeight="1">
      <c r="A895" s="78">
        <v>2026</v>
      </c>
      <c r="B895" s="78">
        <v>3</v>
      </c>
      <c r="C895" s="79" t="s">
        <v>197</v>
      </c>
      <c r="D895" s="78" t="s">
        <v>60</v>
      </c>
      <c r="E895" s="80" t="s">
        <v>61</v>
      </c>
      <c r="F895" s="78" t="str">
        <f>VLOOKUP('표1'!$E895,구분!$C$3:$D$72,2,0)</f>
        <v>동일</v>
      </c>
      <c r="G895" s="81">
        <v>32034740</v>
      </c>
      <c r="H895" s="81">
        <v>20502233</v>
      </c>
      <c r="I895" s="81">
        <v>18638394</v>
      </c>
      <c r="J895" s="81">
        <v>9308709</v>
      </c>
      <c r="K895" s="81">
        <v>9329685</v>
      </c>
      <c r="L895" s="81">
        <v>5541730</v>
      </c>
      <c r="M895" s="81">
        <v>3787955</v>
      </c>
      <c r="N895" s="82">
        <v>0.118245223778935</v>
      </c>
    </row>
    <row r="896" spans="1:14" ht="14.25" hidden="1" customHeight="1">
      <c r="A896" s="78">
        <v>2026</v>
      </c>
      <c r="B896" s="78">
        <v>3</v>
      </c>
      <c r="C896" s="79" t="s">
        <v>197</v>
      </c>
      <c r="D896" s="78" t="s">
        <v>62</v>
      </c>
      <c r="E896" s="80" t="s">
        <v>63</v>
      </c>
      <c r="F896" s="78" t="str">
        <f>VLOOKUP('표1'!$E896,구분!$C$3:$D$72,2,0)</f>
        <v>동일</v>
      </c>
      <c r="G896" s="81">
        <v>53627760</v>
      </c>
      <c r="H896" s="81">
        <v>34321766</v>
      </c>
      <c r="I896" s="81">
        <v>31201605</v>
      </c>
      <c r="J896" s="81">
        <v>15259026</v>
      </c>
      <c r="K896" s="81">
        <v>15942579</v>
      </c>
      <c r="L896" s="81">
        <v>7796950</v>
      </c>
      <c r="M896" s="81">
        <v>8145629</v>
      </c>
      <c r="N896" s="82">
        <v>0.151892023832433</v>
      </c>
    </row>
    <row r="897" spans="1:14" ht="14.25" hidden="1" customHeight="1">
      <c r="A897" s="78">
        <v>2026</v>
      </c>
      <c r="B897" s="78">
        <v>3</v>
      </c>
      <c r="C897" s="79" t="s">
        <v>197</v>
      </c>
      <c r="D897" s="78" t="s">
        <v>64</v>
      </c>
      <c r="E897" s="80" t="s">
        <v>65</v>
      </c>
      <c r="F897" s="78" t="str">
        <f>VLOOKUP('표1'!$E897,구분!$C$3:$D$72,2,0)</f>
        <v>동일</v>
      </c>
      <c r="G897" s="81">
        <v>23004690</v>
      </c>
      <c r="H897" s="81">
        <v>14723001</v>
      </c>
      <c r="I897" s="81">
        <v>13384546</v>
      </c>
      <c r="J897" s="81">
        <v>6628130</v>
      </c>
      <c r="K897" s="81">
        <v>6756416</v>
      </c>
      <c r="L897" s="81">
        <v>4126440</v>
      </c>
      <c r="M897" s="81">
        <v>2629976</v>
      </c>
      <c r="N897" s="82">
        <v>0.114323470561872</v>
      </c>
    </row>
    <row r="898" spans="1:14" ht="14.25" hidden="1" customHeight="1">
      <c r="A898" s="78">
        <v>2026</v>
      </c>
      <c r="B898" s="78">
        <v>3</v>
      </c>
      <c r="C898" s="79" t="s">
        <v>197</v>
      </c>
      <c r="D898" s="78" t="s">
        <v>66</v>
      </c>
      <c r="E898" s="80" t="s">
        <v>67</v>
      </c>
      <c r="F898" s="78" t="str">
        <f>VLOOKUP('표1'!$E898,구분!$C$3:$D$72,2,0)</f>
        <v>동일</v>
      </c>
      <c r="G898" s="81">
        <v>22250500</v>
      </c>
      <c r="H898" s="81">
        <v>14461307</v>
      </c>
      <c r="I898" s="81">
        <v>13146643</v>
      </c>
      <c r="J898" s="81">
        <v>7064061</v>
      </c>
      <c r="K898" s="81">
        <v>6082582</v>
      </c>
      <c r="L898" s="81">
        <v>4207350</v>
      </c>
      <c r="M898" s="81">
        <v>1875232</v>
      </c>
      <c r="N898" s="82">
        <v>8.4278195995595606E-2</v>
      </c>
    </row>
    <row r="899" spans="1:14" ht="14.25" hidden="1" customHeight="1">
      <c r="A899" s="78">
        <v>2026</v>
      </c>
      <c r="B899" s="78">
        <v>3</v>
      </c>
      <c r="C899" s="79" t="s">
        <v>197</v>
      </c>
      <c r="D899" s="78" t="s">
        <v>68</v>
      </c>
      <c r="E899" s="80" t="s">
        <v>69</v>
      </c>
      <c r="F899" s="78" t="str">
        <f>VLOOKUP('표1'!$E899,구분!$C$3:$D$72,2,0)</f>
        <v>동일</v>
      </c>
      <c r="G899" s="81">
        <v>57876460</v>
      </c>
      <c r="H899" s="81">
        <v>37040935</v>
      </c>
      <c r="I899" s="81">
        <v>33673577</v>
      </c>
      <c r="J899" s="81">
        <v>17088931</v>
      </c>
      <c r="K899" s="81">
        <v>16584646</v>
      </c>
      <c r="L899" s="81">
        <v>7730500</v>
      </c>
      <c r="M899" s="81">
        <v>8854146</v>
      </c>
      <c r="N899" s="82">
        <v>0.15298354460518199</v>
      </c>
    </row>
    <row r="900" spans="1:14" ht="14.25" hidden="1" customHeight="1">
      <c r="A900" s="78">
        <v>2026</v>
      </c>
      <c r="B900" s="78">
        <v>3</v>
      </c>
      <c r="C900" s="79" t="s">
        <v>197</v>
      </c>
      <c r="D900" s="78" t="s">
        <v>70</v>
      </c>
      <c r="E900" s="80" t="s">
        <v>71</v>
      </c>
      <c r="F900" s="78" t="str">
        <f>VLOOKUP('표1'!$E900,구분!$C$3:$D$72,2,0)</f>
        <v>동일</v>
      </c>
      <c r="G900" s="81">
        <v>19118980</v>
      </c>
      <c r="H900" s="81">
        <v>12236151</v>
      </c>
      <c r="I900" s="81">
        <v>11123774</v>
      </c>
      <c r="J900" s="81">
        <v>8389497</v>
      </c>
      <c r="K900" s="81">
        <v>2734277</v>
      </c>
      <c r="L900" s="81">
        <v>5608730</v>
      </c>
      <c r="M900" s="81">
        <v>-2874453</v>
      </c>
      <c r="N900" s="82">
        <v>-0.15034552052463099</v>
      </c>
    </row>
    <row r="901" spans="1:14" ht="14.25" hidden="1" customHeight="1">
      <c r="A901" s="78">
        <v>2026</v>
      </c>
      <c r="B901" s="78">
        <v>3</v>
      </c>
      <c r="C901" s="79" t="s">
        <v>197</v>
      </c>
      <c r="D901" s="78" t="s">
        <v>72</v>
      </c>
      <c r="E901" s="80" t="s">
        <v>73</v>
      </c>
      <c r="F901" s="78" t="str">
        <f>VLOOKUP('표1'!$E901,구분!$C$3:$D$72,2,0)</f>
        <v>동일</v>
      </c>
      <c r="G901" s="81">
        <v>16581390</v>
      </c>
      <c r="H901" s="81">
        <v>10777911</v>
      </c>
      <c r="I901" s="81">
        <v>9798101</v>
      </c>
      <c r="J901" s="81">
        <v>5146776</v>
      </c>
      <c r="K901" s="81">
        <v>4651325</v>
      </c>
      <c r="L901" s="81">
        <v>3846670</v>
      </c>
      <c r="M901" s="81">
        <v>804655</v>
      </c>
      <c r="N901" s="82">
        <v>4.8527596299224603E-2</v>
      </c>
    </row>
    <row r="902" spans="1:14" ht="14.25" hidden="1" customHeight="1">
      <c r="A902" s="78">
        <v>2026</v>
      </c>
      <c r="B902" s="78">
        <v>3</v>
      </c>
      <c r="C902" s="79" t="s">
        <v>197</v>
      </c>
      <c r="D902" s="78" t="s">
        <v>74</v>
      </c>
      <c r="E902" s="80" t="s">
        <v>75</v>
      </c>
      <c r="F902" s="78" t="str">
        <f>VLOOKUP('표1'!$E902,구분!$C$3:$D$72,2,0)</f>
        <v>동일</v>
      </c>
      <c r="G902" s="81">
        <v>36218280</v>
      </c>
      <c r="H902" s="81">
        <v>23179700</v>
      </c>
      <c r="I902" s="81">
        <v>21072455</v>
      </c>
      <c r="J902" s="81">
        <v>10483798</v>
      </c>
      <c r="K902" s="81">
        <v>10588657</v>
      </c>
      <c r="L902" s="81">
        <v>6101900</v>
      </c>
      <c r="M902" s="81">
        <v>4486757</v>
      </c>
      <c r="N902" s="82">
        <v>0.12388100704947901</v>
      </c>
    </row>
    <row r="903" spans="1:14" ht="14.25" hidden="1" customHeight="1">
      <c r="A903" s="78">
        <v>2026</v>
      </c>
      <c r="B903" s="78">
        <v>3</v>
      </c>
      <c r="C903" s="79" t="s">
        <v>197</v>
      </c>
      <c r="D903" s="78" t="s">
        <v>76</v>
      </c>
      <c r="E903" s="80" t="s">
        <v>77</v>
      </c>
      <c r="F903" s="78" t="str">
        <f>VLOOKUP('표1'!$E903,구분!$C$3:$D$72,2,0)</f>
        <v>동일</v>
      </c>
      <c r="G903" s="81">
        <v>35914670</v>
      </c>
      <c r="H903" s="81">
        <v>22985388</v>
      </c>
      <c r="I903" s="81">
        <v>20895807</v>
      </c>
      <c r="J903" s="81">
        <v>10845242</v>
      </c>
      <c r="K903" s="81">
        <v>10050565</v>
      </c>
      <c r="L903" s="81">
        <v>5347970</v>
      </c>
      <c r="M903" s="81">
        <v>4702595</v>
      </c>
      <c r="N903" s="82">
        <v>0.130937998316565</v>
      </c>
    </row>
    <row r="904" spans="1:14" ht="14.25" hidden="1" customHeight="1">
      <c r="A904" s="78">
        <v>2026</v>
      </c>
      <c r="B904" s="78">
        <v>3</v>
      </c>
      <c r="C904" s="79" t="s">
        <v>197</v>
      </c>
      <c r="D904" s="78" t="s">
        <v>78</v>
      </c>
      <c r="E904" s="80" t="s">
        <v>79</v>
      </c>
      <c r="F904" s="78" t="str">
        <f>VLOOKUP('표1'!$E904,구분!$C$3:$D$72,2,0)</f>
        <v>동일</v>
      </c>
      <c r="G904" s="81">
        <v>54309090</v>
      </c>
      <c r="H904" s="81">
        <v>34757817</v>
      </c>
      <c r="I904" s="81">
        <v>31598015</v>
      </c>
      <c r="J904" s="81">
        <v>15888415</v>
      </c>
      <c r="K904" s="81">
        <v>15709600</v>
      </c>
      <c r="L904" s="81">
        <v>7603630</v>
      </c>
      <c r="M904" s="81">
        <v>8105970</v>
      </c>
      <c r="N904" s="82">
        <v>0.14925622948202599</v>
      </c>
    </row>
    <row r="905" spans="1:14" ht="14.25" hidden="1" customHeight="1">
      <c r="A905" s="78">
        <v>2026</v>
      </c>
      <c r="B905" s="78">
        <v>3</v>
      </c>
      <c r="C905" s="79" t="s">
        <v>197</v>
      </c>
      <c r="D905" s="78" t="s">
        <v>80</v>
      </c>
      <c r="E905" s="80" t="s">
        <v>81</v>
      </c>
      <c r="F905" s="78" t="str">
        <f>VLOOKUP('표1'!$E905,구분!$C$3:$D$72,2,0)</f>
        <v>동일</v>
      </c>
      <c r="G905" s="81">
        <v>56924610</v>
      </c>
      <c r="H905" s="81">
        <v>36431749</v>
      </c>
      <c r="I905" s="81">
        <v>33119772</v>
      </c>
      <c r="J905" s="81">
        <v>17246448</v>
      </c>
      <c r="K905" s="81">
        <v>15873324</v>
      </c>
      <c r="L905" s="81">
        <v>7983620</v>
      </c>
      <c r="M905" s="81">
        <v>7889704</v>
      </c>
      <c r="N905" s="82">
        <v>0.13859917529518401</v>
      </c>
    </row>
    <row r="906" spans="1:14" ht="14.25" hidden="1" customHeight="1">
      <c r="A906" s="78">
        <v>2026</v>
      </c>
      <c r="B906" s="78">
        <v>3</v>
      </c>
      <c r="C906" s="79" t="s">
        <v>197</v>
      </c>
      <c r="D906" s="78" t="s">
        <v>82</v>
      </c>
      <c r="E906" s="80" t="s">
        <v>83</v>
      </c>
      <c r="F906" s="78" t="str">
        <f>VLOOKUP('표1'!$E906,구분!$C$3:$D$72,2,0)</f>
        <v>동일</v>
      </c>
      <c r="G906" s="81">
        <v>28152310</v>
      </c>
      <c r="H906" s="81">
        <v>18580240</v>
      </c>
      <c r="I906" s="81">
        <v>16891127</v>
      </c>
      <c r="J906" s="81">
        <v>9408821</v>
      </c>
      <c r="K906" s="81">
        <v>7482306</v>
      </c>
      <c r="L906" s="81">
        <v>6130410</v>
      </c>
      <c r="M906" s="81">
        <v>1351896</v>
      </c>
      <c r="N906" s="82">
        <v>4.8020784084858402E-2</v>
      </c>
    </row>
    <row r="907" spans="1:14" ht="14.25" hidden="1" customHeight="1">
      <c r="A907" s="78">
        <v>2026</v>
      </c>
      <c r="B907" s="78">
        <v>3</v>
      </c>
      <c r="C907" s="79" t="s">
        <v>197</v>
      </c>
      <c r="D907" s="78" t="s">
        <v>84</v>
      </c>
      <c r="E907" s="80" t="s">
        <v>85</v>
      </c>
      <c r="F907" s="78" t="str">
        <f>VLOOKUP('표1'!$E907,구분!$C$3:$D$72,2,0)</f>
        <v>동일</v>
      </c>
      <c r="G907" s="81">
        <v>35977590</v>
      </c>
      <c r="H907" s="81">
        <v>23025658</v>
      </c>
      <c r="I907" s="81">
        <v>20932416</v>
      </c>
      <c r="J907" s="81">
        <v>10249047</v>
      </c>
      <c r="K907" s="81">
        <v>10683369</v>
      </c>
      <c r="L907" s="81">
        <v>5236460</v>
      </c>
      <c r="M907" s="81">
        <v>5446909</v>
      </c>
      <c r="N907" s="82">
        <v>0.151397272579959</v>
      </c>
    </row>
    <row r="908" spans="1:14" ht="14.25" hidden="1" customHeight="1">
      <c r="A908" s="78">
        <v>2026</v>
      </c>
      <c r="B908" s="78">
        <v>3</v>
      </c>
      <c r="C908" s="79" t="s">
        <v>197</v>
      </c>
      <c r="D908" s="78" t="s">
        <v>86</v>
      </c>
      <c r="E908" s="80" t="s">
        <v>87</v>
      </c>
      <c r="F908" s="78" t="str">
        <f>VLOOKUP('표1'!$E908,구분!$C$3:$D$72,2,0)</f>
        <v>동일</v>
      </c>
      <c r="G908" s="81">
        <v>17286420</v>
      </c>
      <c r="H908" s="81">
        <v>11063309</v>
      </c>
      <c r="I908" s="81">
        <v>10057554</v>
      </c>
      <c r="J908" s="81">
        <v>4941334</v>
      </c>
      <c r="K908" s="81">
        <v>5116220</v>
      </c>
      <c r="L908" s="81">
        <v>5086490</v>
      </c>
      <c r="M908" s="81">
        <v>29730</v>
      </c>
      <c r="N908" s="82">
        <v>1.7198471401250199E-3</v>
      </c>
    </row>
    <row r="909" spans="1:14" ht="14.25" hidden="1" customHeight="1">
      <c r="A909" s="78">
        <v>2026</v>
      </c>
      <c r="B909" s="78">
        <v>3</v>
      </c>
      <c r="C909" s="79" t="s">
        <v>197</v>
      </c>
      <c r="D909" s="78" t="s">
        <v>88</v>
      </c>
      <c r="E909" s="80" t="s">
        <v>89</v>
      </c>
      <c r="F909" s="78" t="str">
        <f>VLOOKUP('표1'!$E909,구분!$C$3:$D$72,2,0)</f>
        <v>동일</v>
      </c>
      <c r="G909" s="81">
        <v>21381950</v>
      </c>
      <c r="H909" s="81">
        <v>13684448</v>
      </c>
      <c r="I909" s="81">
        <v>12440407</v>
      </c>
      <c r="J909" s="81">
        <v>5771622</v>
      </c>
      <c r="K909" s="81">
        <v>6668785</v>
      </c>
      <c r="L909" s="81">
        <v>5393250</v>
      </c>
      <c r="M909" s="81">
        <v>1275535</v>
      </c>
      <c r="N909" s="82">
        <v>5.9654755529781001E-2</v>
      </c>
    </row>
    <row r="910" spans="1:14" ht="14.25" hidden="1" customHeight="1">
      <c r="A910" s="78">
        <v>2026</v>
      </c>
      <c r="B910" s="78">
        <v>3</v>
      </c>
      <c r="C910" s="79" t="s">
        <v>197</v>
      </c>
      <c r="D910" s="78" t="s">
        <v>90</v>
      </c>
      <c r="E910" s="80" t="s">
        <v>91</v>
      </c>
      <c r="F910" s="78" t="str">
        <f>VLOOKUP('표1'!$E910,구분!$C$3:$D$72,2,0)</f>
        <v>동일</v>
      </c>
      <c r="G910" s="81">
        <v>31221540</v>
      </c>
      <c r="H910" s="81">
        <v>19981788</v>
      </c>
      <c r="I910" s="81">
        <v>18165262</v>
      </c>
      <c r="J910" s="81">
        <v>10182358</v>
      </c>
      <c r="K910" s="81">
        <v>7982904</v>
      </c>
      <c r="L910" s="81">
        <v>6675290</v>
      </c>
      <c r="M910" s="81">
        <v>1307614</v>
      </c>
      <c r="N910" s="82">
        <v>4.1881790584321003E-2</v>
      </c>
    </row>
    <row r="911" spans="1:14" ht="14.25" hidden="1" customHeight="1">
      <c r="A911" s="78">
        <v>2026</v>
      </c>
      <c r="B911" s="78">
        <v>3</v>
      </c>
      <c r="C911" s="79" t="s">
        <v>197</v>
      </c>
      <c r="D911" s="78" t="s">
        <v>92</v>
      </c>
      <c r="E911" s="80" t="s">
        <v>93</v>
      </c>
      <c r="F911" s="78" t="str">
        <f>VLOOKUP('표1'!$E911,구분!$C$3:$D$72,2,0)</f>
        <v>동일</v>
      </c>
      <c r="G911" s="81">
        <v>28638500</v>
      </c>
      <c r="H911" s="81">
        <v>18328639</v>
      </c>
      <c r="I911" s="81">
        <v>16662399</v>
      </c>
      <c r="J911" s="81">
        <v>8024911</v>
      </c>
      <c r="K911" s="81">
        <v>8637488</v>
      </c>
      <c r="L911" s="81">
        <v>5868770</v>
      </c>
      <c r="M911" s="81">
        <v>2768718</v>
      </c>
      <c r="N911" s="82">
        <v>9.6678177977198507E-2</v>
      </c>
    </row>
    <row r="912" spans="1:14" ht="14.25" hidden="1" customHeight="1">
      <c r="A912" s="78">
        <v>2026</v>
      </c>
      <c r="B912" s="78">
        <v>3</v>
      </c>
      <c r="C912" s="79" t="s">
        <v>197</v>
      </c>
      <c r="D912" s="78" t="s">
        <v>94</v>
      </c>
      <c r="E912" s="80" t="s">
        <v>95</v>
      </c>
      <c r="F912" s="78" t="str">
        <f>VLOOKUP('표1'!$E912,구분!$C$3:$D$72,2,0)</f>
        <v>폐점</v>
      </c>
      <c r="G912" s="81">
        <v>163913350</v>
      </c>
      <c r="H912" s="81">
        <v>104904545</v>
      </c>
      <c r="I912" s="81">
        <v>95367768</v>
      </c>
      <c r="J912" s="81">
        <v>48153529</v>
      </c>
      <c r="K912" s="81">
        <v>47214239</v>
      </c>
      <c r="L912" s="81">
        <v>12389680</v>
      </c>
      <c r="M912" s="81">
        <v>34824559</v>
      </c>
      <c r="N912" s="82">
        <v>0.21245712445020501</v>
      </c>
    </row>
    <row r="913" spans="1:14" ht="14.25" hidden="1" customHeight="1">
      <c r="A913" s="78">
        <v>2026</v>
      </c>
      <c r="B913" s="78">
        <v>3</v>
      </c>
      <c r="C913" s="79" t="s">
        <v>197</v>
      </c>
      <c r="D913" s="78" t="s">
        <v>96</v>
      </c>
      <c r="E913" s="80" t="s">
        <v>97</v>
      </c>
      <c r="F913" s="78" t="str">
        <f>VLOOKUP('표1'!$E913,구분!$C$3:$D$72,2,0)</f>
        <v>동일</v>
      </c>
      <c r="G913" s="81">
        <v>60423940</v>
      </c>
      <c r="H913" s="81">
        <v>38671322</v>
      </c>
      <c r="I913" s="81">
        <v>35155747</v>
      </c>
      <c r="J913" s="81">
        <v>17550797</v>
      </c>
      <c r="K913" s="81">
        <v>17604950</v>
      </c>
      <c r="L913" s="81">
        <v>8787440</v>
      </c>
      <c r="M913" s="81">
        <v>8817510</v>
      </c>
      <c r="N913" s="82">
        <v>0.145927425454216</v>
      </c>
    </row>
    <row r="914" spans="1:14" ht="14.25" hidden="1" customHeight="1">
      <c r="A914" s="78">
        <v>2026</v>
      </c>
      <c r="B914" s="78">
        <v>3</v>
      </c>
      <c r="C914" s="79" t="s">
        <v>197</v>
      </c>
      <c r="D914" s="78" t="s">
        <v>98</v>
      </c>
      <c r="E914" s="80" t="s">
        <v>99</v>
      </c>
      <c r="F914" s="78" t="str">
        <f>VLOOKUP('표1'!$E914,구분!$C$3:$D$72,2,0)</f>
        <v>동일</v>
      </c>
      <c r="G914" s="81">
        <v>67808530</v>
      </c>
      <c r="H914" s="81">
        <v>44166862</v>
      </c>
      <c r="I914" s="81">
        <v>40151693</v>
      </c>
      <c r="J914" s="81">
        <v>20403977</v>
      </c>
      <c r="K914" s="81">
        <v>19747716</v>
      </c>
      <c r="L914" s="81">
        <v>8955770</v>
      </c>
      <c r="M914" s="81">
        <v>10791946</v>
      </c>
      <c r="N914" s="82">
        <v>0.15915322157846501</v>
      </c>
    </row>
    <row r="915" spans="1:14" ht="14.25" hidden="1" customHeight="1">
      <c r="A915" s="78">
        <v>2026</v>
      </c>
      <c r="B915" s="78">
        <v>3</v>
      </c>
      <c r="C915" s="79" t="s">
        <v>197</v>
      </c>
      <c r="D915" s="78" t="s">
        <v>100</v>
      </c>
      <c r="E915" s="80" t="s">
        <v>101</v>
      </c>
      <c r="F915" s="78" t="str">
        <f>VLOOKUP('표1'!$E915,구분!$C$3:$D$72,2,0)</f>
        <v>동일</v>
      </c>
      <c r="G915" s="81">
        <v>104876300</v>
      </c>
      <c r="H915" s="81">
        <v>67545135</v>
      </c>
      <c r="I915" s="81">
        <v>61404668</v>
      </c>
      <c r="J915" s="81">
        <v>31172532</v>
      </c>
      <c r="K915" s="81">
        <v>30232136</v>
      </c>
      <c r="L915" s="81">
        <v>15200260</v>
      </c>
      <c r="M915" s="81">
        <v>15031876</v>
      </c>
      <c r="N915" s="82">
        <v>0.14332957970485199</v>
      </c>
    </row>
    <row r="916" spans="1:14" ht="14.25" hidden="1" customHeight="1">
      <c r="A916" s="78">
        <v>2026</v>
      </c>
      <c r="B916" s="78">
        <v>3</v>
      </c>
      <c r="C916" s="79" t="s">
        <v>197</v>
      </c>
      <c r="D916" s="78" t="s">
        <v>102</v>
      </c>
      <c r="E916" s="80" t="s">
        <v>103</v>
      </c>
      <c r="F916" s="78" t="str">
        <f>VLOOKUP('표1'!$E916,구분!$C$3:$D$72,2,0)</f>
        <v>동일</v>
      </c>
      <c r="G916" s="81">
        <v>64316760</v>
      </c>
      <c r="H916" s="81">
        <v>39881664</v>
      </c>
      <c r="I916" s="81">
        <v>36256058</v>
      </c>
      <c r="J916" s="81">
        <v>18591137</v>
      </c>
      <c r="K916" s="81">
        <v>17664921</v>
      </c>
      <c r="L916" s="81">
        <v>8139380</v>
      </c>
      <c r="M916" s="81">
        <v>9525541</v>
      </c>
      <c r="N916" s="82">
        <v>0.14810355807724199</v>
      </c>
    </row>
    <row r="917" spans="1:14" ht="14.25" hidden="1" customHeight="1">
      <c r="A917" s="78">
        <v>2026</v>
      </c>
      <c r="B917" s="78">
        <v>3</v>
      </c>
      <c r="C917" s="79" t="s">
        <v>197</v>
      </c>
      <c r="D917" s="78" t="s">
        <v>104</v>
      </c>
      <c r="E917" s="80" t="s">
        <v>105</v>
      </c>
      <c r="F917" s="78" t="str">
        <f>VLOOKUP('표1'!$E917,구분!$C$3:$D$72,2,0)</f>
        <v>동일</v>
      </c>
      <c r="G917" s="81">
        <v>30643800</v>
      </c>
      <c r="H917" s="81">
        <v>19228233</v>
      </c>
      <c r="I917" s="81">
        <v>17480212</v>
      </c>
      <c r="J917" s="81">
        <v>8880847</v>
      </c>
      <c r="K917" s="81">
        <v>8599365</v>
      </c>
      <c r="L917" s="81">
        <v>5165180</v>
      </c>
      <c r="M917" s="81">
        <v>3434185</v>
      </c>
      <c r="N917" s="82">
        <v>0.112067857119548</v>
      </c>
    </row>
    <row r="918" spans="1:14" ht="14.25" hidden="1" customHeight="1">
      <c r="A918" s="78">
        <v>2026</v>
      </c>
      <c r="B918" s="78">
        <v>3</v>
      </c>
      <c r="C918" s="79" t="s">
        <v>197</v>
      </c>
      <c r="D918" s="78" t="s">
        <v>106</v>
      </c>
      <c r="E918" s="80" t="s">
        <v>107</v>
      </c>
      <c r="F918" s="78" t="str">
        <f>VLOOKUP('표1'!$E918,구분!$C$3:$D$72,2,0)</f>
        <v>폐점</v>
      </c>
      <c r="G918" s="81">
        <v>15495600</v>
      </c>
      <c r="H918" s="81">
        <v>9607272</v>
      </c>
      <c r="I918" s="81">
        <v>8733884</v>
      </c>
      <c r="J918" s="81">
        <v>4511288</v>
      </c>
      <c r="K918" s="81">
        <v>4222596</v>
      </c>
      <c r="L918" s="81">
        <v>2220260</v>
      </c>
      <c r="M918" s="81">
        <v>2002336</v>
      </c>
      <c r="N918" s="82">
        <v>0.12921964944887601</v>
      </c>
    </row>
    <row r="919" spans="1:14" ht="14.25" hidden="1" customHeight="1">
      <c r="A919" s="78">
        <v>2026</v>
      </c>
      <c r="B919" s="78">
        <v>3</v>
      </c>
      <c r="C919" s="79" t="s">
        <v>197</v>
      </c>
      <c r="D919" s="78" t="s">
        <v>108</v>
      </c>
      <c r="E919" s="80" t="s">
        <v>109</v>
      </c>
      <c r="F919" s="78" t="str">
        <f>VLOOKUP('표1'!$E919,구분!$C$3:$D$72,2,0)</f>
        <v>동일</v>
      </c>
      <c r="G919" s="81">
        <v>32278850</v>
      </c>
      <c r="H919" s="81">
        <v>20012889</v>
      </c>
      <c r="I919" s="81">
        <v>18193535</v>
      </c>
      <c r="J919" s="81">
        <v>9074951</v>
      </c>
      <c r="K919" s="81">
        <v>9118584</v>
      </c>
      <c r="L919" s="81">
        <v>6499080</v>
      </c>
      <c r="M919" s="81">
        <v>2619504</v>
      </c>
      <c r="N919" s="82">
        <v>8.1152333493913195E-2</v>
      </c>
    </row>
    <row r="920" spans="1:14" ht="14.25" hidden="1" customHeight="1">
      <c r="A920" s="78">
        <v>2026</v>
      </c>
      <c r="B920" s="78">
        <v>3</v>
      </c>
      <c r="C920" s="79" t="s">
        <v>197</v>
      </c>
      <c r="D920" s="78" t="s">
        <v>187</v>
      </c>
      <c r="E920" s="80" t="s">
        <v>188</v>
      </c>
      <c r="F920" s="78" t="str">
        <f>VLOOKUP('표1'!$E920,구분!$C$3:$D$72,2,0)</f>
        <v>동일</v>
      </c>
      <c r="G920" s="81">
        <v>23383460</v>
      </c>
      <c r="H920" s="81">
        <v>14655994</v>
      </c>
      <c r="I920" s="81">
        <v>13323631</v>
      </c>
      <c r="J920" s="81">
        <v>6945684</v>
      </c>
      <c r="K920" s="81">
        <v>6377947</v>
      </c>
      <c r="L920" s="81">
        <v>6052750</v>
      </c>
      <c r="M920" s="81">
        <v>325197</v>
      </c>
      <c r="N920" s="82">
        <v>1.39071377802943E-2</v>
      </c>
    </row>
    <row r="921" spans="1:14" ht="14.25" hidden="1" customHeight="1">
      <c r="A921" s="78">
        <v>2026</v>
      </c>
      <c r="B921" s="78">
        <v>3</v>
      </c>
      <c r="C921" s="79" t="s">
        <v>197</v>
      </c>
      <c r="D921" s="78" t="s">
        <v>110</v>
      </c>
      <c r="E921" s="80" t="s">
        <v>111</v>
      </c>
      <c r="F921" s="78" t="str">
        <f>VLOOKUP('표1'!$E921,구분!$C$3:$D$72,2,0)</f>
        <v>동일</v>
      </c>
      <c r="G921" s="81">
        <v>100900370</v>
      </c>
      <c r="H921" s="81">
        <v>62541502</v>
      </c>
      <c r="I921" s="81">
        <v>56855911</v>
      </c>
      <c r="J921" s="81">
        <v>30367111</v>
      </c>
      <c r="K921" s="81">
        <v>26488800</v>
      </c>
      <c r="L921" s="81">
        <v>13866810</v>
      </c>
      <c r="M921" s="81">
        <v>12621990</v>
      </c>
      <c r="N921" s="82">
        <v>0.12509359480049501</v>
      </c>
    </row>
    <row r="922" spans="1:14" ht="14.25" hidden="1" customHeight="1">
      <c r="A922" s="78">
        <v>2026</v>
      </c>
      <c r="B922" s="78">
        <v>3</v>
      </c>
      <c r="C922" s="79" t="s">
        <v>197</v>
      </c>
      <c r="D922" s="78" t="s">
        <v>112</v>
      </c>
      <c r="E922" s="80" t="s">
        <v>113</v>
      </c>
      <c r="F922" s="78" t="str">
        <f>VLOOKUP('표1'!$E922,구분!$C$3:$D$72,2,0)</f>
        <v>동일</v>
      </c>
      <c r="G922" s="81">
        <v>60259620</v>
      </c>
      <c r="H922" s="81">
        <v>37968468</v>
      </c>
      <c r="I922" s="81">
        <v>34516789</v>
      </c>
      <c r="J922" s="81">
        <v>18327830</v>
      </c>
      <c r="K922" s="81">
        <v>16188959</v>
      </c>
      <c r="L922" s="81">
        <v>7877820</v>
      </c>
      <c r="M922" s="81">
        <v>8311139</v>
      </c>
      <c r="N922" s="82">
        <v>0.137922193999896</v>
      </c>
    </row>
    <row r="923" spans="1:14" ht="14.25" hidden="1" customHeight="1">
      <c r="A923" s="78">
        <v>2026</v>
      </c>
      <c r="B923" s="78">
        <v>3</v>
      </c>
      <c r="C923" s="79" t="s">
        <v>197</v>
      </c>
      <c r="D923" s="78" t="s">
        <v>116</v>
      </c>
      <c r="E923" s="80" t="s">
        <v>117</v>
      </c>
      <c r="F923" s="78" t="str">
        <f>VLOOKUP('표1'!$E923,구분!$C$3:$D$72,2,0)</f>
        <v>동일</v>
      </c>
      <c r="G923" s="81">
        <v>18125480</v>
      </c>
      <c r="H923" s="81">
        <v>11525649</v>
      </c>
      <c r="I923" s="81">
        <v>10477863</v>
      </c>
      <c r="J923" s="81">
        <v>5795567</v>
      </c>
      <c r="K923" s="81">
        <v>4682296</v>
      </c>
      <c r="L923" s="81">
        <v>5846360</v>
      </c>
      <c r="M923" s="81">
        <v>-1164064</v>
      </c>
      <c r="N923" s="82">
        <v>-6.4222519900162603E-2</v>
      </c>
    </row>
    <row r="924" spans="1:14" ht="14.25" hidden="1" customHeight="1">
      <c r="A924" s="78">
        <v>2026</v>
      </c>
      <c r="B924" s="78">
        <v>3</v>
      </c>
      <c r="C924" s="79" t="s">
        <v>197</v>
      </c>
      <c r="D924" s="78" t="s">
        <v>118</v>
      </c>
      <c r="E924" s="80" t="s">
        <v>119</v>
      </c>
      <c r="F924" s="78" t="str">
        <f>VLOOKUP('표1'!$E924,구분!$C$3:$D$72,2,0)</f>
        <v>동일</v>
      </c>
      <c r="G924" s="81">
        <v>64158270</v>
      </c>
      <c r="H924" s="81">
        <v>39778126</v>
      </c>
      <c r="I924" s="81">
        <v>36161933</v>
      </c>
      <c r="J924" s="81">
        <v>16934193</v>
      </c>
      <c r="K924" s="81">
        <v>19227740</v>
      </c>
      <c r="L924" s="81">
        <v>9233640</v>
      </c>
      <c r="M924" s="81">
        <v>9994100</v>
      </c>
      <c r="N924" s="82">
        <v>0.155772591748499</v>
      </c>
    </row>
    <row r="925" spans="1:14" ht="14.25" hidden="1" customHeight="1">
      <c r="A925" s="78">
        <v>2026</v>
      </c>
      <c r="B925" s="78">
        <v>3</v>
      </c>
      <c r="C925" s="79" t="s">
        <v>197</v>
      </c>
      <c r="D925" s="78" t="s">
        <v>180</v>
      </c>
      <c r="E925" s="80" t="s">
        <v>181</v>
      </c>
      <c r="F925" s="78" t="str">
        <f>VLOOKUP('표1'!$E925,구분!$C$3:$D$72,2,0)</f>
        <v>동일</v>
      </c>
      <c r="G925" s="81">
        <v>56498340</v>
      </c>
      <c r="H925" s="81">
        <v>36495837</v>
      </c>
      <c r="I925" s="81">
        <v>33178034</v>
      </c>
      <c r="J925" s="81">
        <v>17085980</v>
      </c>
      <c r="K925" s="81">
        <v>16092054</v>
      </c>
      <c r="L925" s="81">
        <v>9116260</v>
      </c>
      <c r="M925" s="81">
        <v>6975794</v>
      </c>
      <c r="N925" s="82">
        <v>0.123469008115991</v>
      </c>
    </row>
    <row r="926" spans="1:14" ht="14.25" hidden="1" customHeight="1">
      <c r="A926" s="78">
        <v>2026</v>
      </c>
      <c r="B926" s="78">
        <v>3</v>
      </c>
      <c r="C926" s="79" t="s">
        <v>197</v>
      </c>
      <c r="D926" s="78" t="s">
        <v>120</v>
      </c>
      <c r="E926" s="80" t="s">
        <v>121</v>
      </c>
      <c r="F926" s="78" t="str">
        <f>VLOOKUP('표1'!$E926,구분!$C$3:$D$72,2,0)</f>
        <v>동일</v>
      </c>
      <c r="G926" s="81">
        <v>80152600</v>
      </c>
      <c r="H926" s="81">
        <v>50851866</v>
      </c>
      <c r="I926" s="81">
        <v>46228969</v>
      </c>
      <c r="J926" s="81">
        <v>22225177</v>
      </c>
      <c r="K926" s="81">
        <v>24003792</v>
      </c>
      <c r="L926" s="81">
        <v>9975740</v>
      </c>
      <c r="M926" s="81">
        <v>14028052</v>
      </c>
      <c r="N926" s="82">
        <v>0.175016805443616</v>
      </c>
    </row>
    <row r="927" spans="1:14" ht="14.25" hidden="1" customHeight="1">
      <c r="A927" s="78">
        <v>2026</v>
      </c>
      <c r="B927" s="78">
        <v>3</v>
      </c>
      <c r="C927" s="79" t="s">
        <v>197</v>
      </c>
      <c r="D927" s="78" t="s">
        <v>122</v>
      </c>
      <c r="E927" s="80" t="s">
        <v>123</v>
      </c>
      <c r="F927" s="78" t="str">
        <f>VLOOKUP('표1'!$E927,구분!$C$3:$D$72,2,0)</f>
        <v>동일</v>
      </c>
      <c r="G927" s="81">
        <v>44470600</v>
      </c>
      <c r="H927" s="81">
        <v>28372539</v>
      </c>
      <c r="I927" s="81">
        <v>25793217</v>
      </c>
      <c r="J927" s="81">
        <v>12496678</v>
      </c>
      <c r="K927" s="81">
        <v>13296539</v>
      </c>
      <c r="L927" s="81">
        <v>7773880</v>
      </c>
      <c r="M927" s="81">
        <v>5522659</v>
      </c>
      <c r="N927" s="82">
        <v>0.12418674360139099</v>
      </c>
    </row>
    <row r="928" spans="1:14" ht="14.25" hidden="1" customHeight="1">
      <c r="A928" s="78">
        <v>2026</v>
      </c>
      <c r="B928" s="78">
        <v>3</v>
      </c>
      <c r="C928" s="79" t="s">
        <v>197</v>
      </c>
      <c r="D928" s="78" t="s">
        <v>124</v>
      </c>
      <c r="E928" s="80" t="s">
        <v>125</v>
      </c>
      <c r="F928" s="78" t="str">
        <f>VLOOKUP('표1'!$E928,구분!$C$3:$D$72,2,0)</f>
        <v>동일</v>
      </c>
      <c r="G928" s="81">
        <v>101244370</v>
      </c>
      <c r="H928" s="81">
        <v>62759810</v>
      </c>
      <c r="I928" s="81">
        <v>57054373</v>
      </c>
      <c r="J928" s="81">
        <v>28723652</v>
      </c>
      <c r="K928" s="81">
        <v>28330721</v>
      </c>
      <c r="L928" s="81">
        <v>8326930</v>
      </c>
      <c r="M928" s="81">
        <v>20003791</v>
      </c>
      <c r="N928" s="82">
        <v>0.19757929255720599</v>
      </c>
    </row>
    <row r="929" spans="1:14" ht="14.25" hidden="1" customHeight="1">
      <c r="A929" s="78">
        <v>2026</v>
      </c>
      <c r="B929" s="78">
        <v>3</v>
      </c>
      <c r="C929" s="79" t="s">
        <v>197</v>
      </c>
      <c r="D929" s="78" t="s">
        <v>126</v>
      </c>
      <c r="E929" s="80" t="s">
        <v>127</v>
      </c>
      <c r="F929" s="78" t="str">
        <f>VLOOKUP('표1'!$E929,구분!$C$3:$D$72,2,0)</f>
        <v>동일</v>
      </c>
      <c r="G929" s="81">
        <v>69825020</v>
      </c>
      <c r="H929" s="81">
        <v>44186284</v>
      </c>
      <c r="I929" s="81">
        <v>40169349</v>
      </c>
      <c r="J929" s="81">
        <v>20047731</v>
      </c>
      <c r="K929" s="81">
        <v>20121618</v>
      </c>
      <c r="L929" s="81">
        <v>10474760</v>
      </c>
      <c r="M929" s="81">
        <v>9646858</v>
      </c>
      <c r="N929" s="82">
        <v>0.13815761169849999</v>
      </c>
    </row>
    <row r="930" spans="1:14" ht="14.25" customHeight="1">
      <c r="A930" s="78">
        <v>2026</v>
      </c>
      <c r="B930" s="78">
        <v>3</v>
      </c>
      <c r="C930" s="79" t="s">
        <v>197</v>
      </c>
      <c r="D930" s="78" t="s">
        <v>128</v>
      </c>
      <c r="E930" s="80" t="s">
        <v>129</v>
      </c>
      <c r="F930" s="78" t="str">
        <f>VLOOKUP('표1'!$E930,구분!$C$3:$D$72,2,0)</f>
        <v>동일</v>
      </c>
      <c r="G930" s="81">
        <v>105372690</v>
      </c>
      <c r="H930" s="81">
        <v>66569496</v>
      </c>
      <c r="I930" s="81">
        <v>60517724</v>
      </c>
      <c r="J930" s="81">
        <v>31175460</v>
      </c>
      <c r="K930" s="81">
        <v>29342264</v>
      </c>
      <c r="L930" s="81">
        <v>15220810</v>
      </c>
      <c r="M930" s="81">
        <v>14121454</v>
      </c>
      <c r="N930" s="82">
        <v>0.13401436368379699</v>
      </c>
    </row>
    <row r="931" spans="1:14" ht="14.25" hidden="1" customHeight="1">
      <c r="A931" s="78">
        <v>2026</v>
      </c>
      <c r="B931" s="78">
        <v>3</v>
      </c>
      <c r="C931" s="79" t="s">
        <v>197</v>
      </c>
      <c r="D931" s="78" t="s">
        <v>130</v>
      </c>
      <c r="E931" s="80" t="s">
        <v>131</v>
      </c>
      <c r="F931" s="78" t="str">
        <f>VLOOKUP('표1'!$E931,구분!$C$3:$D$72,2,0)</f>
        <v>동일</v>
      </c>
      <c r="G931" s="81">
        <v>53565730</v>
      </c>
      <c r="H931" s="81">
        <v>33744128</v>
      </c>
      <c r="I931" s="81">
        <v>30676480</v>
      </c>
      <c r="J931" s="81">
        <v>14391890</v>
      </c>
      <c r="K931" s="81">
        <v>16284590</v>
      </c>
      <c r="L931" s="81">
        <v>6932960</v>
      </c>
      <c r="M931" s="81">
        <v>9351630</v>
      </c>
      <c r="N931" s="82">
        <v>0.174582330904479</v>
      </c>
    </row>
    <row r="932" spans="1:14" ht="14.25" hidden="1" customHeight="1">
      <c r="A932" s="78">
        <v>2026</v>
      </c>
      <c r="B932" s="78">
        <v>3</v>
      </c>
      <c r="C932" s="79" t="s">
        <v>197</v>
      </c>
      <c r="D932" s="78" t="s">
        <v>132</v>
      </c>
      <c r="E932" s="80" t="s">
        <v>133</v>
      </c>
      <c r="F932" s="78" t="str">
        <f>VLOOKUP('표1'!$E932,구분!$C$3:$D$72,2,0)</f>
        <v>동일</v>
      </c>
      <c r="G932" s="81">
        <v>27491000</v>
      </c>
      <c r="H932" s="81">
        <v>17595713</v>
      </c>
      <c r="I932" s="81">
        <v>15996103</v>
      </c>
      <c r="J932" s="81">
        <v>7465252</v>
      </c>
      <c r="K932" s="81">
        <v>8530851</v>
      </c>
      <c r="L932" s="81">
        <v>6272320</v>
      </c>
      <c r="M932" s="81">
        <v>2258531</v>
      </c>
      <c r="N932" s="82">
        <v>8.2155287184896897E-2</v>
      </c>
    </row>
    <row r="933" spans="1:14" ht="14.25" hidden="1" customHeight="1">
      <c r="A933" s="78">
        <v>2026</v>
      </c>
      <c r="B933" s="78">
        <v>3</v>
      </c>
      <c r="C933" s="79" t="s">
        <v>197</v>
      </c>
      <c r="D933" s="78" t="s">
        <v>134</v>
      </c>
      <c r="E933" s="80" t="s">
        <v>135</v>
      </c>
      <c r="F933" s="78" t="str">
        <f>VLOOKUP('표1'!$E933,구분!$C$3:$D$72,2,0)</f>
        <v>동일</v>
      </c>
      <c r="G933" s="81">
        <v>40031410</v>
      </c>
      <c r="H933" s="81">
        <v>25188899</v>
      </c>
      <c r="I933" s="81">
        <v>22898999</v>
      </c>
      <c r="J933" s="81">
        <v>12017241</v>
      </c>
      <c r="K933" s="81">
        <v>10881758</v>
      </c>
      <c r="L933" s="81">
        <v>6904090</v>
      </c>
      <c r="M933" s="81">
        <v>3977668</v>
      </c>
      <c r="N933" s="82">
        <v>9.9363674674461902E-2</v>
      </c>
    </row>
    <row r="934" spans="1:14" ht="14.25" hidden="1" customHeight="1">
      <c r="A934" s="78">
        <v>2026</v>
      </c>
      <c r="B934" s="78">
        <v>3</v>
      </c>
      <c r="C934" s="79" t="s">
        <v>197</v>
      </c>
      <c r="D934" s="78" t="s">
        <v>136</v>
      </c>
      <c r="E934" s="80" t="s">
        <v>137</v>
      </c>
      <c r="F934" s="78" t="str">
        <f>VLOOKUP('표1'!$E934,구분!$C$3:$D$72,2,0)</f>
        <v>동일</v>
      </c>
      <c r="G934" s="81">
        <v>49094000</v>
      </c>
      <c r="H934" s="81">
        <v>31176823</v>
      </c>
      <c r="I934" s="81">
        <v>28342566</v>
      </c>
      <c r="J934" s="81">
        <v>14581306</v>
      </c>
      <c r="K934" s="81">
        <v>13761260</v>
      </c>
      <c r="L934" s="81">
        <v>6698770</v>
      </c>
      <c r="M934" s="81">
        <v>7062490</v>
      </c>
      <c r="N934" s="82">
        <v>0.14385647940685201</v>
      </c>
    </row>
    <row r="935" spans="1:14" ht="14.25" hidden="1" customHeight="1">
      <c r="A935" s="78">
        <v>2026</v>
      </c>
      <c r="B935" s="78">
        <v>3</v>
      </c>
      <c r="C935" s="79" t="s">
        <v>197</v>
      </c>
      <c r="D935" s="78" t="s">
        <v>138</v>
      </c>
      <c r="E935" s="80" t="s">
        <v>139</v>
      </c>
      <c r="F935" s="78" t="str">
        <f>VLOOKUP('표1'!$E935,구분!$C$3:$D$72,2,0)</f>
        <v>동일</v>
      </c>
      <c r="G935" s="81">
        <v>35283410</v>
      </c>
      <c r="H935" s="81">
        <v>22228554</v>
      </c>
      <c r="I935" s="81">
        <v>20207776</v>
      </c>
      <c r="J935" s="81">
        <v>9609121</v>
      </c>
      <c r="K935" s="81">
        <v>10598655</v>
      </c>
      <c r="L935" s="81">
        <v>4772030</v>
      </c>
      <c r="M935" s="81">
        <v>5826625</v>
      </c>
      <c r="N935" s="82">
        <v>0.16513780839210301</v>
      </c>
    </row>
    <row r="936" spans="1:14" ht="14.25" hidden="1" customHeight="1">
      <c r="A936" s="78">
        <v>2026</v>
      </c>
      <c r="B936" s="78">
        <v>3</v>
      </c>
      <c r="C936" s="79" t="s">
        <v>197</v>
      </c>
      <c r="D936" s="78" t="s">
        <v>140</v>
      </c>
      <c r="E936" s="80" t="s">
        <v>141</v>
      </c>
      <c r="F936" s="78" t="str">
        <f>VLOOKUP('표1'!$E936,구분!$C$3:$D$72,2,0)</f>
        <v>동일</v>
      </c>
      <c r="G936" s="81">
        <v>55329440</v>
      </c>
      <c r="H936" s="81">
        <v>34857566</v>
      </c>
      <c r="I936" s="81">
        <v>31688696</v>
      </c>
      <c r="J936" s="81">
        <v>15234234</v>
      </c>
      <c r="K936" s="81">
        <v>16454462</v>
      </c>
      <c r="L936" s="81">
        <v>7652010</v>
      </c>
      <c r="M936" s="81">
        <v>8802452</v>
      </c>
      <c r="N936" s="82">
        <v>0.15909165174995499</v>
      </c>
    </row>
    <row r="937" spans="1:14" ht="14.25" hidden="1" customHeight="1">
      <c r="A937" s="78">
        <v>2026</v>
      </c>
      <c r="B937" s="78">
        <v>3</v>
      </c>
      <c r="C937" s="79" t="s">
        <v>197</v>
      </c>
      <c r="D937" s="78" t="s">
        <v>142</v>
      </c>
      <c r="E937" s="80" t="s">
        <v>143</v>
      </c>
      <c r="F937" s="78" t="str">
        <f>VLOOKUP('표1'!$E937,구분!$C$3:$D$72,2,0)</f>
        <v>동일</v>
      </c>
      <c r="G937" s="81">
        <v>44789350</v>
      </c>
      <c r="H937" s="81">
        <v>28545962</v>
      </c>
      <c r="I937" s="81">
        <v>25950875</v>
      </c>
      <c r="J937" s="81">
        <v>11826834</v>
      </c>
      <c r="K937" s="81">
        <v>14124041</v>
      </c>
      <c r="L937" s="81">
        <v>5427180</v>
      </c>
      <c r="M937" s="81">
        <v>8696861</v>
      </c>
      <c r="N937" s="82">
        <v>0.19417252092294299</v>
      </c>
    </row>
    <row r="938" spans="1:14" ht="14.25" hidden="1" customHeight="1">
      <c r="A938" s="78">
        <v>2026</v>
      </c>
      <c r="B938" s="78">
        <v>3</v>
      </c>
      <c r="C938" s="79" t="s">
        <v>197</v>
      </c>
      <c r="D938" s="78" t="s">
        <v>144</v>
      </c>
      <c r="E938" s="80" t="s">
        <v>145</v>
      </c>
      <c r="F938" s="78" t="str">
        <f>VLOOKUP('표1'!$E938,구분!$C$3:$D$72,2,0)</f>
        <v>동일</v>
      </c>
      <c r="G938" s="81">
        <v>35317860</v>
      </c>
      <c r="H938" s="81">
        <v>22458782</v>
      </c>
      <c r="I938" s="81">
        <v>20417075</v>
      </c>
      <c r="J938" s="81">
        <v>10969692</v>
      </c>
      <c r="K938" s="81">
        <v>9447383</v>
      </c>
      <c r="L938" s="81">
        <v>6478620</v>
      </c>
      <c r="M938" s="81">
        <v>2968763</v>
      </c>
      <c r="N938" s="82">
        <v>8.4058405577234901E-2</v>
      </c>
    </row>
    <row r="939" spans="1:14" ht="14.25" hidden="1" customHeight="1">
      <c r="A939" s="78">
        <v>2026</v>
      </c>
      <c r="B939" s="78">
        <v>3</v>
      </c>
      <c r="C939" s="79" t="s">
        <v>197</v>
      </c>
      <c r="D939" s="78" t="s">
        <v>146</v>
      </c>
      <c r="E939" s="80" t="s">
        <v>147</v>
      </c>
      <c r="F939" s="78" t="str">
        <f>VLOOKUP('표1'!$E939,구분!$C$3:$D$72,2,0)</f>
        <v>동일</v>
      </c>
      <c r="G939" s="81">
        <v>95895280</v>
      </c>
      <c r="H939" s="81">
        <v>60055393</v>
      </c>
      <c r="I939" s="81">
        <v>54595812</v>
      </c>
      <c r="J939" s="81">
        <v>27076694</v>
      </c>
      <c r="K939" s="81">
        <v>27519118</v>
      </c>
      <c r="L939" s="81">
        <v>10925860</v>
      </c>
      <c r="M939" s="81">
        <v>16593258</v>
      </c>
      <c r="N939" s="82">
        <v>0.17303519005314999</v>
      </c>
    </row>
    <row r="940" spans="1:14" ht="14.25" hidden="1" customHeight="1">
      <c r="A940" s="78">
        <v>2026</v>
      </c>
      <c r="B940" s="78">
        <v>3</v>
      </c>
      <c r="C940" s="79" t="s">
        <v>197</v>
      </c>
      <c r="D940" s="78" t="s">
        <v>148</v>
      </c>
      <c r="E940" s="80" t="s">
        <v>149</v>
      </c>
      <c r="F940" s="78" t="str">
        <f>VLOOKUP('표1'!$E940,구분!$C$3:$D$72,2,0)</f>
        <v>동일</v>
      </c>
      <c r="G940" s="81">
        <v>23402820</v>
      </c>
      <c r="H940" s="81">
        <v>14852766</v>
      </c>
      <c r="I940" s="81">
        <v>13502515</v>
      </c>
      <c r="J940" s="81">
        <v>6429580</v>
      </c>
      <c r="K940" s="81">
        <v>7072935</v>
      </c>
      <c r="L940" s="81">
        <v>4784930</v>
      </c>
      <c r="M940" s="81">
        <v>2288005</v>
      </c>
      <c r="N940" s="82">
        <v>9.7766209371349305E-2</v>
      </c>
    </row>
    <row r="941" spans="1:14" ht="14.25" hidden="1" customHeight="1">
      <c r="A941" s="78">
        <v>2026</v>
      </c>
      <c r="B941" s="78">
        <v>3</v>
      </c>
      <c r="C941" s="79" t="s">
        <v>197</v>
      </c>
      <c r="D941" s="78" t="s">
        <v>150</v>
      </c>
      <c r="E941" s="80" t="s">
        <v>151</v>
      </c>
      <c r="F941" s="78" t="str">
        <f>VLOOKUP('표1'!$E941,구분!$C$3:$D$72,2,0)</f>
        <v>동일</v>
      </c>
      <c r="G941" s="81">
        <v>35722170</v>
      </c>
      <c r="H941" s="81">
        <v>22980250</v>
      </c>
      <c r="I941" s="81">
        <v>20891136</v>
      </c>
      <c r="J941" s="81">
        <v>10984887</v>
      </c>
      <c r="K941" s="81">
        <v>9906249</v>
      </c>
      <c r="L941" s="81">
        <v>6024230</v>
      </c>
      <c r="M941" s="81">
        <v>3882019</v>
      </c>
      <c r="N941" s="82">
        <v>0.10867254144975</v>
      </c>
    </row>
    <row r="942" spans="1:14" ht="15" hidden="1" customHeight="1">
      <c r="A942" s="78">
        <v>2026</v>
      </c>
      <c r="B942" s="78">
        <v>3</v>
      </c>
      <c r="C942" s="79" t="s">
        <v>197</v>
      </c>
      <c r="D942" s="78" t="s">
        <v>152</v>
      </c>
      <c r="E942" s="78" t="s">
        <v>153</v>
      </c>
      <c r="F942" s="78" t="str">
        <f>VLOOKUP('표1'!$E942,구분!$C$3:$D$72,2,0)</f>
        <v>동일</v>
      </c>
      <c r="G942" s="81">
        <v>34744190</v>
      </c>
      <c r="H942" s="81">
        <v>21611621</v>
      </c>
      <c r="I942" s="81">
        <v>19646928</v>
      </c>
      <c r="J942" s="81">
        <v>9269951</v>
      </c>
      <c r="K942" s="81">
        <v>10376977</v>
      </c>
      <c r="L942" s="81">
        <v>5951750</v>
      </c>
      <c r="M942" s="81">
        <v>4425227</v>
      </c>
      <c r="N942" s="82">
        <v>0.127365956725427</v>
      </c>
    </row>
    <row r="943" spans="1:14" ht="15" hidden="1" customHeight="1">
      <c r="A943" s="78">
        <v>2026</v>
      </c>
      <c r="B943" s="78">
        <v>3</v>
      </c>
      <c r="C943" s="79" t="s">
        <v>197</v>
      </c>
      <c r="D943" s="78" t="s">
        <v>189</v>
      </c>
      <c r="E943" s="78" t="s">
        <v>190</v>
      </c>
      <c r="F943" s="78" t="str">
        <f>VLOOKUP('표1'!$E943,구분!$C$3:$D$72,2,0)</f>
        <v>동일</v>
      </c>
      <c r="G943" s="81">
        <v>43430100</v>
      </c>
      <c r="H943" s="81">
        <v>27621378</v>
      </c>
      <c r="I943" s="81">
        <v>25110344</v>
      </c>
      <c r="J943" s="81">
        <v>12860470</v>
      </c>
      <c r="K943" s="81">
        <v>12249874</v>
      </c>
      <c r="L943" s="81">
        <v>8181880</v>
      </c>
      <c r="M943" s="81">
        <v>4067994</v>
      </c>
      <c r="N943" s="82">
        <v>9.3667617620037696E-2</v>
      </c>
    </row>
    <row r="944" spans="1:14" ht="14.25" hidden="1" customHeight="1">
      <c r="A944" s="78">
        <v>2026</v>
      </c>
      <c r="B944" s="78">
        <v>3</v>
      </c>
      <c r="C944" s="79" t="s">
        <v>197</v>
      </c>
      <c r="D944" s="78" t="s">
        <v>154</v>
      </c>
      <c r="E944" s="80" t="s">
        <v>155</v>
      </c>
      <c r="F944" s="78" t="str">
        <f>VLOOKUP('표1'!$E944,구분!$C$3:$D$72,2,0)</f>
        <v>동일</v>
      </c>
      <c r="G944" s="81">
        <v>74861540</v>
      </c>
      <c r="H944" s="81">
        <v>47162802</v>
      </c>
      <c r="I944" s="81">
        <v>42875275</v>
      </c>
      <c r="J944" s="81">
        <v>21617413</v>
      </c>
      <c r="K944" s="81">
        <v>21257862</v>
      </c>
      <c r="L944" s="81">
        <v>11776830</v>
      </c>
      <c r="M944" s="81">
        <v>9481032</v>
      </c>
      <c r="N944" s="82">
        <v>0.12664756829741999</v>
      </c>
    </row>
    <row r="945" spans="1:14" ht="14.25" hidden="1" customHeight="1">
      <c r="A945" s="78">
        <v>2026</v>
      </c>
      <c r="B945" s="78">
        <v>3</v>
      </c>
      <c r="C945" s="79" t="s">
        <v>197</v>
      </c>
      <c r="D945" s="78" t="s">
        <v>156</v>
      </c>
      <c r="E945" s="80" t="s">
        <v>157</v>
      </c>
      <c r="F945" s="78" t="str">
        <f>VLOOKUP('표1'!$E945,구분!$C$3:$D$72,2,0)</f>
        <v>동일</v>
      </c>
      <c r="G945" s="81">
        <v>59122170</v>
      </c>
      <c r="H945" s="81">
        <v>45228497</v>
      </c>
      <c r="I945" s="81">
        <v>41116815</v>
      </c>
      <c r="J945" s="81">
        <v>19773306</v>
      </c>
      <c r="K945" s="81">
        <v>21343509</v>
      </c>
      <c r="L945" s="81">
        <v>7982510</v>
      </c>
      <c r="M945" s="81">
        <v>13360999</v>
      </c>
      <c r="N945" s="82">
        <v>0.225989658363352</v>
      </c>
    </row>
    <row r="946" spans="1:14" ht="14.25" hidden="1" customHeight="1">
      <c r="A946" s="78">
        <v>2026</v>
      </c>
      <c r="B946" s="78">
        <v>3</v>
      </c>
      <c r="C946" s="79" t="s">
        <v>197</v>
      </c>
      <c r="D946" s="78" t="s">
        <v>158</v>
      </c>
      <c r="E946" s="80" t="s">
        <v>159</v>
      </c>
      <c r="F946" s="78" t="str">
        <f>VLOOKUP('표1'!$E946,구분!$C$3:$D$72,2,0)</f>
        <v>동일</v>
      </c>
      <c r="G946" s="81">
        <v>55359690</v>
      </c>
      <c r="H946" s="81">
        <v>42626987</v>
      </c>
      <c r="I946" s="81">
        <v>38751806</v>
      </c>
      <c r="J946" s="81">
        <v>16587500</v>
      </c>
      <c r="K946" s="81">
        <v>22164306</v>
      </c>
      <c r="L946" s="81">
        <v>8816570</v>
      </c>
      <c r="M946" s="81">
        <v>13347736</v>
      </c>
      <c r="N946" s="82">
        <v>0.24110929811926299</v>
      </c>
    </row>
    <row r="947" spans="1:14" ht="14.25" hidden="1" customHeight="1">
      <c r="A947" s="78">
        <v>2026</v>
      </c>
      <c r="B947" s="78">
        <v>3</v>
      </c>
      <c r="C947" s="79" t="s">
        <v>197</v>
      </c>
      <c r="D947" s="78" t="s">
        <v>160</v>
      </c>
      <c r="E947" s="80" t="s">
        <v>161</v>
      </c>
      <c r="F947" s="78" t="str">
        <f>VLOOKUP('표1'!$E947,구분!$C$3:$D$72,2,0)</f>
        <v>동일</v>
      </c>
      <c r="G947" s="81">
        <v>35205690</v>
      </c>
      <c r="H947" s="81">
        <v>26932381</v>
      </c>
      <c r="I947" s="81">
        <v>24483983</v>
      </c>
      <c r="J947" s="81">
        <v>10615043</v>
      </c>
      <c r="K947" s="81">
        <v>13868940</v>
      </c>
      <c r="L947" s="81">
        <v>6956410</v>
      </c>
      <c r="M947" s="81">
        <v>6912530</v>
      </c>
      <c r="N947" s="82">
        <v>0.196346954142924</v>
      </c>
    </row>
    <row r="948" spans="1:14" ht="14.25" hidden="1" customHeight="1">
      <c r="A948" s="78">
        <v>2026</v>
      </c>
      <c r="B948" s="78">
        <v>3</v>
      </c>
      <c r="C948" s="79" t="s">
        <v>197</v>
      </c>
      <c r="D948" s="78" t="s">
        <v>162</v>
      </c>
      <c r="E948" s="80" t="s">
        <v>163</v>
      </c>
      <c r="F948" s="78" t="str">
        <f>VLOOKUP('표1'!$E948,구분!$C$3:$D$72,2,0)</f>
        <v>동일</v>
      </c>
      <c r="G948" s="81">
        <v>22176850</v>
      </c>
      <c r="H948" s="81">
        <v>17076180</v>
      </c>
      <c r="I948" s="81">
        <v>15523800</v>
      </c>
      <c r="J948" s="81">
        <v>7250492</v>
      </c>
      <c r="K948" s="81">
        <v>8273308</v>
      </c>
      <c r="L948" s="81">
        <v>5019570</v>
      </c>
      <c r="M948" s="81">
        <v>3253738</v>
      </c>
      <c r="N948" s="82">
        <v>0.146717771008958</v>
      </c>
    </row>
    <row r="949" spans="1:14" ht="14.25" hidden="1" customHeight="1">
      <c r="A949" s="78">
        <v>2026</v>
      </c>
      <c r="B949" s="78">
        <v>3</v>
      </c>
      <c r="C949" s="79" t="s">
        <v>197</v>
      </c>
      <c r="D949" s="78" t="s">
        <v>164</v>
      </c>
      <c r="E949" s="80" t="s">
        <v>165</v>
      </c>
      <c r="F949" s="78" t="str">
        <f>VLOOKUP('표1'!$E949,구분!$C$3:$D$72,2,0)</f>
        <v>동일</v>
      </c>
      <c r="G949" s="81">
        <v>37292440</v>
      </c>
      <c r="H949" s="81">
        <v>28715211</v>
      </c>
      <c r="I949" s="81">
        <v>26104737</v>
      </c>
      <c r="J949" s="81">
        <v>11733077</v>
      </c>
      <c r="K949" s="81">
        <v>14371660</v>
      </c>
      <c r="L949" s="81">
        <v>6757650</v>
      </c>
      <c r="M949" s="81">
        <v>7614010</v>
      </c>
      <c r="N949" s="82">
        <v>0.20417033586432001</v>
      </c>
    </row>
    <row r="950" spans="1:14" ht="14.25" hidden="1" customHeight="1">
      <c r="A950" s="78">
        <v>2026</v>
      </c>
      <c r="B950" s="78">
        <v>3</v>
      </c>
      <c r="C950" s="79" t="s">
        <v>197</v>
      </c>
      <c r="D950" s="78" t="s">
        <v>166</v>
      </c>
      <c r="E950" s="80" t="s">
        <v>167</v>
      </c>
      <c r="F950" s="78" t="str">
        <f>VLOOKUP('표1'!$E950,구분!$C$3:$D$72,2,0)</f>
        <v>동일</v>
      </c>
      <c r="G950" s="81">
        <v>15613310</v>
      </c>
      <c r="H950" s="81">
        <v>12022257</v>
      </c>
      <c r="I950" s="81">
        <v>10929325</v>
      </c>
      <c r="J950" s="81">
        <v>5149849</v>
      </c>
      <c r="K950" s="81">
        <v>5779476</v>
      </c>
      <c r="L950" s="81">
        <v>5215180</v>
      </c>
      <c r="M950" s="81">
        <v>564296</v>
      </c>
      <c r="N950" s="82">
        <v>3.6141983986739498E-2</v>
      </c>
    </row>
    <row r="951" spans="1:14" ht="14.25" hidden="1" customHeight="1">
      <c r="A951" s="78">
        <v>2026</v>
      </c>
      <c r="B951" s="78">
        <v>3</v>
      </c>
      <c r="C951" s="79" t="s">
        <v>197</v>
      </c>
      <c r="D951" s="78" t="s">
        <v>168</v>
      </c>
      <c r="E951" s="80" t="s">
        <v>169</v>
      </c>
      <c r="F951" s="78" t="str">
        <f>VLOOKUP('표1'!$E951,구분!$C$3:$D$72,2,0)</f>
        <v>동일</v>
      </c>
      <c r="G951" s="81">
        <v>37799430</v>
      </c>
      <c r="H951" s="81">
        <v>29105574</v>
      </c>
      <c r="I951" s="81">
        <v>26459613</v>
      </c>
      <c r="J951" s="81">
        <v>11384943</v>
      </c>
      <c r="K951" s="81">
        <v>15074670</v>
      </c>
      <c r="L951" s="81">
        <v>6819930</v>
      </c>
      <c r="M951" s="81">
        <v>8254740</v>
      </c>
      <c r="N951" s="82">
        <v>0.21838265815119401</v>
      </c>
    </row>
    <row r="952" spans="1:14" ht="15" hidden="1" customHeight="1">
      <c r="A952" s="78">
        <v>2026</v>
      </c>
      <c r="B952" s="78">
        <v>3</v>
      </c>
      <c r="C952" s="79" t="s">
        <v>197</v>
      </c>
      <c r="D952" s="78" t="s">
        <v>172</v>
      </c>
      <c r="E952" s="78" t="s">
        <v>173</v>
      </c>
      <c r="F952" s="78" t="str">
        <f>VLOOKUP('표1'!$E952,구분!$C$3:$D$72,2,0)</f>
        <v>동일</v>
      </c>
      <c r="G952" s="81">
        <v>29638910</v>
      </c>
      <c r="H952" s="81">
        <v>23118351</v>
      </c>
      <c r="I952" s="81">
        <v>21016683</v>
      </c>
      <c r="J952" s="81">
        <v>10042903</v>
      </c>
      <c r="K952" s="81">
        <v>10973780</v>
      </c>
      <c r="L952" s="81">
        <v>8078200</v>
      </c>
      <c r="M952" s="81">
        <v>2895580</v>
      </c>
      <c r="N952" s="82">
        <v>9.7695225634141097E-2</v>
      </c>
    </row>
    <row r="953" spans="1:14" ht="14.25" hidden="1" customHeight="1">
      <c r="A953" s="78">
        <v>2026</v>
      </c>
      <c r="B953" s="78">
        <v>3</v>
      </c>
      <c r="C953" s="79" t="s">
        <v>197</v>
      </c>
      <c r="D953" s="78" t="s">
        <v>174</v>
      </c>
      <c r="E953" s="80" t="s">
        <v>175</v>
      </c>
      <c r="F953" s="78" t="str">
        <f>VLOOKUP('표1'!$E953,구분!$C$3:$D$72,2,0)</f>
        <v>동일</v>
      </c>
      <c r="G953" s="81">
        <v>18973750</v>
      </c>
      <c r="H953" s="81">
        <v>15937951</v>
      </c>
      <c r="I953" s="81">
        <v>14489046</v>
      </c>
      <c r="J953" s="81">
        <v>6818676</v>
      </c>
      <c r="K953" s="81">
        <v>7670370</v>
      </c>
      <c r="L953" s="81">
        <v>4902740</v>
      </c>
      <c r="M953" s="81">
        <v>2767630</v>
      </c>
      <c r="N953" s="82">
        <v>0.145866262599644</v>
      </c>
    </row>
    <row r="954" spans="1:14" ht="14.25" hidden="1" customHeight="1">
      <c r="A954" s="78">
        <v>2026</v>
      </c>
      <c r="B954" s="78">
        <v>3</v>
      </c>
      <c r="C954" s="79" t="s">
        <v>197</v>
      </c>
      <c r="D954" s="78" t="s">
        <v>198</v>
      </c>
      <c r="E954" s="80" t="s">
        <v>199</v>
      </c>
      <c r="F954" s="78" t="str">
        <f>VLOOKUP('표1'!$E954,구분!$C$3:$D$72,2,0)</f>
        <v>행사</v>
      </c>
      <c r="G954" s="81">
        <v>15070530</v>
      </c>
      <c r="H954" s="81">
        <v>12659254</v>
      </c>
      <c r="I954" s="81">
        <v>11508413</v>
      </c>
      <c r="J954" s="81">
        <v>5285041</v>
      </c>
      <c r="K954" s="81">
        <v>6223372</v>
      </c>
      <c r="L954" s="81">
        <v>2520000</v>
      </c>
      <c r="M954" s="81">
        <v>3703372</v>
      </c>
      <c r="N954" s="82">
        <v>0.24573601591981201</v>
      </c>
    </row>
    <row r="955" spans="1:14" ht="14.25" hidden="1" customHeight="1">
      <c r="A955" s="78">
        <v>2026</v>
      </c>
      <c r="B955" s="78">
        <v>3</v>
      </c>
      <c r="C955" s="79" t="s">
        <v>197</v>
      </c>
      <c r="D955" s="78" t="s">
        <v>176</v>
      </c>
      <c r="E955" s="80" t="s">
        <v>177</v>
      </c>
      <c r="F955" s="78" t="str">
        <f>VLOOKUP('표1'!$E955,구분!$C$3:$D$72,2,0)</f>
        <v>동일</v>
      </c>
      <c r="G955" s="81">
        <v>80223820</v>
      </c>
      <c r="H955" s="81">
        <v>61772385</v>
      </c>
      <c r="I955" s="81">
        <v>56156714</v>
      </c>
      <c r="J955" s="81">
        <v>24401735</v>
      </c>
      <c r="K955" s="81">
        <v>31754979</v>
      </c>
      <c r="L955" s="81">
        <v>13639060</v>
      </c>
      <c r="M955" s="81">
        <v>18115919</v>
      </c>
      <c r="N955" s="82">
        <v>0.22581720740797401</v>
      </c>
    </row>
    <row r="956" spans="1:14" ht="14.25" hidden="1" customHeight="1">
      <c r="A956" s="78">
        <v>2026</v>
      </c>
      <c r="B956" s="78">
        <v>3</v>
      </c>
      <c r="C956" s="79" t="s">
        <v>197</v>
      </c>
      <c r="D956" s="78" t="s">
        <v>178</v>
      </c>
      <c r="E956" s="80" t="s">
        <v>179</v>
      </c>
      <c r="F956" s="78" t="str">
        <f>VLOOKUP('표1'!$E956,구분!$C$3:$D$72,2,0)</f>
        <v>동일</v>
      </c>
      <c r="G956" s="81">
        <v>93759290</v>
      </c>
      <c r="H956" s="81">
        <v>72194707</v>
      </c>
      <c r="I956" s="81">
        <v>65631552</v>
      </c>
      <c r="J956" s="81">
        <v>27985350</v>
      </c>
      <c r="K956" s="81">
        <v>37646202</v>
      </c>
      <c r="L956" s="81">
        <v>12189720</v>
      </c>
      <c r="M956" s="81">
        <v>25456482</v>
      </c>
      <c r="N956" s="82">
        <v>0.27150890327774502</v>
      </c>
    </row>
    <row r="957" spans="1:14" hidden="1">
      <c r="A957" s="106">
        <v>2026</v>
      </c>
      <c r="B957" s="106">
        <v>4</v>
      </c>
      <c r="C957" s="107" t="s">
        <v>216</v>
      </c>
      <c r="D957" s="106" t="s">
        <v>54</v>
      </c>
      <c r="E957" s="106" t="s">
        <v>55</v>
      </c>
      <c r="F957" s="78" t="str">
        <f>VLOOKUP('표1'!$E957,구분!$C$3:$D$72,2,0)</f>
        <v>동일</v>
      </c>
      <c r="G957" s="108">
        <v>73538990</v>
      </c>
      <c r="H957" s="108">
        <v>47281474</v>
      </c>
      <c r="I957" s="108">
        <v>42983158</v>
      </c>
      <c r="J957" s="108">
        <v>21006057</v>
      </c>
      <c r="K957" s="108">
        <v>21977101</v>
      </c>
      <c r="L957" s="108">
        <v>6616670</v>
      </c>
      <c r="M957" s="108">
        <v>15360431</v>
      </c>
      <c r="N957" s="109">
        <v>0.20887465275223388</v>
      </c>
    </row>
    <row r="958" spans="1:14" hidden="1">
      <c r="A958" s="78">
        <v>2026</v>
      </c>
      <c r="B958" s="78">
        <v>4</v>
      </c>
      <c r="C958" s="107" t="s">
        <v>216</v>
      </c>
      <c r="D958" s="78" t="s">
        <v>56</v>
      </c>
      <c r="E958" s="78" t="s">
        <v>57</v>
      </c>
      <c r="F958" s="78" t="str">
        <f>VLOOKUP('표1'!$E958,구분!$C$3:$D$72,2,0)</f>
        <v>동일</v>
      </c>
      <c r="G958" s="81">
        <v>20359960</v>
      </c>
      <c r="H958" s="81">
        <v>13288369</v>
      </c>
      <c r="I958" s="81">
        <v>12080335</v>
      </c>
      <c r="J958" s="81">
        <v>6215185</v>
      </c>
      <c r="K958" s="81">
        <v>5865150</v>
      </c>
      <c r="L958" s="81">
        <v>4960650</v>
      </c>
      <c r="M958" s="81">
        <v>904500</v>
      </c>
      <c r="N958" s="110">
        <v>4.442543109122022E-2</v>
      </c>
    </row>
    <row r="959" spans="1:14" hidden="1">
      <c r="A959" s="78">
        <v>2026</v>
      </c>
      <c r="B959" s="78">
        <v>4</v>
      </c>
      <c r="C959" s="107" t="s">
        <v>216</v>
      </c>
      <c r="D959" s="78" t="s">
        <v>58</v>
      </c>
      <c r="E959" s="78" t="s">
        <v>59</v>
      </c>
      <c r="F959" s="78" t="str">
        <f>VLOOKUP('표1'!$E959,구분!$C$3:$D$72,2,0)</f>
        <v>동일</v>
      </c>
      <c r="G959" s="81">
        <v>60039190</v>
      </c>
      <c r="H959" s="81">
        <v>38569624</v>
      </c>
      <c r="I959" s="81">
        <v>35063295</v>
      </c>
      <c r="J959" s="81">
        <v>17236919</v>
      </c>
      <c r="K959" s="81">
        <v>17826376</v>
      </c>
      <c r="L959" s="81">
        <v>8240240</v>
      </c>
      <c r="M959" s="81">
        <v>9586136</v>
      </c>
      <c r="N959" s="110">
        <v>0.15966464570891112</v>
      </c>
    </row>
    <row r="960" spans="1:14" hidden="1">
      <c r="A960" s="78">
        <v>2026</v>
      </c>
      <c r="B960" s="78">
        <v>4</v>
      </c>
      <c r="C960" s="107" t="s">
        <v>216</v>
      </c>
      <c r="D960" s="78" t="s">
        <v>60</v>
      </c>
      <c r="E960" s="78" t="s">
        <v>61</v>
      </c>
      <c r="F960" s="78" t="str">
        <f>VLOOKUP('표1'!$E960,구분!$C$3:$D$72,2,0)</f>
        <v>동일</v>
      </c>
      <c r="G960" s="81">
        <v>31009170</v>
      </c>
      <c r="H960" s="81">
        <v>19984560</v>
      </c>
      <c r="I960" s="81">
        <v>18167782</v>
      </c>
      <c r="J960" s="81">
        <v>8791627</v>
      </c>
      <c r="K960" s="81">
        <v>9376155</v>
      </c>
      <c r="L960" s="81">
        <v>4917660</v>
      </c>
      <c r="M960" s="81">
        <v>4458495</v>
      </c>
      <c r="N960" s="110">
        <v>0.14377988833625666</v>
      </c>
    </row>
    <row r="961" spans="1:14" hidden="1">
      <c r="A961" s="78">
        <v>2026</v>
      </c>
      <c r="B961" s="78">
        <v>4</v>
      </c>
      <c r="C961" s="107" t="s">
        <v>216</v>
      </c>
      <c r="D961" s="78" t="s">
        <v>62</v>
      </c>
      <c r="E961" s="78" t="s">
        <v>63</v>
      </c>
      <c r="F961" s="78" t="str">
        <f>VLOOKUP('표1'!$E961,구분!$C$3:$D$72,2,0)</f>
        <v>동일</v>
      </c>
      <c r="G961" s="81">
        <v>63829450</v>
      </c>
      <c r="H961" s="81">
        <v>41188380</v>
      </c>
      <c r="I961" s="81">
        <v>37443982</v>
      </c>
      <c r="J961" s="81">
        <v>17994347</v>
      </c>
      <c r="K961" s="81">
        <v>19449635</v>
      </c>
      <c r="L961" s="81">
        <v>9427220</v>
      </c>
      <c r="M961" s="81">
        <v>10022415</v>
      </c>
      <c r="N961" s="110">
        <v>0.15701866458194455</v>
      </c>
    </row>
    <row r="962" spans="1:14" hidden="1">
      <c r="A962" s="78">
        <v>2026</v>
      </c>
      <c r="B962" s="78">
        <v>4</v>
      </c>
      <c r="C962" s="107" t="s">
        <v>216</v>
      </c>
      <c r="D962" s="78" t="s">
        <v>64</v>
      </c>
      <c r="E962" s="78" t="s">
        <v>65</v>
      </c>
      <c r="F962" s="78" t="str">
        <f>VLOOKUP('표1'!$E962,구분!$C$3:$D$72,2,0)</f>
        <v>동일</v>
      </c>
      <c r="G962" s="81">
        <v>28718040</v>
      </c>
      <c r="H962" s="81">
        <v>18491639</v>
      </c>
      <c r="I962" s="81">
        <v>16810581</v>
      </c>
      <c r="J962" s="81">
        <v>8814570</v>
      </c>
      <c r="K962" s="81">
        <v>7996011</v>
      </c>
      <c r="L962" s="81">
        <v>5002120</v>
      </c>
      <c r="M962" s="81">
        <v>2993891</v>
      </c>
      <c r="N962" s="110">
        <v>0.10425123023716103</v>
      </c>
    </row>
    <row r="963" spans="1:14" hidden="1">
      <c r="A963" s="78">
        <v>2026</v>
      </c>
      <c r="B963" s="78">
        <v>4</v>
      </c>
      <c r="C963" s="107" t="s">
        <v>216</v>
      </c>
      <c r="D963" s="78" t="s">
        <v>66</v>
      </c>
      <c r="E963" s="78" t="s">
        <v>67</v>
      </c>
      <c r="F963" s="78" t="str">
        <f>VLOOKUP('표1'!$E963,구분!$C$3:$D$72,2,0)</f>
        <v>동일</v>
      </c>
      <c r="G963" s="81">
        <v>30085140</v>
      </c>
      <c r="H963" s="81">
        <v>19409498</v>
      </c>
      <c r="I963" s="81">
        <v>17644998</v>
      </c>
      <c r="J963" s="81">
        <v>10553424</v>
      </c>
      <c r="K963" s="81">
        <v>7091574</v>
      </c>
      <c r="L963" s="81">
        <v>5717120</v>
      </c>
      <c r="M963" s="81">
        <v>1374454</v>
      </c>
      <c r="N963" s="110">
        <v>4.5685477946919975E-2</v>
      </c>
    </row>
    <row r="964" spans="1:14" hidden="1">
      <c r="A964" s="78">
        <v>2026</v>
      </c>
      <c r="B964" s="78">
        <v>4</v>
      </c>
      <c r="C964" s="107" t="s">
        <v>216</v>
      </c>
      <c r="D964" s="78" t="s">
        <v>68</v>
      </c>
      <c r="E964" s="78" t="s">
        <v>69</v>
      </c>
      <c r="F964" s="78" t="str">
        <f>VLOOKUP('표1'!$E964,구분!$C$3:$D$72,2,0)</f>
        <v>동일</v>
      </c>
      <c r="G964" s="81">
        <v>57323960</v>
      </c>
      <c r="H964" s="81">
        <v>36821226</v>
      </c>
      <c r="I964" s="81">
        <v>33473842</v>
      </c>
      <c r="J964" s="81">
        <v>16344616</v>
      </c>
      <c r="K964" s="81">
        <v>17129226</v>
      </c>
      <c r="L964" s="81">
        <v>7750170</v>
      </c>
      <c r="M964" s="81">
        <v>9379056</v>
      </c>
      <c r="N964" s="110">
        <v>0.16361493518591527</v>
      </c>
    </row>
    <row r="965" spans="1:14" hidden="1">
      <c r="A965" s="78">
        <v>2026</v>
      </c>
      <c r="B965" s="78">
        <v>4</v>
      </c>
      <c r="C965" s="107" t="s">
        <v>216</v>
      </c>
      <c r="D965" s="78" t="s">
        <v>70</v>
      </c>
      <c r="E965" s="78" t="s">
        <v>71</v>
      </c>
      <c r="F965" s="78" t="str">
        <f>VLOOKUP('표1'!$E965,구분!$C$3:$D$72,2,0)</f>
        <v>동일</v>
      </c>
      <c r="G965" s="81">
        <v>32579570</v>
      </c>
      <c r="H965" s="81">
        <v>20915054</v>
      </c>
      <c r="I965" s="81">
        <v>19013685</v>
      </c>
      <c r="J965" s="81">
        <v>9282159</v>
      </c>
      <c r="K965" s="81">
        <v>9731526</v>
      </c>
      <c r="L965" s="81">
        <v>5312260</v>
      </c>
      <c r="M965" s="81">
        <v>4419266</v>
      </c>
      <c r="N965" s="110">
        <v>0.13564531391912171</v>
      </c>
    </row>
    <row r="966" spans="1:14" hidden="1">
      <c r="A966" s="78">
        <v>2026</v>
      </c>
      <c r="B966" s="78">
        <v>4</v>
      </c>
      <c r="C966" s="107" t="s">
        <v>216</v>
      </c>
      <c r="D966" s="78" t="s">
        <v>72</v>
      </c>
      <c r="E966" s="78" t="s">
        <v>73</v>
      </c>
      <c r="F966" s="78" t="str">
        <f>VLOOKUP('표1'!$E966,구분!$C$3:$D$72,2,0)</f>
        <v>동일</v>
      </c>
      <c r="G966" s="81">
        <v>17023870</v>
      </c>
      <c r="H966" s="81">
        <v>11121440</v>
      </c>
      <c r="I966" s="81">
        <v>10110400</v>
      </c>
      <c r="J966" s="81">
        <v>5545368</v>
      </c>
      <c r="K966" s="81">
        <v>4565032</v>
      </c>
      <c r="L966" s="81">
        <v>3994100</v>
      </c>
      <c r="M966" s="81">
        <v>570932</v>
      </c>
      <c r="N966" s="110">
        <v>3.3537145196714968E-2</v>
      </c>
    </row>
    <row r="967" spans="1:14" hidden="1">
      <c r="A967" s="78">
        <v>2026</v>
      </c>
      <c r="B967" s="78">
        <v>4</v>
      </c>
      <c r="C967" s="107" t="s">
        <v>216</v>
      </c>
      <c r="D967" s="78" t="s">
        <v>74</v>
      </c>
      <c r="E967" s="78" t="s">
        <v>75</v>
      </c>
      <c r="F967" s="78" t="str">
        <f>VLOOKUP('표1'!$E967,구분!$C$3:$D$72,2,0)</f>
        <v>동일</v>
      </c>
      <c r="G967" s="81">
        <v>33903670</v>
      </c>
      <c r="H967" s="81">
        <v>21887151</v>
      </c>
      <c r="I967" s="81">
        <v>19897410</v>
      </c>
      <c r="J967" s="81">
        <v>9124241</v>
      </c>
      <c r="K967" s="81">
        <v>10773169</v>
      </c>
      <c r="L967" s="81">
        <v>5639330</v>
      </c>
      <c r="M967" s="81">
        <v>5133839</v>
      </c>
      <c r="N967" s="110">
        <v>0.15142428533548138</v>
      </c>
    </row>
    <row r="968" spans="1:14" hidden="1">
      <c r="A968" s="78">
        <v>2026</v>
      </c>
      <c r="B968" s="78">
        <v>4</v>
      </c>
      <c r="C968" s="107" t="s">
        <v>216</v>
      </c>
      <c r="D968" s="78" t="s">
        <v>76</v>
      </c>
      <c r="E968" s="78" t="s">
        <v>77</v>
      </c>
      <c r="F968" s="78" t="str">
        <f>VLOOKUP('표1'!$E968,구분!$C$3:$D$72,2,0)</f>
        <v>동일</v>
      </c>
      <c r="G968" s="81">
        <v>38270770</v>
      </c>
      <c r="H968" s="81">
        <v>24536802</v>
      </c>
      <c r="I968" s="81">
        <v>22306184</v>
      </c>
      <c r="J968" s="81">
        <v>11267606</v>
      </c>
      <c r="K968" s="81">
        <v>11038578</v>
      </c>
      <c r="L968" s="81">
        <v>5506840</v>
      </c>
      <c r="M968" s="81">
        <v>5531738</v>
      </c>
      <c r="N968" s="110">
        <v>0.14454211399457079</v>
      </c>
    </row>
    <row r="969" spans="1:14" hidden="1">
      <c r="A969" s="78">
        <v>2026</v>
      </c>
      <c r="B969" s="78">
        <v>4</v>
      </c>
      <c r="C969" s="107" t="s">
        <v>216</v>
      </c>
      <c r="D969" s="78" t="s">
        <v>78</v>
      </c>
      <c r="E969" s="78" t="s">
        <v>79</v>
      </c>
      <c r="F969" s="78" t="str">
        <f>VLOOKUP('표1'!$E969,구분!$C$3:$D$72,2,0)</f>
        <v>동일</v>
      </c>
      <c r="G969" s="81">
        <v>55394850</v>
      </c>
      <c r="H969" s="81">
        <v>35624595</v>
      </c>
      <c r="I969" s="81">
        <v>32385995</v>
      </c>
      <c r="J969" s="81">
        <v>16225566</v>
      </c>
      <c r="K969" s="81">
        <v>16160429</v>
      </c>
      <c r="L969" s="81">
        <v>6254870</v>
      </c>
      <c r="M969" s="81">
        <v>9905559</v>
      </c>
      <c r="N969" s="110">
        <v>0.17881732688147003</v>
      </c>
    </row>
    <row r="970" spans="1:14" hidden="1">
      <c r="A970" s="78">
        <v>2026</v>
      </c>
      <c r="B970" s="78">
        <v>4</v>
      </c>
      <c r="C970" s="107" t="s">
        <v>216</v>
      </c>
      <c r="D970" s="78" t="s">
        <v>80</v>
      </c>
      <c r="E970" s="78" t="s">
        <v>81</v>
      </c>
      <c r="F970" s="78" t="str">
        <f>VLOOKUP('표1'!$E970,구분!$C$3:$D$72,2,0)</f>
        <v>동일</v>
      </c>
      <c r="G970" s="81">
        <v>85011320</v>
      </c>
      <c r="H970" s="81">
        <v>54775305</v>
      </c>
      <c r="I970" s="81">
        <v>49795732</v>
      </c>
      <c r="J970" s="81">
        <v>24114336</v>
      </c>
      <c r="K970" s="81">
        <v>25681396</v>
      </c>
      <c r="L970" s="81">
        <v>11702810</v>
      </c>
      <c r="M970" s="81">
        <v>13978586</v>
      </c>
      <c r="N970" s="110">
        <v>0.16443205446051185</v>
      </c>
    </row>
    <row r="971" spans="1:14" hidden="1">
      <c r="A971" s="78">
        <v>2026</v>
      </c>
      <c r="B971" s="78">
        <v>4</v>
      </c>
      <c r="C971" s="107" t="s">
        <v>216</v>
      </c>
      <c r="D971" s="78" t="s">
        <v>82</v>
      </c>
      <c r="E971" s="78" t="s">
        <v>83</v>
      </c>
      <c r="F971" s="78" t="str">
        <f>VLOOKUP('표1'!$E971,구분!$C$3:$D$72,2,0)</f>
        <v>동일</v>
      </c>
      <c r="G971" s="81">
        <v>29376050</v>
      </c>
      <c r="H971" s="81">
        <v>19161021</v>
      </c>
      <c r="I971" s="81">
        <v>17419110</v>
      </c>
      <c r="J971" s="81">
        <v>9230994</v>
      </c>
      <c r="K971" s="81">
        <v>8188116</v>
      </c>
      <c r="L971" s="81">
        <v>5870740</v>
      </c>
      <c r="M971" s="81">
        <v>2317376</v>
      </c>
      <c r="N971" s="110">
        <v>7.8886575969199402E-2</v>
      </c>
    </row>
    <row r="972" spans="1:14" hidden="1">
      <c r="A972" s="78">
        <v>2026</v>
      </c>
      <c r="B972" s="78">
        <v>4</v>
      </c>
      <c r="C972" s="107" t="s">
        <v>216</v>
      </c>
      <c r="D972" s="78" t="s">
        <v>84</v>
      </c>
      <c r="E972" s="78" t="s">
        <v>85</v>
      </c>
      <c r="F972" s="78" t="str">
        <f>VLOOKUP('표1'!$E972,구분!$C$3:$D$72,2,0)</f>
        <v>동일</v>
      </c>
      <c r="G972" s="81">
        <v>57489400</v>
      </c>
      <c r="H972" s="81">
        <v>36851282</v>
      </c>
      <c r="I972" s="81">
        <v>33501165</v>
      </c>
      <c r="J972" s="81">
        <v>16577430</v>
      </c>
      <c r="K972" s="81">
        <v>16923735</v>
      </c>
      <c r="L972" s="81">
        <v>8298100</v>
      </c>
      <c r="M972" s="81">
        <v>8625635</v>
      </c>
      <c r="N972" s="110">
        <v>0.15003870278694856</v>
      </c>
    </row>
    <row r="973" spans="1:14" hidden="1">
      <c r="A973" s="78">
        <v>2026</v>
      </c>
      <c r="B973" s="78">
        <v>4</v>
      </c>
      <c r="C973" s="107" t="s">
        <v>216</v>
      </c>
      <c r="D973" s="78" t="s">
        <v>86</v>
      </c>
      <c r="E973" s="78" t="s">
        <v>87</v>
      </c>
      <c r="F973" s="78" t="str">
        <f>VLOOKUP('표1'!$E973,구분!$C$3:$D$72,2,0)</f>
        <v>동일</v>
      </c>
      <c r="G973" s="81">
        <v>36686520</v>
      </c>
      <c r="H973" s="81">
        <v>23669132</v>
      </c>
      <c r="I973" s="81">
        <v>21517393</v>
      </c>
      <c r="J973" s="81">
        <v>10244058</v>
      </c>
      <c r="K973" s="81">
        <v>11273335</v>
      </c>
      <c r="L973" s="81">
        <v>5783320</v>
      </c>
      <c r="M973" s="81">
        <v>5490015</v>
      </c>
      <c r="N973" s="110">
        <v>0.14964665495664348</v>
      </c>
    </row>
    <row r="974" spans="1:14" hidden="1">
      <c r="A974" s="78">
        <v>2026</v>
      </c>
      <c r="B974" s="78">
        <v>4</v>
      </c>
      <c r="C974" s="107" t="s">
        <v>216</v>
      </c>
      <c r="D974" s="78" t="s">
        <v>88</v>
      </c>
      <c r="E974" s="78" t="s">
        <v>89</v>
      </c>
      <c r="F974" s="78" t="str">
        <f>VLOOKUP('표1'!$E974,구분!$C$3:$D$72,2,0)</f>
        <v>동일</v>
      </c>
      <c r="G974" s="81">
        <v>28181760</v>
      </c>
      <c r="H974" s="81">
        <v>18214836</v>
      </c>
      <c r="I974" s="81">
        <v>16558942</v>
      </c>
      <c r="J974" s="81">
        <v>8189378</v>
      </c>
      <c r="K974" s="81">
        <v>8369564</v>
      </c>
      <c r="L974" s="81">
        <v>5585680</v>
      </c>
      <c r="M974" s="81">
        <v>2783884</v>
      </c>
      <c r="N974" s="110">
        <v>9.8783184584639139E-2</v>
      </c>
    </row>
    <row r="975" spans="1:14" hidden="1">
      <c r="A975" s="78">
        <v>2026</v>
      </c>
      <c r="B975" s="78">
        <v>4</v>
      </c>
      <c r="C975" s="107" t="s">
        <v>216</v>
      </c>
      <c r="D975" s="78" t="s">
        <v>90</v>
      </c>
      <c r="E975" s="78" t="s">
        <v>91</v>
      </c>
      <c r="F975" s="78" t="str">
        <f>VLOOKUP('표1'!$E975,구분!$C$3:$D$72,2,0)</f>
        <v>동일</v>
      </c>
      <c r="G975" s="81">
        <v>34564480</v>
      </c>
      <c r="H975" s="81">
        <v>22176488</v>
      </c>
      <c r="I975" s="81">
        <v>20160444</v>
      </c>
      <c r="J975" s="81">
        <v>10451384</v>
      </c>
      <c r="K975" s="81">
        <v>9709060</v>
      </c>
      <c r="L975" s="81">
        <v>7373260</v>
      </c>
      <c r="M975" s="81">
        <v>2335800</v>
      </c>
      <c r="N975" s="110">
        <v>6.7578045438554266E-2</v>
      </c>
    </row>
    <row r="976" spans="1:14" hidden="1">
      <c r="A976" s="78">
        <v>2026</v>
      </c>
      <c r="B976" s="78">
        <v>4</v>
      </c>
      <c r="C976" s="107" t="s">
        <v>216</v>
      </c>
      <c r="D976" s="78" t="s">
        <v>92</v>
      </c>
      <c r="E976" s="78" t="s">
        <v>93</v>
      </c>
      <c r="F976" s="78" t="str">
        <f>VLOOKUP('표1'!$E976,구분!$C$3:$D$72,2,0)</f>
        <v>동일</v>
      </c>
      <c r="G976" s="81">
        <v>22865240</v>
      </c>
      <c r="H976" s="81">
        <v>14681724</v>
      </c>
      <c r="I976" s="81">
        <v>13347022</v>
      </c>
      <c r="J976" s="81">
        <v>6038582</v>
      </c>
      <c r="K976" s="81">
        <v>7308440</v>
      </c>
      <c r="L976" s="81">
        <v>5348200</v>
      </c>
      <c r="M976" s="81">
        <v>1960240</v>
      </c>
      <c r="N976" s="110">
        <v>8.5730130101411575E-2</v>
      </c>
    </row>
    <row r="977" spans="1:14" hidden="1">
      <c r="A977" s="78">
        <v>2026</v>
      </c>
      <c r="B977" s="78">
        <v>4</v>
      </c>
      <c r="C977" s="107" t="s">
        <v>216</v>
      </c>
      <c r="D977" s="78" t="s">
        <v>96</v>
      </c>
      <c r="E977" s="78" t="s">
        <v>97</v>
      </c>
      <c r="F977" s="78" t="str">
        <f>VLOOKUP('표1'!$E977,구분!$C$3:$D$72,2,0)</f>
        <v>동일</v>
      </c>
      <c r="G977" s="81">
        <v>75987500</v>
      </c>
      <c r="H977" s="81">
        <v>48873044</v>
      </c>
      <c r="I977" s="81">
        <v>44430040</v>
      </c>
      <c r="J977" s="81">
        <v>21314644</v>
      </c>
      <c r="K977" s="81">
        <v>23115396</v>
      </c>
      <c r="L977" s="81">
        <v>9352010</v>
      </c>
      <c r="M977" s="81">
        <v>13763386</v>
      </c>
      <c r="N977" s="110">
        <v>0.18112697483138673</v>
      </c>
    </row>
    <row r="978" spans="1:14" hidden="1">
      <c r="A978" s="78">
        <v>2026</v>
      </c>
      <c r="B978" s="78">
        <v>4</v>
      </c>
      <c r="C978" s="107" t="s">
        <v>216</v>
      </c>
      <c r="D978" s="78" t="s">
        <v>98</v>
      </c>
      <c r="E978" s="78" t="s">
        <v>99</v>
      </c>
      <c r="F978" s="78" t="str">
        <f>VLOOKUP('표1'!$E978,구분!$C$3:$D$72,2,0)</f>
        <v>동일</v>
      </c>
      <c r="G978" s="81">
        <v>75495790</v>
      </c>
      <c r="H978" s="81">
        <v>48482124</v>
      </c>
      <c r="I978" s="81">
        <v>44074658</v>
      </c>
      <c r="J978" s="81">
        <v>21796943</v>
      </c>
      <c r="K978" s="81">
        <v>22277715</v>
      </c>
      <c r="L978" s="81">
        <v>8263210</v>
      </c>
      <c r="M978" s="81">
        <v>14014505</v>
      </c>
      <c r="N978" s="110">
        <v>0.18563293396890079</v>
      </c>
    </row>
    <row r="979" spans="1:14" hidden="1">
      <c r="A979" s="78">
        <v>2026</v>
      </c>
      <c r="B979" s="78">
        <v>4</v>
      </c>
      <c r="C979" s="107" t="s">
        <v>216</v>
      </c>
      <c r="D979" s="78" t="s">
        <v>212</v>
      </c>
      <c r="E979" s="78" t="s">
        <v>213</v>
      </c>
      <c r="F979" s="78" t="str">
        <f>VLOOKUP('표1'!$E979,구분!$C$3:$D$72,2,0)</f>
        <v>행사</v>
      </c>
      <c r="G979" s="81">
        <v>23436300</v>
      </c>
      <c r="H979" s="81">
        <v>16874136</v>
      </c>
      <c r="I979" s="81">
        <v>15340124</v>
      </c>
      <c r="J979" s="81">
        <v>6750690</v>
      </c>
      <c r="K979" s="81">
        <v>8589434</v>
      </c>
      <c r="L979" s="81">
        <v>1020000</v>
      </c>
      <c r="M979" s="81">
        <v>7569434</v>
      </c>
      <c r="N979" s="110">
        <v>0.32297905386089099</v>
      </c>
    </row>
    <row r="980" spans="1:14" hidden="1">
      <c r="A980" s="78">
        <v>2026</v>
      </c>
      <c r="B980" s="78">
        <v>4</v>
      </c>
      <c r="C980" s="107" t="s">
        <v>216</v>
      </c>
      <c r="D980" s="78" t="s">
        <v>100</v>
      </c>
      <c r="E980" s="78" t="s">
        <v>101</v>
      </c>
      <c r="F980" s="78" t="str">
        <f>VLOOKUP('표1'!$E980,구분!$C$3:$D$72,2,0)</f>
        <v>동일</v>
      </c>
      <c r="G980" s="81">
        <v>78134960</v>
      </c>
      <c r="H980" s="81">
        <v>49354696</v>
      </c>
      <c r="I980" s="81">
        <v>44867905</v>
      </c>
      <c r="J980" s="81">
        <v>21940502</v>
      </c>
      <c r="K980" s="81">
        <v>22927403</v>
      </c>
      <c r="L980" s="81">
        <v>11246510</v>
      </c>
      <c r="M980" s="81">
        <v>11680893</v>
      </c>
      <c r="N980" s="110">
        <v>0.1494963714066021</v>
      </c>
    </row>
    <row r="981" spans="1:14" hidden="1">
      <c r="A981" s="78">
        <v>2026</v>
      </c>
      <c r="B981" s="78">
        <v>4</v>
      </c>
      <c r="C981" s="107" t="s">
        <v>216</v>
      </c>
      <c r="D981" s="78" t="s">
        <v>102</v>
      </c>
      <c r="E981" s="78" t="s">
        <v>103</v>
      </c>
      <c r="F981" s="78" t="str">
        <f>VLOOKUP('표1'!$E981,구분!$C$3:$D$72,2,0)</f>
        <v>동일</v>
      </c>
      <c r="G981" s="81">
        <v>52054600</v>
      </c>
      <c r="H981" s="81">
        <v>32735592</v>
      </c>
      <c r="I981" s="81">
        <v>29759629</v>
      </c>
      <c r="J981" s="81">
        <v>14189053</v>
      </c>
      <c r="K981" s="81">
        <v>15570576</v>
      </c>
      <c r="L981" s="81">
        <v>6784130</v>
      </c>
      <c r="M981" s="81">
        <v>8786446</v>
      </c>
      <c r="N981" s="110">
        <v>0.1687928828576149</v>
      </c>
    </row>
    <row r="982" spans="1:14" hidden="1">
      <c r="A982" s="78">
        <v>2026</v>
      </c>
      <c r="B982" s="78">
        <v>4</v>
      </c>
      <c r="C982" s="107" t="s">
        <v>216</v>
      </c>
      <c r="D982" s="78" t="s">
        <v>104</v>
      </c>
      <c r="E982" s="78" t="s">
        <v>105</v>
      </c>
      <c r="F982" s="78" t="str">
        <f>VLOOKUP('표1'!$E982,구분!$C$3:$D$72,2,0)</f>
        <v>동일</v>
      </c>
      <c r="G982" s="81">
        <v>37115000</v>
      </c>
      <c r="H982" s="81">
        <v>23182083</v>
      </c>
      <c r="I982" s="81">
        <v>21074621</v>
      </c>
      <c r="J982" s="81">
        <v>11392147</v>
      </c>
      <c r="K982" s="81">
        <v>9682474</v>
      </c>
      <c r="L982" s="81">
        <v>6237190</v>
      </c>
      <c r="M982" s="81">
        <v>3445284</v>
      </c>
      <c r="N982" s="110">
        <v>9.2827266603799002E-2</v>
      </c>
    </row>
    <row r="983" spans="1:14" hidden="1">
      <c r="A983" s="78">
        <v>2026</v>
      </c>
      <c r="B983" s="78">
        <v>4</v>
      </c>
      <c r="C983" s="107" t="s">
        <v>216</v>
      </c>
      <c r="D983" s="78" t="s">
        <v>108</v>
      </c>
      <c r="E983" s="78" t="s">
        <v>109</v>
      </c>
      <c r="F983" s="78" t="str">
        <f>VLOOKUP('표1'!$E983,구분!$C$3:$D$72,2,0)</f>
        <v>동일</v>
      </c>
      <c r="G983" s="81">
        <v>37290950</v>
      </c>
      <c r="H983" s="81">
        <v>23265928</v>
      </c>
      <c r="I983" s="81">
        <v>21150844</v>
      </c>
      <c r="J983" s="81">
        <v>10145266</v>
      </c>
      <c r="K983" s="81">
        <v>11005578</v>
      </c>
      <c r="L983" s="81">
        <v>6446210</v>
      </c>
      <c r="M983" s="81">
        <v>4559368</v>
      </c>
      <c r="N983" s="110">
        <v>0.12226473179149365</v>
      </c>
    </row>
    <row r="984" spans="1:14" hidden="1">
      <c r="A984" s="78">
        <v>2026</v>
      </c>
      <c r="B984" s="78">
        <v>4</v>
      </c>
      <c r="C984" s="107" t="s">
        <v>216</v>
      </c>
      <c r="D984" s="78" t="s">
        <v>187</v>
      </c>
      <c r="E984" s="78" t="s">
        <v>188</v>
      </c>
      <c r="F984" s="78" t="str">
        <f>VLOOKUP('표1'!$E984,구분!$C$3:$D$72,2,0)</f>
        <v>동일</v>
      </c>
      <c r="G984" s="81">
        <v>33240570</v>
      </c>
      <c r="H984" s="81">
        <v>20945249</v>
      </c>
      <c r="I984" s="81">
        <v>19041135</v>
      </c>
      <c r="J984" s="81">
        <v>9195793</v>
      </c>
      <c r="K984" s="81">
        <v>9845342</v>
      </c>
      <c r="L984" s="81">
        <v>5985080</v>
      </c>
      <c r="M984" s="81">
        <v>3860262</v>
      </c>
      <c r="N984" s="110">
        <v>0.11613104107420541</v>
      </c>
    </row>
    <row r="985" spans="1:14" hidden="1">
      <c r="A985" s="78">
        <v>2026</v>
      </c>
      <c r="B985" s="78">
        <v>4</v>
      </c>
      <c r="C985" s="107" t="s">
        <v>216</v>
      </c>
      <c r="D985" s="78" t="s">
        <v>110</v>
      </c>
      <c r="E985" s="78" t="s">
        <v>111</v>
      </c>
      <c r="F985" s="78" t="str">
        <f>VLOOKUP('표1'!$E985,구분!$C$3:$D$72,2,0)</f>
        <v>동일</v>
      </c>
      <c r="G985" s="81">
        <v>112313280</v>
      </c>
      <c r="H985" s="81">
        <v>71119528</v>
      </c>
      <c r="I985" s="81">
        <v>64654116</v>
      </c>
      <c r="J985" s="81">
        <v>33035197</v>
      </c>
      <c r="K985" s="81">
        <v>31618919</v>
      </c>
      <c r="L985" s="81">
        <v>15669770</v>
      </c>
      <c r="M985" s="81">
        <v>15949149</v>
      </c>
      <c r="N985" s="110">
        <v>0.14200590526783655</v>
      </c>
    </row>
    <row r="986" spans="1:14" hidden="1">
      <c r="A986" s="78">
        <v>2026</v>
      </c>
      <c r="B986" s="78">
        <v>4</v>
      </c>
      <c r="C986" s="107" t="s">
        <v>216</v>
      </c>
      <c r="D986" s="78" t="s">
        <v>112</v>
      </c>
      <c r="E986" s="78" t="s">
        <v>113</v>
      </c>
      <c r="F986" s="78" t="str">
        <f>VLOOKUP('표1'!$E986,구분!$C$3:$D$72,2,0)</f>
        <v>동일</v>
      </c>
      <c r="G986" s="81">
        <v>45706500</v>
      </c>
      <c r="H986" s="81">
        <v>28874455</v>
      </c>
      <c r="I986" s="81">
        <v>26249505</v>
      </c>
      <c r="J986" s="81">
        <v>12674100</v>
      </c>
      <c r="K986" s="81">
        <v>13575405</v>
      </c>
      <c r="L986" s="81">
        <v>6739050</v>
      </c>
      <c r="M986" s="81">
        <v>6836355</v>
      </c>
      <c r="N986" s="110">
        <v>0.14957073939155263</v>
      </c>
    </row>
    <row r="987" spans="1:14" hidden="1">
      <c r="A987" s="78">
        <v>2026</v>
      </c>
      <c r="B987" s="78">
        <v>4</v>
      </c>
      <c r="C987" s="107" t="s">
        <v>216</v>
      </c>
      <c r="D987" s="78" t="s">
        <v>116</v>
      </c>
      <c r="E987" s="78" t="s">
        <v>117</v>
      </c>
      <c r="F987" s="78" t="str">
        <f>VLOOKUP('표1'!$E987,구분!$C$3:$D$72,2,0)</f>
        <v>동일</v>
      </c>
      <c r="G987" s="81">
        <v>26529640</v>
      </c>
      <c r="H987" s="81">
        <v>16595345</v>
      </c>
      <c r="I987" s="81">
        <v>15086677</v>
      </c>
      <c r="J987" s="81">
        <v>7699221</v>
      </c>
      <c r="K987" s="81">
        <v>7387456</v>
      </c>
      <c r="L987" s="81">
        <v>6146390</v>
      </c>
      <c r="M987" s="81">
        <v>1241066</v>
      </c>
      <c r="N987" s="110">
        <v>4.6780355858579308E-2</v>
      </c>
    </row>
    <row r="988" spans="1:14" hidden="1">
      <c r="A988" s="78">
        <v>2026</v>
      </c>
      <c r="B988" s="78">
        <v>4</v>
      </c>
      <c r="C988" s="107" t="s">
        <v>216</v>
      </c>
      <c r="D988" s="78" t="s">
        <v>118</v>
      </c>
      <c r="E988" s="78" t="s">
        <v>119</v>
      </c>
      <c r="F988" s="78" t="str">
        <f>VLOOKUP('표1'!$E988,구분!$C$3:$D$72,2,0)</f>
        <v>동일</v>
      </c>
      <c r="G988" s="81">
        <v>91724800</v>
      </c>
      <c r="H988" s="81">
        <v>57838316</v>
      </c>
      <c r="I988" s="81">
        <v>52580287</v>
      </c>
      <c r="J988" s="81">
        <v>23322293</v>
      </c>
      <c r="K988" s="81">
        <v>29257994</v>
      </c>
      <c r="L988" s="81">
        <v>12942580</v>
      </c>
      <c r="M988" s="81">
        <v>16315414</v>
      </c>
      <c r="N988" s="110">
        <v>0.17787353038654757</v>
      </c>
    </row>
    <row r="989" spans="1:14" hidden="1">
      <c r="A989" s="78">
        <v>2026</v>
      </c>
      <c r="B989" s="78">
        <v>4</v>
      </c>
      <c r="C989" s="107" t="s">
        <v>216</v>
      </c>
      <c r="D989" s="78" t="s">
        <v>180</v>
      </c>
      <c r="E989" s="78" t="s">
        <v>181</v>
      </c>
      <c r="F989" s="78" t="str">
        <f>VLOOKUP('표1'!$E989,구분!$C$3:$D$72,2,0)</f>
        <v>동일</v>
      </c>
      <c r="G989" s="81">
        <v>51996430</v>
      </c>
      <c r="H989" s="81">
        <v>33765145</v>
      </c>
      <c r="I989" s="81">
        <v>30695586</v>
      </c>
      <c r="J989" s="81">
        <v>14872838</v>
      </c>
      <c r="K989" s="81">
        <v>15822748</v>
      </c>
      <c r="L989" s="81">
        <v>8056800</v>
      </c>
      <c r="M989" s="81">
        <v>7765948</v>
      </c>
      <c r="N989" s="110">
        <v>0.14935540766933422</v>
      </c>
    </row>
    <row r="990" spans="1:14" hidden="1">
      <c r="A990" s="78">
        <v>2026</v>
      </c>
      <c r="B990" s="78">
        <v>4</v>
      </c>
      <c r="C990" s="107" t="s">
        <v>216</v>
      </c>
      <c r="D990" s="78" t="s">
        <v>120</v>
      </c>
      <c r="E990" s="78" t="s">
        <v>121</v>
      </c>
      <c r="F990" s="78" t="str">
        <f>VLOOKUP('표1'!$E990,구분!$C$3:$D$72,2,0)</f>
        <v>동일</v>
      </c>
      <c r="G990" s="81">
        <v>104331350</v>
      </c>
      <c r="H990" s="81">
        <v>66631165</v>
      </c>
      <c r="I990" s="81">
        <v>60573786</v>
      </c>
      <c r="J990" s="81">
        <v>29828008</v>
      </c>
      <c r="K990" s="81">
        <v>30745778</v>
      </c>
      <c r="L990" s="81">
        <v>12876630</v>
      </c>
      <c r="M990" s="81">
        <v>17869148</v>
      </c>
      <c r="N990" s="110">
        <v>0.17127304496682924</v>
      </c>
    </row>
    <row r="991" spans="1:14" hidden="1">
      <c r="A991" s="78">
        <v>2026</v>
      </c>
      <c r="B991" s="78">
        <v>4</v>
      </c>
      <c r="C991" s="107" t="s">
        <v>216</v>
      </c>
      <c r="D991" s="78" t="s">
        <v>122</v>
      </c>
      <c r="E991" s="78" t="s">
        <v>123</v>
      </c>
      <c r="F991" s="78" t="str">
        <f>VLOOKUP('표1'!$E991,구분!$C$3:$D$72,2,0)</f>
        <v>동일</v>
      </c>
      <c r="G991" s="81">
        <v>56491850</v>
      </c>
      <c r="H991" s="81">
        <v>36127848</v>
      </c>
      <c r="I991" s="81">
        <v>32843498</v>
      </c>
      <c r="J991" s="81">
        <v>15486400</v>
      </c>
      <c r="K991" s="81">
        <v>17357098</v>
      </c>
      <c r="L991" s="81">
        <v>10007690</v>
      </c>
      <c r="M991" s="81">
        <v>7349408</v>
      </c>
      <c r="N991" s="110">
        <v>0.1300967838723639</v>
      </c>
    </row>
    <row r="992" spans="1:14" hidden="1">
      <c r="A992" s="78">
        <v>2026</v>
      </c>
      <c r="B992" s="78">
        <v>4</v>
      </c>
      <c r="C992" s="107" t="s">
        <v>216</v>
      </c>
      <c r="D992" s="78" t="s">
        <v>124</v>
      </c>
      <c r="E992" s="78" t="s">
        <v>125</v>
      </c>
      <c r="F992" s="78" t="str">
        <f>VLOOKUP('표1'!$E992,구분!$C$3:$D$72,2,0)</f>
        <v>동일</v>
      </c>
      <c r="G992" s="81">
        <v>105075210</v>
      </c>
      <c r="H992" s="81">
        <v>66381301</v>
      </c>
      <c r="I992" s="81">
        <v>60346637</v>
      </c>
      <c r="J992" s="81">
        <v>27984543</v>
      </c>
      <c r="K992" s="81">
        <v>32362094</v>
      </c>
      <c r="L992" s="81">
        <v>8965060</v>
      </c>
      <c r="M992" s="81">
        <v>23397034</v>
      </c>
      <c r="N992" s="110">
        <v>0.22266940032763199</v>
      </c>
    </row>
    <row r="993" spans="1:14" hidden="1">
      <c r="A993" s="78">
        <v>2026</v>
      </c>
      <c r="B993" s="78">
        <v>4</v>
      </c>
      <c r="C993" s="107" t="s">
        <v>216</v>
      </c>
      <c r="D993" s="78" t="s">
        <v>126</v>
      </c>
      <c r="E993" s="78" t="s">
        <v>127</v>
      </c>
      <c r="F993" s="78" t="str">
        <f>VLOOKUP('표1'!$E993,구분!$C$3:$D$72,2,0)</f>
        <v>동일</v>
      </c>
      <c r="G993" s="81">
        <v>71440000</v>
      </c>
      <c r="H993" s="81">
        <v>45258328</v>
      </c>
      <c r="I993" s="81">
        <v>41143935</v>
      </c>
      <c r="J993" s="81">
        <v>20304932</v>
      </c>
      <c r="K993" s="81">
        <v>20839003</v>
      </c>
      <c r="L993" s="81">
        <v>10716940</v>
      </c>
      <c r="M993" s="81">
        <v>10122063</v>
      </c>
      <c r="N993" s="110">
        <v>0.14168621220604705</v>
      </c>
    </row>
    <row r="994" spans="1:14">
      <c r="A994" s="78">
        <v>2026</v>
      </c>
      <c r="B994" s="78">
        <v>4</v>
      </c>
      <c r="C994" s="107" t="s">
        <v>216</v>
      </c>
      <c r="D994" s="78" t="s">
        <v>128</v>
      </c>
      <c r="E994" s="78" t="s">
        <v>129</v>
      </c>
      <c r="F994" s="78" t="str">
        <f>VLOOKUP('표1'!$E994,구분!$C$3:$D$72,2,0)</f>
        <v>동일</v>
      </c>
      <c r="G994" s="81">
        <v>135347550</v>
      </c>
      <c r="H994" s="81">
        <v>87084273</v>
      </c>
      <c r="I994" s="81">
        <v>79167521</v>
      </c>
      <c r="J994" s="81">
        <v>37712146</v>
      </c>
      <c r="K994" s="81">
        <v>41455375</v>
      </c>
      <c r="L994" s="81">
        <v>19593340</v>
      </c>
      <c r="M994" s="81">
        <v>21862035</v>
      </c>
      <c r="N994" s="110">
        <v>0.16152516244291087</v>
      </c>
    </row>
    <row r="995" spans="1:14" hidden="1">
      <c r="A995" s="78">
        <v>2026</v>
      </c>
      <c r="B995" s="78">
        <v>4</v>
      </c>
      <c r="C995" s="107" t="s">
        <v>216</v>
      </c>
      <c r="D995" s="78" t="s">
        <v>130</v>
      </c>
      <c r="E995" s="78" t="s">
        <v>131</v>
      </c>
      <c r="F995" s="78" t="str">
        <f>VLOOKUP('표1'!$E995,구분!$C$3:$D$72,2,0)</f>
        <v>동일</v>
      </c>
      <c r="G995" s="81">
        <v>56232490</v>
      </c>
      <c r="H995" s="81">
        <v>35756164</v>
      </c>
      <c r="I995" s="81">
        <v>32505604</v>
      </c>
      <c r="J995" s="81">
        <v>15574247</v>
      </c>
      <c r="K995" s="81">
        <v>16931357</v>
      </c>
      <c r="L995" s="81">
        <v>7237420</v>
      </c>
      <c r="M995" s="81">
        <v>9693937</v>
      </c>
      <c r="N995" s="110">
        <v>0.1723903209692475</v>
      </c>
    </row>
    <row r="996" spans="1:14" hidden="1">
      <c r="A996" s="78">
        <v>2026</v>
      </c>
      <c r="B996" s="78">
        <v>4</v>
      </c>
      <c r="C996" s="107" t="s">
        <v>216</v>
      </c>
      <c r="D996" s="78" t="s">
        <v>132</v>
      </c>
      <c r="E996" s="78" t="s">
        <v>133</v>
      </c>
      <c r="F996" s="78" t="str">
        <f>VLOOKUP('표1'!$E996,구분!$C$3:$D$72,2,0)</f>
        <v>동일</v>
      </c>
      <c r="G996" s="81">
        <v>32988800</v>
      </c>
      <c r="H996" s="81">
        <v>21235838</v>
      </c>
      <c r="I996" s="81">
        <v>19305307</v>
      </c>
      <c r="J996" s="81">
        <v>8638866</v>
      </c>
      <c r="K996" s="81">
        <v>10666441</v>
      </c>
      <c r="L996" s="81">
        <v>5695280</v>
      </c>
      <c r="M996" s="81">
        <v>4971161</v>
      </c>
      <c r="N996" s="110">
        <v>0.1506923865069357</v>
      </c>
    </row>
    <row r="997" spans="1:14" hidden="1">
      <c r="A997" s="78">
        <v>2026</v>
      </c>
      <c r="B997" s="78">
        <v>4</v>
      </c>
      <c r="C997" s="107" t="s">
        <v>216</v>
      </c>
      <c r="D997" s="78" t="s">
        <v>134</v>
      </c>
      <c r="E997" s="78" t="s">
        <v>135</v>
      </c>
      <c r="F997" s="78" t="str">
        <f>VLOOKUP('표1'!$E997,구분!$C$3:$D$72,2,0)</f>
        <v>동일</v>
      </c>
      <c r="G997" s="81">
        <v>45854940</v>
      </c>
      <c r="H997" s="81">
        <v>29124228</v>
      </c>
      <c r="I997" s="81">
        <v>26476571</v>
      </c>
      <c r="J997" s="81">
        <v>14061980</v>
      </c>
      <c r="K997" s="81">
        <v>12414591</v>
      </c>
      <c r="L997" s="81">
        <v>7588780</v>
      </c>
      <c r="M997" s="81">
        <v>4825811</v>
      </c>
      <c r="N997" s="110">
        <v>0.10524080938716744</v>
      </c>
    </row>
    <row r="998" spans="1:14" hidden="1">
      <c r="A998" s="78">
        <v>2026</v>
      </c>
      <c r="B998" s="78">
        <v>4</v>
      </c>
      <c r="C998" s="107" t="s">
        <v>216</v>
      </c>
      <c r="D998" s="78" t="s">
        <v>136</v>
      </c>
      <c r="E998" s="78" t="s">
        <v>137</v>
      </c>
      <c r="F998" s="78" t="str">
        <f>VLOOKUP('표1'!$E998,구분!$C$3:$D$72,2,0)</f>
        <v>동일</v>
      </c>
      <c r="G998" s="81">
        <v>51707700</v>
      </c>
      <c r="H998" s="81">
        <v>33088487</v>
      </c>
      <c r="I998" s="81">
        <v>30080443</v>
      </c>
      <c r="J998" s="81">
        <v>15434499</v>
      </c>
      <c r="K998" s="81">
        <v>14645944</v>
      </c>
      <c r="L998" s="81">
        <v>6846800</v>
      </c>
      <c r="M998" s="81">
        <v>7799144</v>
      </c>
      <c r="N998" s="110">
        <v>0.15083138488078177</v>
      </c>
    </row>
    <row r="999" spans="1:14" hidden="1">
      <c r="A999" s="78">
        <v>2026</v>
      </c>
      <c r="B999" s="78">
        <v>4</v>
      </c>
      <c r="C999" s="107" t="s">
        <v>216</v>
      </c>
      <c r="D999" s="78" t="s">
        <v>138</v>
      </c>
      <c r="E999" s="78" t="s">
        <v>139</v>
      </c>
      <c r="F999" s="78" t="str">
        <f>VLOOKUP('표1'!$E999,구분!$C$3:$D$72,2,0)</f>
        <v>동일</v>
      </c>
      <c r="G999" s="81">
        <v>37484350</v>
      </c>
      <c r="H999" s="81">
        <v>23767281</v>
      </c>
      <c r="I999" s="81">
        <v>21606619</v>
      </c>
      <c r="J999" s="81">
        <v>10227393</v>
      </c>
      <c r="K999" s="81">
        <v>11379226</v>
      </c>
      <c r="L999" s="81">
        <v>4841520</v>
      </c>
      <c r="M999" s="81">
        <v>6537706</v>
      </c>
      <c r="N999" s="110">
        <v>0.17441161444709591</v>
      </c>
    </row>
    <row r="1000" spans="1:14" hidden="1">
      <c r="A1000" s="78">
        <v>2026</v>
      </c>
      <c r="B1000" s="78">
        <v>4</v>
      </c>
      <c r="C1000" s="107" t="s">
        <v>216</v>
      </c>
      <c r="D1000" s="78" t="s">
        <v>140</v>
      </c>
      <c r="E1000" s="78" t="s">
        <v>141</v>
      </c>
      <c r="F1000" s="78" t="str">
        <f>VLOOKUP('표1'!$E1000,구분!$C$3:$D$72,2,0)</f>
        <v>동일</v>
      </c>
      <c r="G1000" s="81">
        <v>78842840</v>
      </c>
      <c r="H1000" s="81">
        <v>50070678</v>
      </c>
      <c r="I1000" s="81">
        <v>45518798</v>
      </c>
      <c r="J1000" s="81">
        <v>21402507</v>
      </c>
      <c r="K1000" s="81">
        <v>24116291</v>
      </c>
      <c r="L1000" s="81">
        <v>10923300</v>
      </c>
      <c r="M1000" s="81">
        <v>13192991</v>
      </c>
      <c r="N1000" s="110">
        <v>0.16733277238617991</v>
      </c>
    </row>
    <row r="1001" spans="1:14" hidden="1">
      <c r="A1001" s="78">
        <v>2026</v>
      </c>
      <c r="B1001" s="78">
        <v>4</v>
      </c>
      <c r="C1001" s="107" t="s">
        <v>216</v>
      </c>
      <c r="D1001" s="78" t="s">
        <v>142</v>
      </c>
      <c r="E1001" s="78" t="s">
        <v>143</v>
      </c>
      <c r="F1001" s="78" t="str">
        <f>VLOOKUP('표1'!$E1001,구분!$C$3:$D$72,2,0)</f>
        <v>동일</v>
      </c>
      <c r="G1001" s="81">
        <v>47946900</v>
      </c>
      <c r="H1001" s="81">
        <v>30972873</v>
      </c>
      <c r="I1001" s="81">
        <v>28157157</v>
      </c>
      <c r="J1001" s="81">
        <v>12541644</v>
      </c>
      <c r="K1001" s="81">
        <v>15615513</v>
      </c>
      <c r="L1001" s="81">
        <v>6733110</v>
      </c>
      <c r="M1001" s="81">
        <v>8882403</v>
      </c>
      <c r="N1001" s="110">
        <v>0.18525500084468444</v>
      </c>
    </row>
    <row r="1002" spans="1:14" hidden="1">
      <c r="A1002" s="78">
        <v>2026</v>
      </c>
      <c r="B1002" s="78">
        <v>4</v>
      </c>
      <c r="C1002" s="107" t="s">
        <v>216</v>
      </c>
      <c r="D1002" s="78" t="s">
        <v>144</v>
      </c>
      <c r="E1002" s="78" t="s">
        <v>145</v>
      </c>
      <c r="F1002" s="78" t="str">
        <f>VLOOKUP('표1'!$E1002,구분!$C$3:$D$72,2,0)</f>
        <v>동일</v>
      </c>
      <c r="G1002" s="81">
        <v>47106680</v>
      </c>
      <c r="H1002" s="81">
        <v>29932213</v>
      </c>
      <c r="I1002" s="81">
        <v>27211103</v>
      </c>
      <c r="J1002" s="81">
        <v>13920154</v>
      </c>
      <c r="K1002" s="81">
        <v>13290949</v>
      </c>
      <c r="L1002" s="81">
        <v>7025680</v>
      </c>
      <c r="M1002" s="81">
        <v>6265269</v>
      </c>
      <c r="N1002" s="110">
        <v>0.13300171016085191</v>
      </c>
    </row>
    <row r="1003" spans="1:14" hidden="1">
      <c r="A1003" s="78">
        <v>2026</v>
      </c>
      <c r="B1003" s="78">
        <v>4</v>
      </c>
      <c r="C1003" s="107" t="s">
        <v>216</v>
      </c>
      <c r="D1003" s="78" t="s">
        <v>146</v>
      </c>
      <c r="E1003" s="78" t="s">
        <v>147</v>
      </c>
      <c r="F1003" s="78" t="str">
        <f>VLOOKUP('표1'!$E1003,구분!$C$3:$D$72,2,0)</f>
        <v>동일</v>
      </c>
      <c r="G1003" s="81">
        <v>82000780</v>
      </c>
      <c r="H1003" s="81">
        <v>51357059</v>
      </c>
      <c r="I1003" s="81">
        <v>46688235</v>
      </c>
      <c r="J1003" s="81">
        <v>24998127</v>
      </c>
      <c r="K1003" s="81">
        <v>21690108</v>
      </c>
      <c r="L1003" s="81">
        <v>9589780</v>
      </c>
      <c r="M1003" s="81">
        <v>12100328</v>
      </c>
      <c r="N1003" s="110">
        <v>0.14756357195626676</v>
      </c>
    </row>
    <row r="1004" spans="1:14" hidden="1">
      <c r="A1004" s="78">
        <v>2026</v>
      </c>
      <c r="B1004" s="78">
        <v>4</v>
      </c>
      <c r="C1004" s="107" t="s">
        <v>216</v>
      </c>
      <c r="D1004" s="78" t="s">
        <v>148</v>
      </c>
      <c r="E1004" s="78" t="s">
        <v>149</v>
      </c>
      <c r="F1004" s="78" t="str">
        <f>VLOOKUP('표1'!$E1004,구분!$C$3:$D$72,2,0)</f>
        <v>동일</v>
      </c>
      <c r="G1004" s="81">
        <v>31394350</v>
      </c>
      <c r="H1004" s="81">
        <v>20338590</v>
      </c>
      <c r="I1004" s="81">
        <v>18489627</v>
      </c>
      <c r="J1004" s="81">
        <v>9512569</v>
      </c>
      <c r="K1004" s="81">
        <v>8977058</v>
      </c>
      <c r="L1004" s="81">
        <v>5269120</v>
      </c>
      <c r="M1004" s="81">
        <v>3707938</v>
      </c>
      <c r="N1004" s="110">
        <v>0.11810844945029918</v>
      </c>
    </row>
    <row r="1005" spans="1:14" hidden="1">
      <c r="A1005" s="78">
        <v>2026</v>
      </c>
      <c r="B1005" s="78">
        <v>4</v>
      </c>
      <c r="C1005" s="107" t="s">
        <v>216</v>
      </c>
      <c r="D1005" s="78" t="s">
        <v>150</v>
      </c>
      <c r="E1005" s="78" t="s">
        <v>151</v>
      </c>
      <c r="F1005" s="78" t="str">
        <f>VLOOKUP('표1'!$E1005,구분!$C$3:$D$72,2,0)</f>
        <v>동일</v>
      </c>
      <c r="G1005" s="81">
        <v>30002440</v>
      </c>
      <c r="H1005" s="81">
        <v>19711711</v>
      </c>
      <c r="I1005" s="81">
        <v>17919737</v>
      </c>
      <c r="J1005" s="81">
        <v>8510434</v>
      </c>
      <c r="K1005" s="81">
        <v>9409303</v>
      </c>
      <c r="L1005" s="81">
        <v>5803855</v>
      </c>
      <c r="M1005" s="81">
        <v>3605448</v>
      </c>
      <c r="N1005" s="110">
        <v>0.12017182602481664</v>
      </c>
    </row>
    <row r="1006" spans="1:14" hidden="1">
      <c r="A1006" s="78">
        <v>2026</v>
      </c>
      <c r="B1006" s="78">
        <v>4</v>
      </c>
      <c r="C1006" s="107" t="s">
        <v>216</v>
      </c>
      <c r="D1006" s="78" t="s">
        <v>152</v>
      </c>
      <c r="E1006" s="78" t="s">
        <v>217</v>
      </c>
      <c r="F1006" s="78" t="str">
        <f>VLOOKUP('표1'!$E1006,구분!$C$3:$D$72,2,0)</f>
        <v>동일</v>
      </c>
      <c r="G1006" s="81">
        <v>34218100</v>
      </c>
      <c r="H1006" s="81">
        <v>21508041</v>
      </c>
      <c r="I1006" s="81">
        <v>19552765</v>
      </c>
      <c r="J1006" s="81">
        <v>9064866</v>
      </c>
      <c r="K1006" s="81">
        <v>10487899</v>
      </c>
      <c r="L1006" s="81">
        <v>5840680</v>
      </c>
      <c r="M1006" s="81">
        <v>4647219</v>
      </c>
      <c r="N1006" s="110">
        <v>0.13581171952855361</v>
      </c>
    </row>
    <row r="1007" spans="1:14" hidden="1">
      <c r="A1007" s="78">
        <v>2026</v>
      </c>
      <c r="B1007" s="78">
        <v>4</v>
      </c>
      <c r="C1007" s="107" t="s">
        <v>216</v>
      </c>
      <c r="D1007" s="78" t="s">
        <v>189</v>
      </c>
      <c r="E1007" s="78" t="s">
        <v>218</v>
      </c>
      <c r="F1007" s="78" t="str">
        <f>VLOOKUP('표1'!$E1007,구분!$C$3:$D$72,2,0)</f>
        <v>동일</v>
      </c>
      <c r="G1007" s="81">
        <v>35732970</v>
      </c>
      <c r="H1007" s="81">
        <v>22727272</v>
      </c>
      <c r="I1007" s="81">
        <v>20661156</v>
      </c>
      <c r="J1007" s="81">
        <v>10650479</v>
      </c>
      <c r="K1007" s="81">
        <v>10010677</v>
      </c>
      <c r="L1007" s="81">
        <v>7305060</v>
      </c>
      <c r="M1007" s="81">
        <v>2705617</v>
      </c>
      <c r="N1007" s="110">
        <v>7.5717663547138672E-2</v>
      </c>
    </row>
    <row r="1008" spans="1:14" hidden="1">
      <c r="A1008" s="78">
        <v>2026</v>
      </c>
      <c r="B1008" s="78">
        <v>4</v>
      </c>
      <c r="C1008" s="107" t="s">
        <v>216</v>
      </c>
      <c r="D1008" s="78" t="s">
        <v>154</v>
      </c>
      <c r="E1008" s="78" t="s">
        <v>155</v>
      </c>
      <c r="F1008" s="78" t="str">
        <f>VLOOKUP('표1'!$E1008,구분!$C$3:$D$72,2,0)</f>
        <v>동일</v>
      </c>
      <c r="G1008" s="81">
        <v>80573130</v>
      </c>
      <c r="H1008" s="81">
        <v>51008035</v>
      </c>
      <c r="I1008" s="81">
        <v>46370941</v>
      </c>
      <c r="J1008" s="81">
        <v>23870218</v>
      </c>
      <c r="K1008" s="81">
        <v>22500723</v>
      </c>
      <c r="L1008" s="81">
        <v>12766710</v>
      </c>
      <c r="M1008" s="81">
        <v>9734013</v>
      </c>
      <c r="N1008" s="110">
        <v>0.1208096669447991</v>
      </c>
    </row>
    <row r="1009" spans="1:14" hidden="1">
      <c r="A1009" s="78">
        <v>2026</v>
      </c>
      <c r="B1009" s="78">
        <v>4</v>
      </c>
      <c r="C1009" s="107" t="s">
        <v>216</v>
      </c>
      <c r="D1009" s="78" t="s">
        <v>156</v>
      </c>
      <c r="E1009" s="78" t="s">
        <v>157</v>
      </c>
      <c r="F1009" s="78" t="str">
        <f>VLOOKUP('표1'!$E1009,구분!$C$3:$D$72,2,0)</f>
        <v>동일</v>
      </c>
      <c r="G1009" s="81">
        <v>57169290</v>
      </c>
      <c r="H1009" s="81">
        <v>43734538</v>
      </c>
      <c r="I1009" s="81">
        <v>39758671</v>
      </c>
      <c r="J1009" s="81">
        <v>15931917</v>
      </c>
      <c r="K1009" s="81">
        <v>23826754</v>
      </c>
      <c r="L1009" s="81">
        <v>7718800</v>
      </c>
      <c r="M1009" s="81">
        <v>16107954</v>
      </c>
      <c r="N1009" s="110">
        <v>0.28175886039515269</v>
      </c>
    </row>
    <row r="1010" spans="1:14" hidden="1">
      <c r="A1010" s="78">
        <v>2026</v>
      </c>
      <c r="B1010" s="78">
        <v>4</v>
      </c>
      <c r="C1010" s="107" t="s">
        <v>216</v>
      </c>
      <c r="D1010" s="78" t="s">
        <v>158</v>
      </c>
      <c r="E1010" s="78" t="s">
        <v>159</v>
      </c>
      <c r="F1010" s="78" t="str">
        <f>VLOOKUP('표1'!$E1010,구분!$C$3:$D$72,2,0)</f>
        <v>동일</v>
      </c>
      <c r="G1010" s="81">
        <v>39461040</v>
      </c>
      <c r="H1010" s="81">
        <v>30385016</v>
      </c>
      <c r="I1010" s="81">
        <v>27622742</v>
      </c>
      <c r="J1010" s="81">
        <v>12241949</v>
      </c>
      <c r="K1010" s="81">
        <v>15380793</v>
      </c>
      <c r="L1010" s="81">
        <v>6237460</v>
      </c>
      <c r="M1010" s="81">
        <v>9143333</v>
      </c>
      <c r="N1010" s="110">
        <v>0.23170532251557485</v>
      </c>
    </row>
    <row r="1011" spans="1:14" hidden="1">
      <c r="A1011" s="78">
        <v>2026</v>
      </c>
      <c r="B1011" s="78">
        <v>4</v>
      </c>
      <c r="C1011" s="107" t="s">
        <v>216</v>
      </c>
      <c r="D1011" s="78" t="s">
        <v>160</v>
      </c>
      <c r="E1011" s="78" t="s">
        <v>161</v>
      </c>
      <c r="F1011" s="78" t="str">
        <f>VLOOKUP('표1'!$E1011,구분!$C$3:$D$72,2,0)</f>
        <v>동일</v>
      </c>
      <c r="G1011" s="81">
        <v>38697650</v>
      </c>
      <c r="H1011" s="81">
        <v>29603732</v>
      </c>
      <c r="I1011" s="81">
        <v>26912484</v>
      </c>
      <c r="J1011" s="81">
        <v>11670946</v>
      </c>
      <c r="K1011" s="81">
        <v>15241538</v>
      </c>
      <c r="L1011" s="81">
        <v>6799490</v>
      </c>
      <c r="M1011" s="81">
        <v>8442048</v>
      </c>
      <c r="N1011" s="110">
        <v>0.21815402227267031</v>
      </c>
    </row>
    <row r="1012" spans="1:14" hidden="1">
      <c r="A1012" s="78">
        <v>2026</v>
      </c>
      <c r="B1012" s="78">
        <v>4</v>
      </c>
      <c r="C1012" s="107" t="s">
        <v>216</v>
      </c>
      <c r="D1012" s="78" t="s">
        <v>162</v>
      </c>
      <c r="E1012" s="78" t="s">
        <v>163</v>
      </c>
      <c r="F1012" s="78" t="str">
        <f>VLOOKUP('표1'!$E1012,구분!$C$3:$D$72,2,0)</f>
        <v>동일</v>
      </c>
      <c r="G1012" s="81">
        <v>25014110</v>
      </c>
      <c r="H1012" s="81">
        <v>19260874</v>
      </c>
      <c r="I1012" s="81">
        <v>17509885</v>
      </c>
      <c r="J1012" s="81">
        <v>8347815</v>
      </c>
      <c r="K1012" s="81">
        <v>9162070</v>
      </c>
      <c r="L1012" s="81">
        <v>5083400</v>
      </c>
      <c r="M1012" s="81">
        <v>4078670</v>
      </c>
      <c r="N1012" s="110">
        <v>0.16305477188674711</v>
      </c>
    </row>
    <row r="1013" spans="1:14" hidden="1">
      <c r="A1013" s="78">
        <v>2026</v>
      </c>
      <c r="B1013" s="78">
        <v>4</v>
      </c>
      <c r="C1013" s="107" t="s">
        <v>216</v>
      </c>
      <c r="D1013" s="78" t="s">
        <v>164</v>
      </c>
      <c r="E1013" s="78" t="s">
        <v>165</v>
      </c>
      <c r="F1013" s="78" t="str">
        <f>VLOOKUP('표1'!$E1013,구분!$C$3:$D$72,2,0)</f>
        <v>동일</v>
      </c>
      <c r="G1013" s="81">
        <v>39387510</v>
      </c>
      <c r="H1013" s="81">
        <v>30328404</v>
      </c>
      <c r="I1013" s="81">
        <v>27571276</v>
      </c>
      <c r="J1013" s="81">
        <v>13007025</v>
      </c>
      <c r="K1013" s="81">
        <v>14564251</v>
      </c>
      <c r="L1013" s="81">
        <v>7653880</v>
      </c>
      <c r="M1013" s="81">
        <v>6910371</v>
      </c>
      <c r="N1013" s="110">
        <v>0.17544574409501895</v>
      </c>
    </row>
    <row r="1014" spans="1:14" hidden="1">
      <c r="A1014" s="78">
        <v>2026</v>
      </c>
      <c r="B1014" s="78">
        <v>4</v>
      </c>
      <c r="C1014" s="107" t="s">
        <v>216</v>
      </c>
      <c r="D1014" s="78" t="s">
        <v>166</v>
      </c>
      <c r="E1014" s="78" t="s">
        <v>167</v>
      </c>
      <c r="F1014" s="78" t="str">
        <f>VLOOKUP('표1'!$E1014,구분!$C$3:$D$72,2,0)</f>
        <v>동일</v>
      </c>
      <c r="G1014" s="81">
        <v>25806870</v>
      </c>
      <c r="H1014" s="81">
        <v>19871298</v>
      </c>
      <c r="I1014" s="81">
        <v>18064816</v>
      </c>
      <c r="J1014" s="81">
        <v>8281885</v>
      </c>
      <c r="K1014" s="81">
        <v>9782931</v>
      </c>
      <c r="L1014" s="81">
        <v>5163010</v>
      </c>
      <c r="M1014" s="81">
        <v>4619921</v>
      </c>
      <c r="N1014" s="110">
        <v>0.17901903640387229</v>
      </c>
    </row>
    <row r="1015" spans="1:14" hidden="1">
      <c r="A1015" s="78">
        <v>2026</v>
      </c>
      <c r="B1015" s="78">
        <v>4</v>
      </c>
      <c r="C1015" s="107" t="s">
        <v>216</v>
      </c>
      <c r="D1015" s="78" t="s">
        <v>168</v>
      </c>
      <c r="E1015" s="78" t="s">
        <v>169</v>
      </c>
      <c r="F1015" s="78" t="str">
        <f>VLOOKUP('표1'!$E1015,구분!$C$3:$D$72,2,0)</f>
        <v>동일</v>
      </c>
      <c r="G1015" s="81">
        <v>40861670</v>
      </c>
      <c r="H1015" s="81">
        <v>31463496</v>
      </c>
      <c r="I1015" s="81">
        <v>28603178</v>
      </c>
      <c r="J1015" s="81">
        <v>13835941</v>
      </c>
      <c r="K1015" s="81">
        <v>14767237</v>
      </c>
      <c r="L1015" s="81">
        <v>6996560</v>
      </c>
      <c r="M1015" s="81">
        <v>7770677</v>
      </c>
      <c r="N1015" s="110">
        <v>0.19017032343514104</v>
      </c>
    </row>
    <row r="1016" spans="1:14" hidden="1">
      <c r="A1016" s="78">
        <v>2026</v>
      </c>
      <c r="B1016" s="78">
        <v>4</v>
      </c>
      <c r="C1016" s="107" t="s">
        <v>216</v>
      </c>
      <c r="D1016" s="78" t="s">
        <v>172</v>
      </c>
      <c r="E1016" s="78" t="s">
        <v>219</v>
      </c>
      <c r="F1016" s="78" t="str">
        <f>VLOOKUP('표1'!$E1016,구분!$C$3:$D$72,2,0)</f>
        <v>동일</v>
      </c>
      <c r="G1016" s="81">
        <v>40335540</v>
      </c>
      <c r="H1016" s="81">
        <v>31461723</v>
      </c>
      <c r="I1016" s="81">
        <v>28601566</v>
      </c>
      <c r="J1016" s="81">
        <v>11967348</v>
      </c>
      <c r="K1016" s="81">
        <v>16634218</v>
      </c>
      <c r="L1016" s="81">
        <v>8079180</v>
      </c>
      <c r="M1016" s="81">
        <v>8555038</v>
      </c>
      <c r="N1016" s="110">
        <v>0.21209677619290582</v>
      </c>
    </row>
    <row r="1017" spans="1:14" hidden="1">
      <c r="A1017" s="78">
        <v>2026</v>
      </c>
      <c r="B1017" s="78">
        <v>4</v>
      </c>
      <c r="C1017" s="107" t="s">
        <v>216</v>
      </c>
      <c r="D1017" s="78" t="s">
        <v>174</v>
      </c>
      <c r="E1017" s="78" t="s">
        <v>175</v>
      </c>
      <c r="F1017" s="78" t="str">
        <f>VLOOKUP('표1'!$E1017,구분!$C$3:$D$72,2,0)</f>
        <v>동일</v>
      </c>
      <c r="G1017" s="81">
        <v>37656630</v>
      </c>
      <c r="H1017" s="81">
        <v>31631570</v>
      </c>
      <c r="I1017" s="81">
        <v>28755973</v>
      </c>
      <c r="J1017" s="81">
        <v>14948965</v>
      </c>
      <c r="K1017" s="81">
        <v>13807008</v>
      </c>
      <c r="L1017" s="81">
        <v>6536180</v>
      </c>
      <c r="M1017" s="81">
        <v>7270828</v>
      </c>
      <c r="N1017" s="110">
        <v>0.19308228059706883</v>
      </c>
    </row>
    <row r="1018" spans="1:14" hidden="1">
      <c r="A1018" s="78">
        <v>2026</v>
      </c>
      <c r="B1018" s="78">
        <v>4</v>
      </c>
      <c r="C1018" s="107" t="s">
        <v>216</v>
      </c>
      <c r="D1018" s="78" t="s">
        <v>176</v>
      </c>
      <c r="E1018" s="78" t="s">
        <v>177</v>
      </c>
      <c r="F1018" s="78" t="str">
        <f>VLOOKUP('표1'!$E1018,구분!$C$3:$D$72,2,0)</f>
        <v>동일</v>
      </c>
      <c r="G1018" s="81">
        <v>88663980</v>
      </c>
      <c r="H1018" s="81">
        <v>68271293</v>
      </c>
      <c r="I1018" s="81">
        <v>62064812</v>
      </c>
      <c r="J1018" s="81">
        <v>26780384</v>
      </c>
      <c r="K1018" s="81">
        <v>35284428</v>
      </c>
      <c r="L1018" s="81">
        <v>15053890</v>
      </c>
      <c r="M1018" s="81">
        <v>20230538</v>
      </c>
      <c r="N1018" s="110">
        <v>0.22817087615511958</v>
      </c>
    </row>
    <row r="1019" spans="1:14" hidden="1">
      <c r="A1019" s="78">
        <v>2026</v>
      </c>
      <c r="B1019" s="78">
        <v>4</v>
      </c>
      <c r="C1019" s="107" t="s">
        <v>216</v>
      </c>
      <c r="D1019" s="78" t="s">
        <v>178</v>
      </c>
      <c r="E1019" s="78" t="s">
        <v>179</v>
      </c>
      <c r="F1019" s="78" t="str">
        <f>VLOOKUP('표1'!$E1019,구분!$C$3:$D$72,2,0)</f>
        <v>동일</v>
      </c>
      <c r="G1019" s="81">
        <v>108099620</v>
      </c>
      <c r="H1019" s="81">
        <v>83236739</v>
      </c>
      <c r="I1019" s="81">
        <v>75669763</v>
      </c>
      <c r="J1019" s="81">
        <v>31386142</v>
      </c>
      <c r="K1019" s="81">
        <v>44283621</v>
      </c>
      <c r="L1019" s="81">
        <v>14044000</v>
      </c>
      <c r="M1019" s="81">
        <v>30239621</v>
      </c>
      <c r="N1019" s="110">
        <v>0.27973845791502322</v>
      </c>
    </row>
    <row r="1020" spans="1:14" hidden="1">
      <c r="A1020" s="2">
        <v>2026</v>
      </c>
      <c r="B1020" s="2">
        <v>5</v>
      </c>
      <c r="C1020" s="66" t="s">
        <v>227</v>
      </c>
      <c r="D1020" s="2" t="s">
        <v>54</v>
      </c>
      <c r="E1020" s="2" t="s">
        <v>55</v>
      </c>
      <c r="F1020" s="78" t="str">
        <f>VLOOKUP('표1'!$E1020,구분!$C$3:$D$72,2,0)</f>
        <v>동일</v>
      </c>
      <c r="G1020" s="67">
        <v>90833470</v>
      </c>
      <c r="H1020" s="67">
        <v>58133422</v>
      </c>
      <c r="I1020" s="67">
        <v>52848565</v>
      </c>
      <c r="J1020" s="67">
        <v>25610293</v>
      </c>
      <c r="K1020" s="67">
        <v>27238272</v>
      </c>
      <c r="L1020" s="67">
        <v>7381710</v>
      </c>
      <c r="M1020" s="67">
        <v>19856562</v>
      </c>
      <c r="N1020" s="110">
        <v>0.21860402338477217</v>
      </c>
    </row>
    <row r="1021" spans="1:14" hidden="1">
      <c r="A1021" s="2">
        <v>2026</v>
      </c>
      <c r="B1021" s="2">
        <v>5</v>
      </c>
      <c r="C1021" s="66" t="s">
        <v>227</v>
      </c>
      <c r="D1021" s="2" t="s">
        <v>56</v>
      </c>
      <c r="E1021" s="2" t="s">
        <v>57</v>
      </c>
      <c r="F1021" s="78" t="str">
        <f>VLOOKUP('표1'!$E1021,구분!$C$3:$D$72,2,0)</f>
        <v>동일</v>
      </c>
      <c r="G1021" s="67">
        <v>28664640</v>
      </c>
      <c r="H1021" s="67">
        <v>18630227</v>
      </c>
      <c r="I1021" s="67">
        <v>16936570</v>
      </c>
      <c r="J1021" s="67">
        <v>8412833</v>
      </c>
      <c r="K1021" s="67">
        <v>8523737</v>
      </c>
      <c r="L1021" s="67">
        <v>5470410</v>
      </c>
      <c r="M1021" s="67">
        <v>3053327</v>
      </c>
      <c r="N1021" s="110">
        <v>0.10651893761791531</v>
      </c>
    </row>
    <row r="1022" spans="1:14" hidden="1">
      <c r="A1022" s="2">
        <v>2026</v>
      </c>
      <c r="B1022" s="2">
        <v>5</v>
      </c>
      <c r="C1022" s="66" t="s">
        <v>227</v>
      </c>
      <c r="D1022" s="2" t="s">
        <v>58</v>
      </c>
      <c r="E1022" s="2" t="s">
        <v>59</v>
      </c>
      <c r="F1022" s="78" t="str">
        <f>VLOOKUP('표1'!$E1022,구분!$C$3:$D$72,2,0)</f>
        <v>동일</v>
      </c>
      <c r="G1022" s="67">
        <v>57108710</v>
      </c>
      <c r="H1022" s="67">
        <v>36545201</v>
      </c>
      <c r="I1022" s="67">
        <v>33222910</v>
      </c>
      <c r="J1022" s="67">
        <v>16542144</v>
      </c>
      <c r="K1022" s="67">
        <v>16680766</v>
      </c>
      <c r="L1022" s="67">
        <v>7856750</v>
      </c>
      <c r="M1022" s="67">
        <v>8824016</v>
      </c>
      <c r="N1022" s="110">
        <v>0.15451261287463855</v>
      </c>
    </row>
    <row r="1023" spans="1:14" hidden="1">
      <c r="A1023" s="2">
        <v>2026</v>
      </c>
      <c r="B1023" s="2">
        <v>5</v>
      </c>
      <c r="C1023" s="66" t="s">
        <v>227</v>
      </c>
      <c r="D1023" s="2" t="s">
        <v>60</v>
      </c>
      <c r="E1023" s="2" t="s">
        <v>61</v>
      </c>
      <c r="F1023" s="78" t="str">
        <f>VLOOKUP('표1'!$E1023,구분!$C$3:$D$72,2,0)</f>
        <v>동일</v>
      </c>
      <c r="G1023" s="67">
        <v>39681790</v>
      </c>
      <c r="H1023" s="67">
        <v>25396345</v>
      </c>
      <c r="I1023" s="67">
        <v>23087586</v>
      </c>
      <c r="J1023" s="67">
        <v>11198133</v>
      </c>
      <c r="K1023" s="67">
        <v>11889453</v>
      </c>
      <c r="L1023" s="67">
        <v>5560170</v>
      </c>
      <c r="M1023" s="67">
        <v>6329283</v>
      </c>
      <c r="N1023" s="110">
        <v>0.1595009448918509</v>
      </c>
    </row>
    <row r="1024" spans="1:14" hidden="1">
      <c r="A1024" s="2">
        <v>2026</v>
      </c>
      <c r="B1024" s="2">
        <v>5</v>
      </c>
      <c r="C1024" s="66" t="s">
        <v>227</v>
      </c>
      <c r="D1024" s="2" t="s">
        <v>62</v>
      </c>
      <c r="E1024" s="2" t="s">
        <v>63</v>
      </c>
      <c r="F1024" s="78" t="str">
        <f>VLOOKUP('표1'!$E1024,구분!$C$3:$D$72,2,0)</f>
        <v>동일</v>
      </c>
      <c r="G1024" s="67">
        <v>73635020</v>
      </c>
      <c r="H1024" s="67">
        <v>47126412</v>
      </c>
      <c r="I1024" s="67">
        <v>42842193</v>
      </c>
      <c r="J1024" s="67">
        <v>20172115</v>
      </c>
      <c r="K1024" s="67">
        <v>22670078</v>
      </c>
      <c r="L1024" s="67">
        <v>10994100</v>
      </c>
      <c r="M1024" s="67">
        <v>11675978</v>
      </c>
      <c r="N1024" s="110">
        <v>0.15856555752955592</v>
      </c>
    </row>
    <row r="1025" spans="1:14" hidden="1">
      <c r="A1025" s="2">
        <v>2026</v>
      </c>
      <c r="B1025" s="2">
        <v>5</v>
      </c>
      <c r="C1025" s="66" t="s">
        <v>227</v>
      </c>
      <c r="D1025" s="2" t="s">
        <v>64</v>
      </c>
      <c r="E1025" s="2" t="s">
        <v>65</v>
      </c>
      <c r="F1025" s="78" t="str">
        <f>VLOOKUP('표1'!$E1025,구분!$C$3:$D$72,2,0)</f>
        <v>동일</v>
      </c>
      <c r="G1025" s="67">
        <v>35035430</v>
      </c>
      <c r="H1025" s="67">
        <v>22422675</v>
      </c>
      <c r="I1025" s="67">
        <v>20384250</v>
      </c>
      <c r="J1025" s="67">
        <v>9995117</v>
      </c>
      <c r="K1025" s="67">
        <v>10389133</v>
      </c>
      <c r="L1025" s="67">
        <v>6242180</v>
      </c>
      <c r="M1025" s="67">
        <v>4146953</v>
      </c>
      <c r="N1025" s="110">
        <v>0.1183645526828128</v>
      </c>
    </row>
    <row r="1026" spans="1:14" hidden="1">
      <c r="A1026" s="2">
        <v>2026</v>
      </c>
      <c r="B1026" s="2">
        <v>5</v>
      </c>
      <c r="C1026" s="66" t="s">
        <v>227</v>
      </c>
      <c r="D1026" s="2" t="s">
        <v>66</v>
      </c>
      <c r="E1026" s="2" t="s">
        <v>67</v>
      </c>
      <c r="F1026" s="78" t="str">
        <f>VLOOKUP('표1'!$E1026,구분!$C$3:$D$72,2,0)</f>
        <v>동일</v>
      </c>
      <c r="G1026" s="67">
        <v>31438100</v>
      </c>
      <c r="H1026" s="67">
        <v>20117548</v>
      </c>
      <c r="I1026" s="67">
        <v>18288680</v>
      </c>
      <c r="J1026" s="67">
        <v>9651551</v>
      </c>
      <c r="K1026" s="67">
        <v>8637129</v>
      </c>
      <c r="L1026" s="67">
        <v>5974690</v>
      </c>
      <c r="M1026" s="67">
        <v>2662439</v>
      </c>
      <c r="N1026" s="110">
        <v>8.4688292231400758E-2</v>
      </c>
    </row>
    <row r="1027" spans="1:14" hidden="1">
      <c r="A1027" s="2">
        <v>2026</v>
      </c>
      <c r="B1027" s="2">
        <v>5</v>
      </c>
      <c r="C1027" s="66" t="s">
        <v>227</v>
      </c>
      <c r="D1027" s="2" t="s">
        <v>68</v>
      </c>
      <c r="E1027" s="2" t="s">
        <v>69</v>
      </c>
      <c r="F1027" s="78" t="str">
        <f>VLOOKUP('표1'!$E1027,구분!$C$3:$D$72,2,0)</f>
        <v>동일</v>
      </c>
      <c r="G1027" s="67">
        <v>53086040</v>
      </c>
      <c r="H1027" s="67">
        <v>33975066</v>
      </c>
      <c r="I1027" s="67">
        <v>30886424</v>
      </c>
      <c r="J1027" s="67">
        <v>14798709</v>
      </c>
      <c r="K1027" s="67">
        <v>16087715</v>
      </c>
      <c r="L1027" s="67">
        <v>6969510</v>
      </c>
      <c r="M1027" s="67">
        <v>9118205</v>
      </c>
      <c r="N1027" s="110">
        <v>0.17176276474945201</v>
      </c>
    </row>
    <row r="1028" spans="1:14" hidden="1">
      <c r="A1028" s="2">
        <v>2026</v>
      </c>
      <c r="B1028" s="2">
        <v>5</v>
      </c>
      <c r="C1028" s="66" t="s">
        <v>227</v>
      </c>
      <c r="D1028" s="2" t="s">
        <v>70</v>
      </c>
      <c r="E1028" s="2" t="s">
        <v>71</v>
      </c>
      <c r="F1028" s="78" t="str">
        <f>VLOOKUP('표1'!$E1028,구분!$C$3:$D$72,2,0)</f>
        <v>동일</v>
      </c>
      <c r="G1028" s="67">
        <v>48142530</v>
      </c>
      <c r="H1028" s="67">
        <v>31568489</v>
      </c>
      <c r="I1028" s="67">
        <v>28698626</v>
      </c>
      <c r="J1028" s="67">
        <v>14071903</v>
      </c>
      <c r="K1028" s="67">
        <v>14626723</v>
      </c>
      <c r="L1028" s="67">
        <v>5997270</v>
      </c>
      <c r="M1028" s="67">
        <v>8629453</v>
      </c>
      <c r="N1028" s="110">
        <v>0.17924801625506595</v>
      </c>
    </row>
    <row r="1029" spans="1:14" hidden="1">
      <c r="A1029" s="2">
        <v>2026</v>
      </c>
      <c r="B1029" s="2">
        <v>5</v>
      </c>
      <c r="C1029" s="66" t="s">
        <v>227</v>
      </c>
      <c r="D1029" s="2" t="s">
        <v>72</v>
      </c>
      <c r="E1029" s="2" t="s">
        <v>73</v>
      </c>
      <c r="F1029" s="78" t="str">
        <f>VLOOKUP('표1'!$E1029,구분!$C$3:$D$72,2,0)</f>
        <v>동일</v>
      </c>
      <c r="G1029" s="67">
        <v>19497740</v>
      </c>
      <c r="H1029" s="67">
        <v>12673542</v>
      </c>
      <c r="I1029" s="67">
        <v>11521402</v>
      </c>
      <c r="J1029" s="67">
        <v>6026517</v>
      </c>
      <c r="K1029" s="67">
        <v>5494885</v>
      </c>
      <c r="L1029" s="67">
        <v>4262610</v>
      </c>
      <c r="M1029" s="67">
        <v>1232275</v>
      </c>
      <c r="N1029" s="110">
        <v>6.3200914567534489E-2</v>
      </c>
    </row>
    <row r="1030" spans="1:14" hidden="1">
      <c r="A1030" s="2">
        <v>2026</v>
      </c>
      <c r="B1030" s="2">
        <v>5</v>
      </c>
      <c r="C1030" s="66" t="s">
        <v>227</v>
      </c>
      <c r="D1030" s="2" t="s">
        <v>74</v>
      </c>
      <c r="E1030" s="2" t="s">
        <v>75</v>
      </c>
      <c r="F1030" s="78" t="str">
        <f>VLOOKUP('표1'!$E1030,구분!$C$3:$D$72,2,0)</f>
        <v>동일</v>
      </c>
      <c r="G1030" s="67">
        <v>47415170</v>
      </c>
      <c r="H1030" s="67">
        <v>30345709</v>
      </c>
      <c r="I1030" s="67">
        <v>27587008</v>
      </c>
      <c r="J1030" s="67">
        <v>13040662</v>
      </c>
      <c r="K1030" s="67">
        <v>14546346</v>
      </c>
      <c r="L1030" s="67">
        <v>5607340</v>
      </c>
      <c r="M1030" s="67">
        <v>8939006</v>
      </c>
      <c r="N1030" s="110">
        <v>0.18852628810568431</v>
      </c>
    </row>
    <row r="1031" spans="1:14" hidden="1">
      <c r="A1031" s="2">
        <v>2026</v>
      </c>
      <c r="B1031" s="2">
        <v>5</v>
      </c>
      <c r="C1031" s="66" t="s">
        <v>227</v>
      </c>
      <c r="D1031" s="2" t="s">
        <v>76</v>
      </c>
      <c r="E1031" s="2" t="s">
        <v>77</v>
      </c>
      <c r="F1031" s="78" t="str">
        <f>VLOOKUP('표1'!$E1031,구분!$C$3:$D$72,2,0)</f>
        <v>동일</v>
      </c>
      <c r="G1031" s="67">
        <v>44937200</v>
      </c>
      <c r="H1031" s="67">
        <v>28757660</v>
      </c>
      <c r="I1031" s="67">
        <v>26143327</v>
      </c>
      <c r="J1031" s="67">
        <v>13031779</v>
      </c>
      <c r="K1031" s="67">
        <v>13111548</v>
      </c>
      <c r="L1031" s="67">
        <v>6860760</v>
      </c>
      <c r="M1031" s="67">
        <v>6250788</v>
      </c>
      <c r="N1031" s="110">
        <v>0.13910052250696528</v>
      </c>
    </row>
    <row r="1032" spans="1:14" hidden="1">
      <c r="A1032" s="2">
        <v>2026</v>
      </c>
      <c r="B1032" s="2">
        <v>5</v>
      </c>
      <c r="C1032" s="66" t="s">
        <v>227</v>
      </c>
      <c r="D1032" s="2" t="s">
        <v>78</v>
      </c>
      <c r="E1032" s="2" t="s">
        <v>79</v>
      </c>
      <c r="F1032" s="78" t="str">
        <f>VLOOKUP('표1'!$E1032,구분!$C$3:$D$72,2,0)</f>
        <v>동일</v>
      </c>
      <c r="G1032" s="67">
        <v>128028400</v>
      </c>
      <c r="H1032" s="67">
        <v>81938149</v>
      </c>
      <c r="I1032" s="67">
        <v>74489226</v>
      </c>
      <c r="J1032" s="67">
        <v>35829527</v>
      </c>
      <c r="K1032" s="67">
        <v>38659699</v>
      </c>
      <c r="L1032" s="67">
        <v>9238970</v>
      </c>
      <c r="M1032" s="67">
        <v>29420729</v>
      </c>
      <c r="N1032" s="110">
        <v>0.22979845877945831</v>
      </c>
    </row>
    <row r="1033" spans="1:14" hidden="1">
      <c r="A1033" s="2">
        <v>2026</v>
      </c>
      <c r="B1033" s="2">
        <v>5</v>
      </c>
      <c r="C1033" s="66" t="s">
        <v>227</v>
      </c>
      <c r="D1033" s="2" t="s">
        <v>80</v>
      </c>
      <c r="E1033" s="2" t="s">
        <v>81</v>
      </c>
      <c r="F1033" s="78" t="str">
        <f>VLOOKUP('표1'!$E1033,구분!$C$3:$D$72,2,0)</f>
        <v>동일</v>
      </c>
      <c r="G1033" s="67">
        <v>83647550</v>
      </c>
      <c r="H1033" s="67">
        <v>53534432</v>
      </c>
      <c r="I1033" s="67">
        <v>48667665</v>
      </c>
      <c r="J1033" s="67">
        <v>22827797</v>
      </c>
      <c r="K1033" s="67">
        <v>25839868</v>
      </c>
      <c r="L1033" s="67">
        <v>11789340</v>
      </c>
      <c r="M1033" s="67">
        <v>14050528</v>
      </c>
      <c r="N1033" s="110">
        <v>0.16797297709257475</v>
      </c>
    </row>
    <row r="1034" spans="1:14" hidden="1">
      <c r="A1034" s="2">
        <v>2026</v>
      </c>
      <c r="B1034" s="2">
        <v>5</v>
      </c>
      <c r="C1034" s="66" t="s">
        <v>227</v>
      </c>
      <c r="D1034" s="2" t="s">
        <v>82</v>
      </c>
      <c r="E1034" s="2" t="s">
        <v>83</v>
      </c>
      <c r="F1034" s="78" t="str">
        <f>VLOOKUP('표1'!$E1034,구분!$C$3:$D$72,2,0)</f>
        <v>동일</v>
      </c>
      <c r="G1034" s="67">
        <v>45105140</v>
      </c>
      <c r="H1034" s="67">
        <v>29996600</v>
      </c>
      <c r="I1034" s="67">
        <v>27269636</v>
      </c>
      <c r="J1034" s="67">
        <v>13012932</v>
      </c>
      <c r="K1034" s="67">
        <v>14256704</v>
      </c>
      <c r="L1034" s="67">
        <v>6011300</v>
      </c>
      <c r="M1034" s="67">
        <v>8245404</v>
      </c>
      <c r="N1034" s="110">
        <v>0.18280408840322854</v>
      </c>
    </row>
    <row r="1035" spans="1:14" hidden="1">
      <c r="A1035" s="2">
        <v>2026</v>
      </c>
      <c r="B1035" s="2">
        <v>5</v>
      </c>
      <c r="C1035" s="66" t="s">
        <v>227</v>
      </c>
      <c r="D1035" s="2" t="s">
        <v>84</v>
      </c>
      <c r="E1035" s="2" t="s">
        <v>85</v>
      </c>
      <c r="F1035" s="78" t="str">
        <f>VLOOKUP('표1'!$E1035,구분!$C$3:$D$72,2,0)</f>
        <v>동일</v>
      </c>
      <c r="G1035" s="67">
        <v>44564230</v>
      </c>
      <c r="H1035" s="67">
        <v>28521107</v>
      </c>
      <c r="I1035" s="67">
        <v>25928279</v>
      </c>
      <c r="J1035" s="67">
        <v>12015530</v>
      </c>
      <c r="K1035" s="67">
        <v>13912749</v>
      </c>
      <c r="L1035" s="67">
        <v>6603010</v>
      </c>
      <c r="M1035" s="67">
        <v>7309739</v>
      </c>
      <c r="N1035" s="110">
        <v>0.16402704590654882</v>
      </c>
    </row>
    <row r="1036" spans="1:14" hidden="1">
      <c r="A1036" s="2">
        <v>2026</v>
      </c>
      <c r="B1036" s="2">
        <v>5</v>
      </c>
      <c r="C1036" s="66" t="s">
        <v>227</v>
      </c>
      <c r="D1036" s="2" t="s">
        <v>86</v>
      </c>
      <c r="E1036" s="2" t="s">
        <v>87</v>
      </c>
      <c r="F1036" s="78" t="str">
        <f>VLOOKUP('표1'!$E1036,구분!$C$3:$D$72,2,0)</f>
        <v>동일</v>
      </c>
      <c r="G1036" s="67">
        <v>53860630</v>
      </c>
      <c r="H1036" s="67">
        <v>34470804</v>
      </c>
      <c r="I1036" s="67">
        <v>31337095</v>
      </c>
      <c r="J1036" s="67">
        <v>15063493</v>
      </c>
      <c r="K1036" s="67">
        <v>16273602</v>
      </c>
      <c r="L1036" s="67">
        <v>6586530</v>
      </c>
      <c r="M1036" s="67">
        <v>9687072</v>
      </c>
      <c r="N1036" s="110">
        <v>0.1798544131399874</v>
      </c>
    </row>
    <row r="1037" spans="1:14" hidden="1">
      <c r="A1037" s="2">
        <v>2026</v>
      </c>
      <c r="B1037" s="2">
        <v>5</v>
      </c>
      <c r="C1037" s="66" t="s">
        <v>227</v>
      </c>
      <c r="D1037" s="2" t="s">
        <v>88</v>
      </c>
      <c r="E1037" s="2" t="s">
        <v>89</v>
      </c>
      <c r="F1037" s="78" t="str">
        <f>VLOOKUP('표1'!$E1037,구분!$C$3:$D$72,2,0)</f>
        <v>동일</v>
      </c>
      <c r="G1037" s="67">
        <v>38562070</v>
      </c>
      <c r="H1037" s="67">
        <v>24679724</v>
      </c>
      <c r="I1037" s="67">
        <v>22436113</v>
      </c>
      <c r="J1037" s="67">
        <v>11021032</v>
      </c>
      <c r="K1037" s="67">
        <v>11415081</v>
      </c>
      <c r="L1037" s="67">
        <v>6078970</v>
      </c>
      <c r="M1037" s="67">
        <v>5336111</v>
      </c>
      <c r="N1037" s="110">
        <v>0.13837719292558723</v>
      </c>
    </row>
    <row r="1038" spans="1:14" hidden="1">
      <c r="A1038" s="2">
        <v>2026</v>
      </c>
      <c r="B1038" s="2">
        <v>5</v>
      </c>
      <c r="C1038" s="66" t="s">
        <v>227</v>
      </c>
      <c r="D1038" s="2" t="s">
        <v>90</v>
      </c>
      <c r="E1038" s="2" t="s">
        <v>91</v>
      </c>
      <c r="F1038" s="78" t="str">
        <f>VLOOKUP('표1'!$E1038,구분!$C$3:$D$72,2,0)</f>
        <v>동일</v>
      </c>
      <c r="G1038" s="67">
        <v>40477220</v>
      </c>
      <c r="H1038" s="67">
        <v>25905421</v>
      </c>
      <c r="I1038" s="67">
        <v>23550383</v>
      </c>
      <c r="J1038" s="67">
        <v>12492265</v>
      </c>
      <c r="K1038" s="67">
        <v>11058118</v>
      </c>
      <c r="L1038" s="67">
        <v>8690980</v>
      </c>
      <c r="M1038" s="67">
        <v>2367138</v>
      </c>
      <c r="N1038" s="110">
        <v>5.8480745466215317E-2</v>
      </c>
    </row>
    <row r="1039" spans="1:14" hidden="1">
      <c r="A1039" s="2">
        <v>2026</v>
      </c>
      <c r="B1039" s="2">
        <v>5</v>
      </c>
      <c r="C1039" s="66" t="s">
        <v>227</v>
      </c>
      <c r="D1039" s="2" t="s">
        <v>92</v>
      </c>
      <c r="E1039" s="2" t="s">
        <v>93</v>
      </c>
      <c r="F1039" s="78" t="str">
        <f>VLOOKUP('표1'!$E1039,구분!$C$3:$D$72,2,0)</f>
        <v>동일</v>
      </c>
      <c r="G1039" s="67">
        <v>47025330</v>
      </c>
      <c r="H1039" s="67">
        <v>30096210</v>
      </c>
      <c r="I1039" s="67">
        <v>27360191</v>
      </c>
      <c r="J1039" s="67">
        <v>13390577</v>
      </c>
      <c r="K1039" s="67">
        <v>13969614</v>
      </c>
      <c r="L1039" s="67">
        <v>6011410</v>
      </c>
      <c r="M1039" s="67">
        <v>7958204</v>
      </c>
      <c r="N1039" s="110">
        <v>0.1692322839627069</v>
      </c>
    </row>
    <row r="1040" spans="1:14" hidden="1">
      <c r="A1040" s="2">
        <v>2026</v>
      </c>
      <c r="B1040" s="2">
        <v>5</v>
      </c>
      <c r="C1040" s="66" t="s">
        <v>227</v>
      </c>
      <c r="D1040" s="2" t="s">
        <v>96</v>
      </c>
      <c r="E1040" s="2" t="s">
        <v>97</v>
      </c>
      <c r="F1040" s="78" t="str">
        <f>VLOOKUP('표1'!$E1040,구분!$C$3:$D$72,2,0)</f>
        <v>동일</v>
      </c>
      <c r="G1040" s="67">
        <v>77019390</v>
      </c>
      <c r="H1040" s="67">
        <v>49292411</v>
      </c>
      <c r="I1040" s="67">
        <v>44811283</v>
      </c>
      <c r="J1040" s="67">
        <v>21334907</v>
      </c>
      <c r="K1040" s="67">
        <v>23476376</v>
      </c>
      <c r="L1040" s="67">
        <v>9087920</v>
      </c>
      <c r="M1040" s="67">
        <v>14388456</v>
      </c>
      <c r="N1040" s="110">
        <v>0.18681602126425567</v>
      </c>
    </row>
    <row r="1041" spans="1:14" hidden="1">
      <c r="A1041" s="2">
        <v>2026</v>
      </c>
      <c r="B1041" s="2">
        <v>5</v>
      </c>
      <c r="C1041" s="66" t="s">
        <v>227</v>
      </c>
      <c r="D1041" s="2" t="s">
        <v>98</v>
      </c>
      <c r="E1041" s="2" t="s">
        <v>99</v>
      </c>
      <c r="F1041" s="78" t="str">
        <f>VLOOKUP('표1'!$E1041,구분!$C$3:$D$72,2,0)</f>
        <v>동일</v>
      </c>
      <c r="G1041" s="67">
        <v>80829040</v>
      </c>
      <c r="H1041" s="67">
        <v>51724436</v>
      </c>
      <c r="I1041" s="67">
        <v>47022215</v>
      </c>
      <c r="J1041" s="67">
        <v>21476714</v>
      </c>
      <c r="K1041" s="67">
        <v>25545501</v>
      </c>
      <c r="L1041" s="67">
        <v>7316170</v>
      </c>
      <c r="M1041" s="67">
        <v>18229331</v>
      </c>
      <c r="N1041" s="110">
        <v>0.22552947554492792</v>
      </c>
    </row>
    <row r="1042" spans="1:14" hidden="1">
      <c r="A1042" s="2">
        <v>2026</v>
      </c>
      <c r="B1042" s="2">
        <v>5</v>
      </c>
      <c r="C1042" s="66" t="s">
        <v>227</v>
      </c>
      <c r="D1042" s="2" t="s">
        <v>212</v>
      </c>
      <c r="E1042" s="2" t="s">
        <v>213</v>
      </c>
      <c r="F1042" s="78" t="str">
        <f>VLOOKUP('표1'!$E1042,구분!$C$3:$D$72,2,0)</f>
        <v>행사</v>
      </c>
      <c r="G1042" s="67">
        <v>-580500</v>
      </c>
      <c r="H1042" s="67">
        <v>-417960</v>
      </c>
      <c r="I1042" s="67">
        <v>-379964</v>
      </c>
      <c r="J1042" s="67">
        <v>-182688</v>
      </c>
      <c r="K1042" s="67">
        <v>-197276</v>
      </c>
      <c r="L1042" s="67">
        <v>980000</v>
      </c>
      <c r="M1042" s="67">
        <v>-1177276</v>
      </c>
      <c r="N1042" s="110">
        <v>2.0280378983634799</v>
      </c>
    </row>
    <row r="1043" spans="1:14" hidden="1">
      <c r="A1043" s="2">
        <v>2026</v>
      </c>
      <c r="B1043" s="2">
        <v>5</v>
      </c>
      <c r="C1043" s="66" t="s">
        <v>227</v>
      </c>
      <c r="D1043" s="2" t="s">
        <v>100</v>
      </c>
      <c r="E1043" s="2" t="s">
        <v>101</v>
      </c>
      <c r="F1043" s="78" t="str">
        <f>VLOOKUP('표1'!$E1043,구분!$C$3:$D$72,2,0)</f>
        <v>동일</v>
      </c>
      <c r="G1043" s="67">
        <v>100163700</v>
      </c>
      <c r="H1043" s="67">
        <v>62791727</v>
      </c>
      <c r="I1043" s="67">
        <v>57083388</v>
      </c>
      <c r="J1043" s="67">
        <v>27371082</v>
      </c>
      <c r="K1043" s="67">
        <v>29712306</v>
      </c>
      <c r="L1043" s="67">
        <v>14525190</v>
      </c>
      <c r="M1043" s="67">
        <v>15187116</v>
      </c>
      <c r="N1043" s="110">
        <v>0.15162295322556973</v>
      </c>
    </row>
    <row r="1044" spans="1:14" hidden="1">
      <c r="A1044" s="2">
        <v>2026</v>
      </c>
      <c r="B1044" s="2">
        <v>5</v>
      </c>
      <c r="C1044" s="66" t="s">
        <v>227</v>
      </c>
      <c r="D1044" s="2" t="s">
        <v>102</v>
      </c>
      <c r="E1044" s="2" t="s">
        <v>103</v>
      </c>
      <c r="F1044" s="78" t="str">
        <f>VLOOKUP('표1'!$E1044,구분!$C$3:$D$72,2,0)</f>
        <v>동일</v>
      </c>
      <c r="G1044" s="67">
        <v>91347890</v>
      </c>
      <c r="H1044" s="67">
        <v>56635691</v>
      </c>
      <c r="I1044" s="67">
        <v>51486992</v>
      </c>
      <c r="J1044" s="67">
        <v>25371666</v>
      </c>
      <c r="K1044" s="67">
        <v>26115326</v>
      </c>
      <c r="L1044" s="67">
        <v>9014550</v>
      </c>
      <c r="M1044" s="67">
        <v>17100776</v>
      </c>
      <c r="N1044" s="110">
        <v>0.18720493708174321</v>
      </c>
    </row>
    <row r="1045" spans="1:14" hidden="1">
      <c r="A1045" s="2">
        <v>2026</v>
      </c>
      <c r="B1045" s="2">
        <v>5</v>
      </c>
      <c r="C1045" s="66" t="s">
        <v>227</v>
      </c>
      <c r="D1045" s="2" t="s">
        <v>228</v>
      </c>
      <c r="E1045" s="2" t="s">
        <v>229</v>
      </c>
      <c r="F1045" s="78" t="str">
        <f>VLOOKUP('표1'!$E1045,구분!$C$3:$D$72,2,0)</f>
        <v>행사</v>
      </c>
      <c r="G1045" s="67">
        <v>88476300</v>
      </c>
      <c r="H1045" s="67">
        <v>58394358</v>
      </c>
      <c r="I1045" s="67">
        <v>53085780</v>
      </c>
      <c r="J1045" s="67">
        <v>21863772</v>
      </c>
      <c r="K1045" s="67">
        <v>31222008</v>
      </c>
      <c r="L1045" s="67">
        <v>120000</v>
      </c>
      <c r="M1045" s="67">
        <v>31102008</v>
      </c>
      <c r="N1045" s="110">
        <v>0.35152925698746446</v>
      </c>
    </row>
    <row r="1046" spans="1:14" hidden="1">
      <c r="A1046" s="2">
        <v>2026</v>
      </c>
      <c r="B1046" s="2">
        <v>5</v>
      </c>
      <c r="C1046" s="66" t="s">
        <v>227</v>
      </c>
      <c r="D1046" s="2" t="s">
        <v>104</v>
      </c>
      <c r="E1046" s="2" t="s">
        <v>105</v>
      </c>
      <c r="F1046" s="78" t="str">
        <f>VLOOKUP('표1'!$E1046,구분!$C$3:$D$72,2,0)</f>
        <v>동일</v>
      </c>
      <c r="G1046" s="67">
        <v>43425790</v>
      </c>
      <c r="H1046" s="67">
        <v>26943170</v>
      </c>
      <c r="I1046" s="67">
        <v>24493791</v>
      </c>
      <c r="J1046" s="67">
        <v>11742023</v>
      </c>
      <c r="K1046" s="67">
        <v>12751768</v>
      </c>
      <c r="L1046" s="67">
        <v>4493350</v>
      </c>
      <c r="M1046" s="67">
        <v>8258418</v>
      </c>
      <c r="N1046" s="110">
        <v>0.19017312062716649</v>
      </c>
    </row>
    <row r="1047" spans="1:14" hidden="1">
      <c r="A1047" s="2">
        <v>2026</v>
      </c>
      <c r="B1047" s="2">
        <v>5</v>
      </c>
      <c r="C1047" s="66" t="s">
        <v>227</v>
      </c>
      <c r="D1047" s="2" t="s">
        <v>108</v>
      </c>
      <c r="E1047" s="2" t="s">
        <v>109</v>
      </c>
      <c r="F1047" s="78" t="str">
        <f>VLOOKUP('표1'!$E1047,구분!$C$3:$D$72,2,0)</f>
        <v>동일</v>
      </c>
      <c r="G1047" s="67">
        <v>65219490</v>
      </c>
      <c r="H1047" s="67">
        <v>40711936</v>
      </c>
      <c r="I1047" s="67">
        <v>37010851</v>
      </c>
      <c r="J1047" s="67">
        <v>18057653</v>
      </c>
      <c r="K1047" s="67">
        <v>18953198</v>
      </c>
      <c r="L1047" s="67">
        <v>8147820</v>
      </c>
      <c r="M1047" s="67">
        <v>10805378</v>
      </c>
      <c r="N1047" s="110">
        <v>0.16567713117658539</v>
      </c>
    </row>
    <row r="1048" spans="1:14" hidden="1">
      <c r="A1048" s="2">
        <v>2026</v>
      </c>
      <c r="B1048" s="2">
        <v>5</v>
      </c>
      <c r="C1048" s="66" t="s">
        <v>227</v>
      </c>
      <c r="D1048" s="2" t="s">
        <v>187</v>
      </c>
      <c r="E1048" s="2" t="s">
        <v>188</v>
      </c>
      <c r="F1048" s="78" t="str">
        <f>VLOOKUP('표1'!$E1048,구분!$C$3:$D$72,2,0)</f>
        <v>동일</v>
      </c>
      <c r="G1048" s="67">
        <v>45808730</v>
      </c>
      <c r="H1048" s="67">
        <v>28589286</v>
      </c>
      <c r="I1048" s="67">
        <v>25990260</v>
      </c>
      <c r="J1048" s="67">
        <v>12320034</v>
      </c>
      <c r="K1048" s="67">
        <v>13670226</v>
      </c>
      <c r="L1048" s="67">
        <v>6702830</v>
      </c>
      <c r="M1048" s="67">
        <v>6967396</v>
      </c>
      <c r="N1048" s="110">
        <v>0.15209755869678115</v>
      </c>
    </row>
    <row r="1049" spans="1:14" hidden="1">
      <c r="A1049" s="2">
        <v>2026</v>
      </c>
      <c r="B1049" s="2">
        <v>5</v>
      </c>
      <c r="C1049" s="66" t="s">
        <v>227</v>
      </c>
      <c r="D1049" s="2" t="s">
        <v>110</v>
      </c>
      <c r="E1049" s="2" t="s">
        <v>111</v>
      </c>
      <c r="F1049" s="78" t="str">
        <f>VLOOKUP('표1'!$E1049,구분!$C$3:$D$72,2,0)</f>
        <v>동일</v>
      </c>
      <c r="G1049" s="67">
        <v>140435320</v>
      </c>
      <c r="H1049" s="67">
        <v>86958639</v>
      </c>
      <c r="I1049" s="67">
        <v>79053308</v>
      </c>
      <c r="J1049" s="67">
        <v>41692350</v>
      </c>
      <c r="K1049" s="67">
        <v>37360958</v>
      </c>
      <c r="L1049" s="67">
        <v>19559420</v>
      </c>
      <c r="M1049" s="67">
        <v>17801538</v>
      </c>
      <c r="N1049" s="110">
        <v>0.12675969264712039</v>
      </c>
    </row>
    <row r="1050" spans="1:14" hidden="1">
      <c r="A1050" s="2">
        <v>2026</v>
      </c>
      <c r="B1050" s="2">
        <v>5</v>
      </c>
      <c r="C1050" s="66" t="s">
        <v>227</v>
      </c>
      <c r="D1050" s="2" t="s">
        <v>112</v>
      </c>
      <c r="E1050" s="2" t="s">
        <v>113</v>
      </c>
      <c r="F1050" s="78" t="str">
        <f>VLOOKUP('표1'!$E1050,구분!$C$3:$D$72,2,0)</f>
        <v>동일</v>
      </c>
      <c r="G1050" s="67">
        <v>62000000</v>
      </c>
      <c r="H1050" s="67">
        <v>38440000</v>
      </c>
      <c r="I1050" s="67">
        <v>34945455</v>
      </c>
      <c r="J1050" s="67">
        <v>16205025</v>
      </c>
      <c r="K1050" s="67">
        <v>18740430</v>
      </c>
      <c r="L1050" s="67">
        <v>6306110</v>
      </c>
      <c r="M1050" s="67">
        <v>12434320</v>
      </c>
      <c r="N1050" s="110">
        <v>0.20055354838709677</v>
      </c>
    </row>
    <row r="1051" spans="1:14" hidden="1">
      <c r="A1051" s="2">
        <v>2026</v>
      </c>
      <c r="B1051" s="2">
        <v>5</v>
      </c>
      <c r="C1051" s="66" t="s">
        <v>227</v>
      </c>
      <c r="D1051" s="2" t="s">
        <v>116</v>
      </c>
      <c r="E1051" s="2" t="s">
        <v>117</v>
      </c>
      <c r="F1051" s="78" t="str">
        <f>VLOOKUP('표1'!$E1051,구분!$C$3:$D$72,2,0)</f>
        <v>동일</v>
      </c>
      <c r="G1051" s="67">
        <v>21019440</v>
      </c>
      <c r="H1051" s="67">
        <v>13033230</v>
      </c>
      <c r="I1051" s="67">
        <v>11848391</v>
      </c>
      <c r="J1051" s="67">
        <v>5926500</v>
      </c>
      <c r="K1051" s="67">
        <v>5921891</v>
      </c>
      <c r="L1051" s="67">
        <v>5633050</v>
      </c>
      <c r="M1051" s="67">
        <v>288841</v>
      </c>
      <c r="N1051" s="110">
        <v>1.3741612526308979E-2</v>
      </c>
    </row>
    <row r="1052" spans="1:14" hidden="1">
      <c r="A1052" s="2">
        <v>2026</v>
      </c>
      <c r="B1052" s="2">
        <v>5</v>
      </c>
      <c r="C1052" s="66" t="s">
        <v>227</v>
      </c>
      <c r="D1052" s="2" t="s">
        <v>118</v>
      </c>
      <c r="E1052" s="2" t="s">
        <v>119</v>
      </c>
      <c r="F1052" s="78" t="str">
        <f>VLOOKUP('표1'!$E1052,구분!$C$3:$D$72,2,0)</f>
        <v>동일</v>
      </c>
      <c r="G1052" s="67">
        <v>115875950</v>
      </c>
      <c r="H1052" s="67">
        <v>71870489</v>
      </c>
      <c r="I1052" s="67">
        <v>65336808</v>
      </c>
      <c r="J1052" s="67">
        <v>29108269</v>
      </c>
      <c r="K1052" s="67">
        <v>36228539</v>
      </c>
      <c r="L1052" s="67">
        <v>16622460</v>
      </c>
      <c r="M1052" s="67">
        <v>19606079</v>
      </c>
      <c r="N1052" s="110">
        <v>0.16919886309454205</v>
      </c>
    </row>
    <row r="1053" spans="1:14" hidden="1">
      <c r="A1053" s="2">
        <v>2026</v>
      </c>
      <c r="B1053" s="2">
        <v>5</v>
      </c>
      <c r="C1053" s="66" t="s">
        <v>227</v>
      </c>
      <c r="D1053" s="2" t="s">
        <v>180</v>
      </c>
      <c r="E1053" s="2" t="s">
        <v>181</v>
      </c>
      <c r="F1053" s="78" t="str">
        <f>VLOOKUP('표1'!$E1053,구분!$C$3:$D$72,2,0)</f>
        <v>동일</v>
      </c>
      <c r="G1053" s="67">
        <v>57987500</v>
      </c>
      <c r="H1053" s="67">
        <v>36942569</v>
      </c>
      <c r="I1053" s="67">
        <v>33584154</v>
      </c>
      <c r="J1053" s="67">
        <v>15731366</v>
      </c>
      <c r="K1053" s="67">
        <v>17852788</v>
      </c>
      <c r="L1053" s="67">
        <v>8432210</v>
      </c>
      <c r="M1053" s="67">
        <v>9420578</v>
      </c>
      <c r="N1053" s="110">
        <v>0.16245877128691527</v>
      </c>
    </row>
    <row r="1054" spans="1:14" hidden="1">
      <c r="A1054" s="2">
        <v>2026</v>
      </c>
      <c r="B1054" s="2">
        <v>5</v>
      </c>
      <c r="C1054" s="66" t="s">
        <v>227</v>
      </c>
      <c r="D1054" s="2" t="s">
        <v>120</v>
      </c>
      <c r="E1054" s="2" t="s">
        <v>121</v>
      </c>
      <c r="F1054" s="78" t="str">
        <f>VLOOKUP('표1'!$E1054,구분!$C$3:$D$72,2,0)</f>
        <v>동일</v>
      </c>
      <c r="G1054" s="67">
        <v>113884530</v>
      </c>
      <c r="H1054" s="67">
        <v>72650074</v>
      </c>
      <c r="I1054" s="67">
        <v>66045522</v>
      </c>
      <c r="J1054" s="67">
        <v>32590965</v>
      </c>
      <c r="K1054" s="67">
        <v>33454557</v>
      </c>
      <c r="L1054" s="67">
        <v>14090850</v>
      </c>
      <c r="M1054" s="67">
        <v>19363707</v>
      </c>
      <c r="N1054" s="110">
        <v>0.17002930073118799</v>
      </c>
    </row>
    <row r="1055" spans="1:14" hidden="1">
      <c r="A1055" s="2">
        <v>2026</v>
      </c>
      <c r="B1055" s="2">
        <v>5</v>
      </c>
      <c r="C1055" s="66" t="s">
        <v>227</v>
      </c>
      <c r="D1055" s="2" t="s">
        <v>122</v>
      </c>
      <c r="E1055" s="2" t="s">
        <v>123</v>
      </c>
      <c r="F1055" s="78" t="str">
        <f>VLOOKUP('표1'!$E1055,구분!$C$3:$D$72,2,0)</f>
        <v>동일</v>
      </c>
      <c r="G1055" s="67">
        <v>61873400</v>
      </c>
      <c r="H1055" s="67">
        <v>39245937</v>
      </c>
      <c r="I1055" s="67">
        <v>35678125</v>
      </c>
      <c r="J1055" s="67">
        <v>16798181</v>
      </c>
      <c r="K1055" s="67">
        <v>18879944</v>
      </c>
      <c r="L1055" s="67">
        <v>10782430</v>
      </c>
      <c r="M1055" s="67">
        <v>8097514</v>
      </c>
      <c r="N1055" s="110">
        <v>0.13087229730384947</v>
      </c>
    </row>
    <row r="1056" spans="1:14" hidden="1">
      <c r="A1056" s="2">
        <v>2026</v>
      </c>
      <c r="B1056" s="2">
        <v>5</v>
      </c>
      <c r="C1056" s="66" t="s">
        <v>227</v>
      </c>
      <c r="D1056" s="2" t="s">
        <v>124</v>
      </c>
      <c r="E1056" s="2" t="s">
        <v>125</v>
      </c>
      <c r="F1056" s="78" t="str">
        <f>VLOOKUP('표1'!$E1056,구분!$C$3:$D$72,2,0)</f>
        <v>동일</v>
      </c>
      <c r="G1056" s="67">
        <v>109556570</v>
      </c>
      <c r="H1056" s="67">
        <v>67925073</v>
      </c>
      <c r="I1056" s="67">
        <v>61750066</v>
      </c>
      <c r="J1056" s="67">
        <v>28830522</v>
      </c>
      <c r="K1056" s="67">
        <v>32919544</v>
      </c>
      <c r="L1056" s="67">
        <v>8559470</v>
      </c>
      <c r="M1056" s="67">
        <v>24360074</v>
      </c>
      <c r="N1056" s="110">
        <v>0.2223515577386185</v>
      </c>
    </row>
    <row r="1057" spans="1:14" hidden="1">
      <c r="A1057" s="2">
        <v>2026</v>
      </c>
      <c r="B1057" s="2">
        <v>5</v>
      </c>
      <c r="C1057" s="66" t="s">
        <v>227</v>
      </c>
      <c r="D1057" s="2" t="s">
        <v>126</v>
      </c>
      <c r="E1057" s="2" t="s">
        <v>127</v>
      </c>
      <c r="F1057" s="78" t="str">
        <f>VLOOKUP('표1'!$E1057,구분!$C$3:$D$72,2,0)</f>
        <v>동일</v>
      </c>
      <c r="G1057" s="67">
        <v>92603710</v>
      </c>
      <c r="H1057" s="67">
        <v>58628111</v>
      </c>
      <c r="I1057" s="67">
        <v>53298283</v>
      </c>
      <c r="J1057" s="67">
        <v>25789846</v>
      </c>
      <c r="K1057" s="67">
        <v>27508437</v>
      </c>
      <c r="L1057" s="67">
        <v>13826010</v>
      </c>
      <c r="M1057" s="67">
        <v>13682427</v>
      </c>
      <c r="N1057" s="110">
        <v>0.14775247125628119</v>
      </c>
    </row>
    <row r="1058" spans="1:14">
      <c r="A1058" s="2">
        <v>2026</v>
      </c>
      <c r="B1058" s="2">
        <v>5</v>
      </c>
      <c r="C1058" s="66" t="s">
        <v>227</v>
      </c>
      <c r="D1058" s="2" t="s">
        <v>128</v>
      </c>
      <c r="E1058" s="2" t="s">
        <v>129</v>
      </c>
      <c r="F1058" s="78" t="str">
        <f>VLOOKUP('표1'!$E1058,구분!$C$3:$D$72,2,0)</f>
        <v>동일</v>
      </c>
      <c r="G1058" s="67">
        <v>131578880</v>
      </c>
      <c r="H1058" s="67">
        <v>82862233</v>
      </c>
      <c r="I1058" s="67">
        <v>75329303</v>
      </c>
      <c r="J1058" s="67">
        <v>38519631</v>
      </c>
      <c r="K1058" s="67">
        <v>36809672</v>
      </c>
      <c r="L1058" s="67">
        <v>19080390</v>
      </c>
      <c r="M1058" s="67">
        <v>17729282</v>
      </c>
      <c r="N1058" s="110">
        <v>0.13474261218821745</v>
      </c>
    </row>
    <row r="1059" spans="1:14" hidden="1">
      <c r="A1059" s="2">
        <v>2026</v>
      </c>
      <c r="B1059" s="2">
        <v>5</v>
      </c>
      <c r="C1059" s="66" t="s">
        <v>227</v>
      </c>
      <c r="D1059" s="2" t="s">
        <v>130</v>
      </c>
      <c r="E1059" s="2" t="s">
        <v>131</v>
      </c>
      <c r="F1059" s="78" t="str">
        <f>VLOOKUP('표1'!$E1059,구분!$C$3:$D$72,2,0)</f>
        <v>동일</v>
      </c>
      <c r="G1059" s="67">
        <v>56037950</v>
      </c>
      <c r="H1059" s="67">
        <v>35303910</v>
      </c>
      <c r="I1059" s="67">
        <v>32094464</v>
      </c>
      <c r="J1059" s="67">
        <v>14241140</v>
      </c>
      <c r="K1059" s="67">
        <v>17853324</v>
      </c>
      <c r="L1059" s="67">
        <v>7043750</v>
      </c>
      <c r="M1059" s="67">
        <v>10809574</v>
      </c>
      <c r="N1059" s="110">
        <v>0.19289738471874862</v>
      </c>
    </row>
    <row r="1060" spans="1:14" hidden="1">
      <c r="A1060" s="2">
        <v>2026</v>
      </c>
      <c r="B1060" s="2">
        <v>5</v>
      </c>
      <c r="C1060" s="66" t="s">
        <v>227</v>
      </c>
      <c r="D1060" s="2" t="s">
        <v>132</v>
      </c>
      <c r="E1060" s="2" t="s">
        <v>133</v>
      </c>
      <c r="F1060" s="78" t="str">
        <f>VLOOKUP('표1'!$E1060,구분!$C$3:$D$72,2,0)</f>
        <v>동일</v>
      </c>
      <c r="G1060" s="67">
        <v>38455850</v>
      </c>
      <c r="H1060" s="67">
        <v>24227186</v>
      </c>
      <c r="I1060" s="67">
        <v>22024715</v>
      </c>
      <c r="J1060" s="67">
        <v>9505078</v>
      </c>
      <c r="K1060" s="67">
        <v>12519637</v>
      </c>
      <c r="L1060" s="67">
        <v>3830580</v>
      </c>
      <c r="M1060" s="67">
        <v>8689057</v>
      </c>
      <c r="N1060" s="110">
        <v>0.22594889984228667</v>
      </c>
    </row>
    <row r="1061" spans="1:14" hidden="1">
      <c r="A1061" s="2">
        <v>2026</v>
      </c>
      <c r="B1061" s="2">
        <v>5</v>
      </c>
      <c r="C1061" s="66" t="s">
        <v>227</v>
      </c>
      <c r="D1061" s="2" t="s">
        <v>134</v>
      </c>
      <c r="E1061" s="2" t="s">
        <v>135</v>
      </c>
      <c r="F1061" s="78" t="str">
        <f>VLOOKUP('표1'!$E1061,구분!$C$3:$D$72,2,0)</f>
        <v>동일</v>
      </c>
      <c r="G1061" s="67">
        <v>56748840</v>
      </c>
      <c r="H1061" s="67">
        <v>35917044</v>
      </c>
      <c r="I1061" s="67">
        <v>32651858</v>
      </c>
      <c r="J1061" s="67">
        <v>16244477</v>
      </c>
      <c r="K1061" s="67">
        <v>16407381</v>
      </c>
      <c r="L1061" s="67">
        <v>8578680</v>
      </c>
      <c r="M1061" s="67">
        <v>7828701</v>
      </c>
      <c r="N1061" s="110">
        <v>0.13795349825652825</v>
      </c>
    </row>
    <row r="1062" spans="1:14" hidden="1">
      <c r="A1062" s="2">
        <v>2026</v>
      </c>
      <c r="B1062" s="2">
        <v>5</v>
      </c>
      <c r="C1062" s="66" t="s">
        <v>227</v>
      </c>
      <c r="D1062" s="2" t="s">
        <v>136</v>
      </c>
      <c r="E1062" s="2" t="s">
        <v>137</v>
      </c>
      <c r="F1062" s="78" t="str">
        <f>VLOOKUP('표1'!$E1062,구분!$C$3:$D$72,2,0)</f>
        <v>동일</v>
      </c>
      <c r="G1062" s="67">
        <v>64638670</v>
      </c>
      <c r="H1062" s="67">
        <v>41312269</v>
      </c>
      <c r="I1062" s="67">
        <v>37556608</v>
      </c>
      <c r="J1062" s="67">
        <v>18812270</v>
      </c>
      <c r="K1062" s="67">
        <v>18744338</v>
      </c>
      <c r="L1062" s="67">
        <v>8239540</v>
      </c>
      <c r="M1062" s="67">
        <v>10504798</v>
      </c>
      <c r="N1062" s="110">
        <v>0.16251568913778702</v>
      </c>
    </row>
    <row r="1063" spans="1:14" hidden="1">
      <c r="A1063" s="2">
        <v>2026</v>
      </c>
      <c r="B1063" s="2">
        <v>5</v>
      </c>
      <c r="C1063" s="66" t="s">
        <v>227</v>
      </c>
      <c r="D1063" s="2" t="s">
        <v>138</v>
      </c>
      <c r="E1063" s="2" t="s">
        <v>139</v>
      </c>
      <c r="F1063" s="78" t="str">
        <f>VLOOKUP('표1'!$E1063,구분!$C$3:$D$72,2,0)</f>
        <v>동일</v>
      </c>
      <c r="G1063" s="67">
        <v>36733150</v>
      </c>
      <c r="H1063" s="67">
        <v>23139191</v>
      </c>
      <c r="I1063" s="67">
        <v>21035628</v>
      </c>
      <c r="J1063" s="67">
        <v>9942481</v>
      </c>
      <c r="K1063" s="67">
        <v>11093147</v>
      </c>
      <c r="L1063" s="67">
        <v>5303170</v>
      </c>
      <c r="M1063" s="67">
        <v>5789977</v>
      </c>
      <c r="N1063" s="110">
        <v>0.15762266508589654</v>
      </c>
    </row>
    <row r="1064" spans="1:14" hidden="1">
      <c r="A1064" s="2">
        <v>2026</v>
      </c>
      <c r="B1064" s="2">
        <v>5</v>
      </c>
      <c r="C1064" s="66" t="s">
        <v>227</v>
      </c>
      <c r="D1064" s="2" t="s">
        <v>140</v>
      </c>
      <c r="E1064" s="2" t="s">
        <v>141</v>
      </c>
      <c r="F1064" s="78" t="str">
        <f>VLOOKUP('표1'!$E1064,구분!$C$3:$D$72,2,0)</f>
        <v>동일</v>
      </c>
      <c r="G1064" s="67">
        <v>128665630</v>
      </c>
      <c r="H1064" s="67">
        <v>81921659</v>
      </c>
      <c r="I1064" s="67">
        <v>74474235</v>
      </c>
      <c r="J1064" s="67">
        <v>34081333</v>
      </c>
      <c r="K1064" s="67">
        <v>40392902</v>
      </c>
      <c r="L1064" s="67">
        <v>18001690</v>
      </c>
      <c r="M1064" s="67">
        <v>22391212</v>
      </c>
      <c r="N1064" s="110">
        <v>0.17402636586009798</v>
      </c>
    </row>
    <row r="1065" spans="1:14" hidden="1">
      <c r="A1065" s="2">
        <v>2026</v>
      </c>
      <c r="B1065" s="2">
        <v>5</v>
      </c>
      <c r="C1065" s="66" t="s">
        <v>227</v>
      </c>
      <c r="D1065" s="2" t="s">
        <v>142</v>
      </c>
      <c r="E1065" s="2" t="s">
        <v>143</v>
      </c>
      <c r="F1065" s="78" t="str">
        <f>VLOOKUP('표1'!$E1065,구분!$C$3:$D$72,2,0)</f>
        <v>동일</v>
      </c>
      <c r="G1065" s="67">
        <v>57171610</v>
      </c>
      <c r="H1065" s="67">
        <v>36292863</v>
      </c>
      <c r="I1065" s="67">
        <v>32993512</v>
      </c>
      <c r="J1065" s="67">
        <v>14960376</v>
      </c>
      <c r="K1065" s="67">
        <v>18033136</v>
      </c>
      <c r="L1065" s="67">
        <v>5197880</v>
      </c>
      <c r="M1065" s="67">
        <v>12835256</v>
      </c>
      <c r="N1065" s="110">
        <v>0.22450401519215568</v>
      </c>
    </row>
    <row r="1066" spans="1:14" hidden="1">
      <c r="A1066" s="2">
        <v>2026</v>
      </c>
      <c r="B1066" s="2">
        <v>5</v>
      </c>
      <c r="C1066" s="66" t="s">
        <v>227</v>
      </c>
      <c r="D1066" s="2" t="s">
        <v>144</v>
      </c>
      <c r="E1066" s="2" t="s">
        <v>145</v>
      </c>
      <c r="F1066" s="78" t="str">
        <f>VLOOKUP('표1'!$E1066,구분!$C$3:$D$72,2,0)</f>
        <v>동일</v>
      </c>
      <c r="G1066" s="67">
        <v>46885330</v>
      </c>
      <c r="H1066" s="67">
        <v>29509820</v>
      </c>
      <c r="I1066" s="67">
        <v>26827109</v>
      </c>
      <c r="J1066" s="67">
        <v>13004358</v>
      </c>
      <c r="K1066" s="67">
        <v>13822751</v>
      </c>
      <c r="L1066" s="67">
        <v>6601990</v>
      </c>
      <c r="M1066" s="67">
        <v>7220761</v>
      </c>
      <c r="N1066" s="110">
        <v>0.15400896186504393</v>
      </c>
    </row>
    <row r="1067" spans="1:14" hidden="1">
      <c r="A1067" s="2">
        <v>2026</v>
      </c>
      <c r="B1067" s="2">
        <v>5</v>
      </c>
      <c r="C1067" s="66" t="s">
        <v>227</v>
      </c>
      <c r="D1067" s="2" t="s">
        <v>146</v>
      </c>
      <c r="E1067" s="2" t="s">
        <v>147</v>
      </c>
      <c r="F1067" s="78" t="str">
        <f>VLOOKUP('표1'!$E1067,구분!$C$3:$D$72,2,0)</f>
        <v>동일</v>
      </c>
      <c r="G1067" s="67">
        <v>113477660</v>
      </c>
      <c r="H1067" s="67">
        <v>71341111</v>
      </c>
      <c r="I1067" s="67">
        <v>64855555</v>
      </c>
      <c r="J1067" s="67">
        <v>31453970</v>
      </c>
      <c r="K1067" s="67">
        <v>33401585</v>
      </c>
      <c r="L1067" s="67">
        <v>14278730</v>
      </c>
      <c r="M1067" s="67">
        <v>19122855</v>
      </c>
      <c r="N1067" s="110">
        <v>0.16851647275772166</v>
      </c>
    </row>
    <row r="1068" spans="1:14" hidden="1">
      <c r="A1068" s="2">
        <v>2026</v>
      </c>
      <c r="B1068" s="2">
        <v>5</v>
      </c>
      <c r="C1068" s="66" t="s">
        <v>227</v>
      </c>
      <c r="D1068" s="2" t="s">
        <v>148</v>
      </c>
      <c r="E1068" s="2" t="s">
        <v>149</v>
      </c>
      <c r="F1068" s="78" t="str">
        <f>VLOOKUP('표1'!$E1068,구분!$C$3:$D$72,2,0)</f>
        <v>동일</v>
      </c>
      <c r="G1068" s="67">
        <v>24307440</v>
      </c>
      <c r="H1068" s="67">
        <v>15497199</v>
      </c>
      <c r="I1068" s="67">
        <v>14088363</v>
      </c>
      <c r="J1068" s="67">
        <v>6758681</v>
      </c>
      <c r="K1068" s="67">
        <v>7329682</v>
      </c>
      <c r="L1068" s="67">
        <v>5053120</v>
      </c>
      <c r="M1068" s="67">
        <v>2276562</v>
      </c>
      <c r="N1068" s="110">
        <v>9.3657003781558237E-2</v>
      </c>
    </row>
    <row r="1069" spans="1:14" hidden="1">
      <c r="A1069" s="2">
        <v>2026</v>
      </c>
      <c r="B1069" s="2">
        <v>5</v>
      </c>
      <c r="C1069" s="66" t="s">
        <v>227</v>
      </c>
      <c r="D1069" s="2" t="s">
        <v>150</v>
      </c>
      <c r="E1069" s="2" t="s">
        <v>151</v>
      </c>
      <c r="F1069" s="78" t="str">
        <f>VLOOKUP('표1'!$E1069,구분!$C$3:$D$72,2,0)</f>
        <v>동일</v>
      </c>
      <c r="G1069" s="67">
        <v>43238250</v>
      </c>
      <c r="H1069" s="67">
        <v>27477936</v>
      </c>
      <c r="I1069" s="67">
        <v>24979942</v>
      </c>
      <c r="J1069" s="67">
        <v>12085497</v>
      </c>
      <c r="K1069" s="67">
        <v>12894445</v>
      </c>
      <c r="L1069" s="67">
        <v>5904760</v>
      </c>
      <c r="M1069" s="67">
        <v>6989685</v>
      </c>
      <c r="N1069" s="110">
        <v>0.16165513174099322</v>
      </c>
    </row>
    <row r="1070" spans="1:14" hidden="1">
      <c r="A1070" s="2">
        <v>2026</v>
      </c>
      <c r="B1070" s="2">
        <v>5</v>
      </c>
      <c r="C1070" s="66" t="s">
        <v>227</v>
      </c>
      <c r="D1070" s="2" t="s">
        <v>152</v>
      </c>
      <c r="E1070" s="2" t="s">
        <v>217</v>
      </c>
      <c r="F1070" s="78" t="str">
        <f>VLOOKUP('표1'!$E1070,구분!$C$3:$D$72,2,0)</f>
        <v>동일</v>
      </c>
      <c r="G1070" s="67">
        <v>45179020</v>
      </c>
      <c r="H1070" s="67">
        <v>28129518</v>
      </c>
      <c r="I1070" s="67">
        <v>25572289</v>
      </c>
      <c r="J1070" s="67">
        <v>12149152</v>
      </c>
      <c r="K1070" s="67">
        <v>13423137</v>
      </c>
      <c r="L1070" s="67">
        <v>6015190</v>
      </c>
      <c r="M1070" s="67">
        <v>7407947</v>
      </c>
      <c r="N1070" s="110">
        <v>0.16396874035780323</v>
      </c>
    </row>
    <row r="1071" spans="1:14" hidden="1">
      <c r="A1071" s="2">
        <v>2026</v>
      </c>
      <c r="B1071" s="2">
        <v>5</v>
      </c>
      <c r="C1071" s="66" t="s">
        <v>227</v>
      </c>
      <c r="D1071" s="2" t="s">
        <v>189</v>
      </c>
      <c r="E1071" s="2" t="s">
        <v>218</v>
      </c>
      <c r="F1071" s="78" t="str">
        <f>VLOOKUP('표1'!$E1071,구분!$C$3:$D$72,2,0)</f>
        <v>동일</v>
      </c>
      <c r="G1071" s="67">
        <v>58176500</v>
      </c>
      <c r="H1071" s="67">
        <v>37696749</v>
      </c>
      <c r="I1071" s="67">
        <v>34269772</v>
      </c>
      <c r="J1071" s="67">
        <v>17601242</v>
      </c>
      <c r="K1071" s="67">
        <v>16668530</v>
      </c>
      <c r="L1071" s="67">
        <v>8673550</v>
      </c>
      <c r="M1071" s="67">
        <v>7994980</v>
      </c>
      <c r="N1071" s="110">
        <v>0.13742628037094015</v>
      </c>
    </row>
    <row r="1072" spans="1:14" hidden="1">
      <c r="A1072" s="2">
        <v>2026</v>
      </c>
      <c r="B1072" s="2">
        <v>5</v>
      </c>
      <c r="C1072" s="66" t="s">
        <v>227</v>
      </c>
      <c r="D1072" s="2" t="s">
        <v>154</v>
      </c>
      <c r="E1072" s="2" t="s">
        <v>155</v>
      </c>
      <c r="F1072" s="78" t="str">
        <f>VLOOKUP('표1'!$E1072,구분!$C$3:$D$72,2,0)</f>
        <v>동일</v>
      </c>
      <c r="G1072" s="67">
        <v>90644770</v>
      </c>
      <c r="H1072" s="67">
        <v>57099753</v>
      </c>
      <c r="I1072" s="67">
        <v>51908866</v>
      </c>
      <c r="J1072" s="67">
        <v>25857126</v>
      </c>
      <c r="K1072" s="67">
        <v>26051740</v>
      </c>
      <c r="L1072" s="67">
        <v>14723420</v>
      </c>
      <c r="M1072" s="67">
        <v>11328320</v>
      </c>
      <c r="N1072" s="110">
        <v>0.12497488823679513</v>
      </c>
    </row>
    <row r="1073" spans="1:14" hidden="1">
      <c r="A1073" s="2">
        <v>2026</v>
      </c>
      <c r="B1073" s="2">
        <v>5</v>
      </c>
      <c r="C1073" s="66" t="s">
        <v>227</v>
      </c>
      <c r="D1073" s="2" t="s">
        <v>156</v>
      </c>
      <c r="E1073" s="2" t="s">
        <v>157</v>
      </c>
      <c r="F1073" s="78" t="str">
        <f>VLOOKUP('표1'!$E1073,구분!$C$3:$D$72,2,0)</f>
        <v>동일</v>
      </c>
      <c r="G1073" s="67">
        <v>119883530</v>
      </c>
      <c r="H1073" s="67">
        <v>91710975</v>
      </c>
      <c r="I1073" s="67">
        <v>83373614</v>
      </c>
      <c r="J1073" s="67">
        <v>33349056</v>
      </c>
      <c r="K1073" s="67">
        <v>50024558</v>
      </c>
      <c r="L1073" s="67">
        <v>16185730</v>
      </c>
      <c r="M1073" s="67">
        <v>33838828</v>
      </c>
      <c r="N1073" s="110">
        <v>0.28226419425587485</v>
      </c>
    </row>
    <row r="1074" spans="1:14" hidden="1">
      <c r="A1074" s="2">
        <v>2026</v>
      </c>
      <c r="B1074" s="2">
        <v>5</v>
      </c>
      <c r="C1074" s="66" t="s">
        <v>227</v>
      </c>
      <c r="D1074" s="2" t="s">
        <v>158</v>
      </c>
      <c r="E1074" s="2" t="s">
        <v>159</v>
      </c>
      <c r="F1074" s="78" t="str">
        <f>VLOOKUP('표1'!$E1074,구분!$C$3:$D$72,2,0)</f>
        <v>동일</v>
      </c>
      <c r="G1074" s="67">
        <v>73026250</v>
      </c>
      <c r="H1074" s="67">
        <v>56230260</v>
      </c>
      <c r="I1074" s="67">
        <v>51118418</v>
      </c>
      <c r="J1074" s="67">
        <v>21349311</v>
      </c>
      <c r="K1074" s="67">
        <v>29769107</v>
      </c>
      <c r="L1074" s="67">
        <v>11685650</v>
      </c>
      <c r="M1074" s="67">
        <v>18083457</v>
      </c>
      <c r="N1074" s="110">
        <v>0.24762954417076052</v>
      </c>
    </row>
    <row r="1075" spans="1:14" hidden="1">
      <c r="A1075" s="2">
        <v>2026</v>
      </c>
      <c r="B1075" s="2">
        <v>5</v>
      </c>
      <c r="C1075" s="66" t="s">
        <v>227</v>
      </c>
      <c r="D1075" s="2" t="s">
        <v>160</v>
      </c>
      <c r="E1075" s="2" t="s">
        <v>161</v>
      </c>
      <c r="F1075" s="78" t="str">
        <f>VLOOKUP('표1'!$E1075,구분!$C$3:$D$72,2,0)</f>
        <v>동일</v>
      </c>
      <c r="G1075" s="67">
        <v>44347650</v>
      </c>
      <c r="H1075" s="67">
        <v>33925981</v>
      </c>
      <c r="I1075" s="67">
        <v>30841801</v>
      </c>
      <c r="J1075" s="67">
        <v>12572290</v>
      </c>
      <c r="K1075" s="67">
        <v>18269511</v>
      </c>
      <c r="L1075" s="67">
        <v>7262800</v>
      </c>
      <c r="M1075" s="67">
        <v>11006711</v>
      </c>
      <c r="N1075" s="110">
        <v>0.24819152762322241</v>
      </c>
    </row>
    <row r="1076" spans="1:14" hidden="1">
      <c r="A1076" s="2">
        <v>2026</v>
      </c>
      <c r="B1076" s="2">
        <v>5</v>
      </c>
      <c r="C1076" s="66" t="s">
        <v>227</v>
      </c>
      <c r="D1076" s="2" t="s">
        <v>162</v>
      </c>
      <c r="E1076" s="2" t="s">
        <v>163</v>
      </c>
      <c r="F1076" s="78" t="str">
        <f>VLOOKUP('표1'!$E1076,구분!$C$3:$D$72,2,0)</f>
        <v>동일</v>
      </c>
      <c r="G1076" s="67">
        <v>29325890</v>
      </c>
      <c r="H1076" s="67">
        <v>22580966</v>
      </c>
      <c r="I1076" s="67">
        <v>20528151</v>
      </c>
      <c r="J1076" s="67">
        <v>9240770</v>
      </c>
      <c r="K1076" s="67">
        <v>11287381</v>
      </c>
      <c r="L1076" s="67">
        <v>5073610</v>
      </c>
      <c r="M1076" s="67">
        <v>6213771</v>
      </c>
      <c r="N1076" s="110">
        <v>0.2118868685656258</v>
      </c>
    </row>
    <row r="1077" spans="1:14" hidden="1">
      <c r="A1077" s="2">
        <v>2026</v>
      </c>
      <c r="B1077" s="2">
        <v>5</v>
      </c>
      <c r="C1077" s="66" t="s">
        <v>227</v>
      </c>
      <c r="D1077" s="2" t="s">
        <v>164</v>
      </c>
      <c r="E1077" s="2" t="s">
        <v>165</v>
      </c>
      <c r="F1077" s="78" t="str">
        <f>VLOOKUP('표1'!$E1077,구분!$C$3:$D$72,2,0)</f>
        <v>동일</v>
      </c>
      <c r="G1077" s="67">
        <v>51827930</v>
      </c>
      <c r="H1077" s="67">
        <v>39907543</v>
      </c>
      <c r="I1077" s="67">
        <v>36279585</v>
      </c>
      <c r="J1077" s="67">
        <v>16440531</v>
      </c>
      <c r="K1077" s="67">
        <v>19839054</v>
      </c>
      <c r="L1077" s="67">
        <v>8864890</v>
      </c>
      <c r="M1077" s="67">
        <v>10974164</v>
      </c>
      <c r="N1077" s="110">
        <v>0.21174227872886298</v>
      </c>
    </row>
    <row r="1078" spans="1:14" hidden="1">
      <c r="A1078" s="2">
        <v>2026</v>
      </c>
      <c r="B1078" s="2">
        <v>5</v>
      </c>
      <c r="C1078" s="66" t="s">
        <v>227</v>
      </c>
      <c r="D1078" s="2" t="s">
        <v>166</v>
      </c>
      <c r="E1078" s="2" t="s">
        <v>167</v>
      </c>
      <c r="F1078" s="78" t="str">
        <f>VLOOKUP('표1'!$E1078,구분!$C$3:$D$72,2,0)</f>
        <v>동일</v>
      </c>
      <c r="G1078" s="67">
        <v>38322990</v>
      </c>
      <c r="H1078" s="67">
        <v>29508709</v>
      </c>
      <c r="I1078" s="67">
        <v>26826099</v>
      </c>
      <c r="J1078" s="67">
        <v>11901018</v>
      </c>
      <c r="K1078" s="67">
        <v>14925081</v>
      </c>
      <c r="L1078" s="67">
        <v>5176820</v>
      </c>
      <c r="M1078" s="67">
        <v>9748261</v>
      </c>
      <c r="N1078" s="110">
        <v>0.25437109682725695</v>
      </c>
    </row>
    <row r="1079" spans="1:14" hidden="1">
      <c r="A1079" s="2">
        <v>2026</v>
      </c>
      <c r="B1079" s="2">
        <v>5</v>
      </c>
      <c r="C1079" s="66" t="s">
        <v>227</v>
      </c>
      <c r="D1079" s="2" t="s">
        <v>168</v>
      </c>
      <c r="E1079" s="2" t="s">
        <v>169</v>
      </c>
      <c r="F1079" s="78" t="str">
        <f>VLOOKUP('표1'!$E1079,구분!$C$3:$D$72,2,0)</f>
        <v>동일</v>
      </c>
      <c r="G1079" s="67">
        <v>54807810</v>
      </c>
      <c r="H1079" s="67">
        <v>42202034</v>
      </c>
      <c r="I1079" s="67">
        <v>38365485</v>
      </c>
      <c r="J1079" s="67">
        <v>16501118</v>
      </c>
      <c r="K1079" s="67">
        <v>21864367</v>
      </c>
      <c r="L1079" s="67">
        <v>8698870</v>
      </c>
      <c r="M1079" s="67">
        <v>13165497</v>
      </c>
      <c r="N1079" s="110">
        <v>0.24021206101831108</v>
      </c>
    </row>
    <row r="1080" spans="1:14" hidden="1">
      <c r="A1080" s="2">
        <v>2026</v>
      </c>
      <c r="B1080" s="2">
        <v>5</v>
      </c>
      <c r="C1080" s="66" t="s">
        <v>227</v>
      </c>
      <c r="D1080" s="2" t="s">
        <v>172</v>
      </c>
      <c r="E1080" s="2" t="s">
        <v>219</v>
      </c>
      <c r="F1080" s="78" t="str">
        <f>VLOOKUP('표1'!$E1080,구분!$C$3:$D$72,2,0)</f>
        <v>동일</v>
      </c>
      <c r="G1080" s="67">
        <v>55264530</v>
      </c>
      <c r="H1080" s="67">
        <v>43106334</v>
      </c>
      <c r="I1080" s="67">
        <v>39187576</v>
      </c>
      <c r="J1080" s="67">
        <v>16433453</v>
      </c>
      <c r="K1080" s="67">
        <v>22754123</v>
      </c>
      <c r="L1080" s="67">
        <v>8179640</v>
      </c>
      <c r="M1080" s="67">
        <v>14574483</v>
      </c>
      <c r="N1080" s="110">
        <v>0.26372219215471476</v>
      </c>
    </row>
    <row r="1081" spans="1:14" hidden="1">
      <c r="A1081" s="2">
        <v>2026</v>
      </c>
      <c r="B1081" s="2">
        <v>5</v>
      </c>
      <c r="C1081" s="66" t="s">
        <v>227</v>
      </c>
      <c r="D1081" s="2" t="s">
        <v>174</v>
      </c>
      <c r="E1081" s="2" t="s">
        <v>175</v>
      </c>
      <c r="F1081" s="78" t="str">
        <f>VLOOKUP('표1'!$E1081,구분!$C$3:$D$72,2,0)</f>
        <v>동일</v>
      </c>
      <c r="G1081" s="67">
        <v>31776960</v>
      </c>
      <c r="H1081" s="67">
        <v>26692647</v>
      </c>
      <c r="I1081" s="67">
        <v>24266043</v>
      </c>
      <c r="J1081" s="67">
        <v>10302359</v>
      </c>
      <c r="K1081" s="67">
        <v>13963684</v>
      </c>
      <c r="L1081" s="67">
        <v>5522190</v>
      </c>
      <c r="M1081" s="67">
        <v>8441494</v>
      </c>
      <c r="N1081" s="110">
        <v>0.26564825584322732</v>
      </c>
    </row>
    <row r="1082" spans="1:14" hidden="1">
      <c r="A1082" s="2">
        <v>2026</v>
      </c>
      <c r="B1082" s="2">
        <v>5</v>
      </c>
      <c r="C1082" s="66" t="s">
        <v>227</v>
      </c>
      <c r="D1082" s="2" t="s">
        <v>176</v>
      </c>
      <c r="E1082" s="2" t="s">
        <v>177</v>
      </c>
      <c r="F1082" s="78" t="str">
        <f>VLOOKUP('표1'!$E1082,구분!$C$3:$D$72,2,0)</f>
        <v>동일</v>
      </c>
      <c r="G1082" s="67">
        <v>112038310</v>
      </c>
      <c r="H1082" s="67">
        <v>86269557</v>
      </c>
      <c r="I1082" s="67">
        <v>78426870</v>
      </c>
      <c r="J1082" s="67">
        <v>33023158</v>
      </c>
      <c r="K1082" s="67">
        <v>45403712</v>
      </c>
      <c r="L1082" s="67">
        <v>19047970</v>
      </c>
      <c r="M1082" s="67">
        <v>26355742</v>
      </c>
      <c r="N1082" s="110">
        <v>0.23523866077594352</v>
      </c>
    </row>
    <row r="1083" spans="1:14" hidden="1">
      <c r="A1083" s="2">
        <v>2026</v>
      </c>
      <c r="B1083" s="2">
        <v>5</v>
      </c>
      <c r="C1083" s="66" t="s">
        <v>227</v>
      </c>
      <c r="D1083" s="2" t="s">
        <v>178</v>
      </c>
      <c r="E1083" s="2" t="s">
        <v>179</v>
      </c>
      <c r="F1083" s="78" t="str">
        <f>VLOOKUP('표1'!$E1083,구분!$C$3:$D$72,2,0)</f>
        <v>동일</v>
      </c>
      <c r="G1083" s="67">
        <v>125031550</v>
      </c>
      <c r="H1083" s="67">
        <v>96274353</v>
      </c>
      <c r="I1083" s="67">
        <v>87522139</v>
      </c>
      <c r="J1083" s="67">
        <v>35702813</v>
      </c>
      <c r="K1083" s="67">
        <v>51819326</v>
      </c>
      <c r="L1083" s="67">
        <v>16255560</v>
      </c>
      <c r="M1083" s="67">
        <v>35563766</v>
      </c>
      <c r="N1083" s="110">
        <v>0.28443833576405314</v>
      </c>
    </row>
  </sheetData>
  <phoneticPr fontId="25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H198"/>
  <sheetViews>
    <sheetView zoomScaleNormal="100" workbookViewId="0">
      <pane xSplit="3" ySplit="3" topLeftCell="D53" activePane="bottomRight" state="frozen"/>
      <selection pane="topRight" activeCell="D1" sqref="D1"/>
      <selection pane="bottomLeft" activeCell="A49" sqref="A49"/>
      <selection pane="bottomRight" activeCell="E60" sqref="E60"/>
    </sheetView>
  </sheetViews>
  <sheetFormatPr defaultColWidth="8.796875" defaultRowHeight="10.8"/>
  <cols>
    <col min="1" max="16384" width="8.796875" style="84"/>
  </cols>
  <sheetData>
    <row r="3" spans="2:8" ht="16.5" customHeight="1">
      <c r="B3" s="85" t="s">
        <v>200</v>
      </c>
      <c r="C3" s="85" t="s">
        <v>32</v>
      </c>
      <c r="D3" s="86" t="s">
        <v>11</v>
      </c>
      <c r="E3" s="87" t="s">
        <v>201</v>
      </c>
      <c r="F3" s="87" t="s">
        <v>202</v>
      </c>
      <c r="G3" s="87" t="s">
        <v>203</v>
      </c>
      <c r="H3" s="87" t="s">
        <v>204</v>
      </c>
    </row>
    <row r="4" spans="2:8" ht="16.5" customHeight="1">
      <c r="B4" s="88" t="s">
        <v>54</v>
      </c>
      <c r="C4" s="89" t="s">
        <v>55</v>
      </c>
      <c r="D4" s="86" t="s">
        <v>18</v>
      </c>
      <c r="E4">
        <f>IF(D4="동일",COUNTIF($D$4:D4,"동일"),"")</f>
        <v>1</v>
      </c>
      <c r="F4" s="90" t="str">
        <f>IF(D4="폐점",COUNTIF($D$4:D4,"폐점"),"")</f>
        <v/>
      </c>
      <c r="G4" t="str">
        <f>IF(D4="행사",COUNTIF($D$4:D4,"행사"),"")</f>
        <v/>
      </c>
      <c r="H4" t="str">
        <f>IF(D4="신규",COUNTIF($D$4:D4,"신규"),"")</f>
        <v/>
      </c>
    </row>
    <row r="5" spans="2:8" ht="16.5" customHeight="1">
      <c r="B5" s="88" t="s">
        <v>56</v>
      </c>
      <c r="C5" s="89" t="s">
        <v>57</v>
      </c>
      <c r="D5" s="86" t="s">
        <v>18</v>
      </c>
      <c r="E5">
        <f>IF(D5="동일",COUNTIF($D$4:D5,"동일"),"")</f>
        <v>2</v>
      </c>
      <c r="F5" s="90" t="str">
        <f>IF(D5="폐점",COUNTIF($D$4:D5,"폐점"),"")</f>
        <v/>
      </c>
      <c r="G5" t="str">
        <f>IF(D5="행사",COUNTIF($D$4:D5,"행사"),"")</f>
        <v/>
      </c>
      <c r="H5" t="str">
        <f>IF(D5="신규",COUNTIF($D$4:D5,"신규"),"")</f>
        <v/>
      </c>
    </row>
    <row r="6" spans="2:8" ht="16.5" customHeight="1">
      <c r="B6" s="88" t="s">
        <v>58</v>
      </c>
      <c r="C6" s="89" t="s">
        <v>59</v>
      </c>
      <c r="D6" s="86" t="s">
        <v>18</v>
      </c>
      <c r="E6">
        <f>IF(D6="동일",COUNTIF($D$4:D6,"동일"),"")</f>
        <v>3</v>
      </c>
      <c r="F6" s="90" t="str">
        <f>IF(D6="폐점",COUNTIF($D$4:D6,"폐점"),"")</f>
        <v/>
      </c>
      <c r="G6" t="str">
        <f>IF(D6="행사",COUNTIF($D$4:D6,"행사"),"")</f>
        <v/>
      </c>
      <c r="H6" t="str">
        <f>IF(D6="신규",COUNTIF($D$4:D6,"신규"),"")</f>
        <v/>
      </c>
    </row>
    <row r="7" spans="2:8" ht="16.5" customHeight="1">
      <c r="B7" s="88" t="s">
        <v>60</v>
      </c>
      <c r="C7" s="89" t="s">
        <v>61</v>
      </c>
      <c r="D7" s="86" t="s">
        <v>18</v>
      </c>
      <c r="E7">
        <f>IF(D7="동일",COUNTIF($D$4:D7,"동일"),"")</f>
        <v>4</v>
      </c>
      <c r="F7" t="str">
        <f>IF(D7="폐점",COUNTIF($D$4:D7,"폐점"),"")</f>
        <v/>
      </c>
      <c r="G7" t="str">
        <f>IF(D7="행사",COUNTIF($D$4:D7,"행사"),"")</f>
        <v/>
      </c>
      <c r="H7" t="str">
        <f>IF(D7="신규",COUNTIF($D$4:D7,"신규"),"")</f>
        <v/>
      </c>
    </row>
    <row r="8" spans="2:8" ht="16.5" customHeight="1">
      <c r="B8" s="88" t="s">
        <v>62</v>
      </c>
      <c r="C8" s="89" t="s">
        <v>63</v>
      </c>
      <c r="D8" s="86" t="s">
        <v>18</v>
      </c>
      <c r="E8">
        <f>IF(D8="동일",COUNTIF($D$4:D8,"동일"),"")</f>
        <v>5</v>
      </c>
      <c r="F8" t="str">
        <f>IF(D8="폐점",COUNTIF($D$4:D8,"폐점"),"")</f>
        <v/>
      </c>
      <c r="G8" t="str">
        <f>IF(D8="행사",COUNTIF($D$4:D8,"행사"),"")</f>
        <v/>
      </c>
      <c r="H8" t="str">
        <f>IF(D8="신규",COUNTIF($D$4:D8,"신규"),"")</f>
        <v/>
      </c>
    </row>
    <row r="9" spans="2:8" ht="16.5" customHeight="1">
      <c r="B9" s="88" t="s">
        <v>64</v>
      </c>
      <c r="C9" s="89" t="s">
        <v>65</v>
      </c>
      <c r="D9" s="86" t="s">
        <v>18</v>
      </c>
      <c r="E9">
        <f>IF(D9="동일",COUNTIF($D$4:D9,"동일"),"")</f>
        <v>6</v>
      </c>
      <c r="F9" t="str">
        <f>IF(D9="폐점",COUNTIF($D$4:D9,"폐점"),"")</f>
        <v/>
      </c>
      <c r="G9" t="str">
        <f>IF(D9="행사",COUNTIF($D$4:D9,"행사"),"")</f>
        <v/>
      </c>
      <c r="H9" t="str">
        <f>IF(D9="신규",COUNTIF($D$4:D9,"신규"),"")</f>
        <v/>
      </c>
    </row>
    <row r="10" spans="2:8" ht="16.5" customHeight="1">
      <c r="B10" s="88" t="s">
        <v>66</v>
      </c>
      <c r="C10" s="89" t="s">
        <v>67</v>
      </c>
      <c r="D10" s="86" t="s">
        <v>18</v>
      </c>
      <c r="E10">
        <f>IF(D10="동일",COUNTIF($D$4:D10,"동일"),"")</f>
        <v>7</v>
      </c>
      <c r="F10" t="str">
        <f>IF(D10="폐점",COUNTIF($D$4:D10,"폐점"),"")</f>
        <v/>
      </c>
      <c r="G10" t="str">
        <f>IF(D10="행사",COUNTIF($D$4:D10,"행사"),"")</f>
        <v/>
      </c>
      <c r="H10" t="str">
        <f>IF(D10="신규",COUNTIF($D$4:D10,"신규"),"")</f>
        <v/>
      </c>
    </row>
    <row r="11" spans="2:8" ht="16.5" customHeight="1">
      <c r="B11" s="88" t="s">
        <v>68</v>
      </c>
      <c r="C11" s="89" t="s">
        <v>69</v>
      </c>
      <c r="D11" s="86" t="s">
        <v>18</v>
      </c>
      <c r="E11">
        <f>IF(D11="동일",COUNTIF($D$4:D11,"동일"),"")</f>
        <v>8</v>
      </c>
      <c r="F11" t="str">
        <f>IF(D11="폐점",COUNTIF($D$4:D11,"폐점"),"")</f>
        <v/>
      </c>
      <c r="G11" t="str">
        <f>IF(D11="행사",COUNTIF($D$4:D11,"행사"),"")</f>
        <v/>
      </c>
      <c r="H11" t="str">
        <f>IF(D11="신규",COUNTIF($D$4:D11,"신규"),"")</f>
        <v/>
      </c>
    </row>
    <row r="12" spans="2:8" ht="16.5" customHeight="1">
      <c r="B12" s="88" t="s">
        <v>70</v>
      </c>
      <c r="C12" s="89" t="s">
        <v>71</v>
      </c>
      <c r="D12" s="86" t="s">
        <v>18</v>
      </c>
      <c r="E12">
        <f>IF(D12="동일",COUNTIF($D$4:D12,"동일"),"")</f>
        <v>9</v>
      </c>
      <c r="F12" t="str">
        <f>IF(D12="폐점",COUNTIF($D$4:D12,"폐점"),"")</f>
        <v/>
      </c>
      <c r="G12" t="str">
        <f>IF(D12="행사",COUNTIF($D$4:D12,"행사"),"")</f>
        <v/>
      </c>
      <c r="H12" t="str">
        <f>IF(D12="신규",COUNTIF($D$4:D12,"신규"),"")</f>
        <v/>
      </c>
    </row>
    <row r="13" spans="2:8" ht="16.5" customHeight="1">
      <c r="B13" s="88" t="s">
        <v>72</v>
      </c>
      <c r="C13" s="89" t="s">
        <v>73</v>
      </c>
      <c r="D13" s="86" t="s">
        <v>18</v>
      </c>
      <c r="E13">
        <f>IF(D13="동일",COUNTIF($D$4:D13,"동일"),"")</f>
        <v>10</v>
      </c>
      <c r="F13" t="str">
        <f>IF(D13="폐점",COUNTIF($D$4:D13,"폐점"),"")</f>
        <v/>
      </c>
      <c r="G13" t="str">
        <f>IF(D13="행사",COUNTIF($D$4:D13,"행사"),"")</f>
        <v/>
      </c>
      <c r="H13" t="str">
        <f>IF(D13="신규",COUNTIF($D$4:D13,"신규"),"")</f>
        <v/>
      </c>
    </row>
    <row r="14" spans="2:8" ht="16.5" customHeight="1">
      <c r="B14" s="88" t="s">
        <v>74</v>
      </c>
      <c r="C14" s="89" t="s">
        <v>75</v>
      </c>
      <c r="D14" s="86" t="s">
        <v>18</v>
      </c>
      <c r="E14">
        <f>IF(D14="동일",COUNTIF($D$4:D14,"동일"),"")</f>
        <v>11</v>
      </c>
      <c r="F14" t="str">
        <f>IF(D14="폐점",COUNTIF($D$4:D14,"폐점"),"")</f>
        <v/>
      </c>
      <c r="G14" t="str">
        <f>IF(D14="행사",COUNTIF($D$4:D14,"행사"),"")</f>
        <v/>
      </c>
      <c r="H14" t="str">
        <f>IF(D14="신규",COUNTIF($D$4:D14,"신규"),"")</f>
        <v/>
      </c>
    </row>
    <row r="15" spans="2:8" ht="16.5" customHeight="1">
      <c r="B15" s="88" t="s">
        <v>76</v>
      </c>
      <c r="C15" s="89" t="s">
        <v>77</v>
      </c>
      <c r="D15" s="86" t="s">
        <v>18</v>
      </c>
      <c r="E15">
        <f>IF(D15="동일",COUNTIF($D$4:D15,"동일"),"")</f>
        <v>12</v>
      </c>
      <c r="F15" t="str">
        <f>IF(D15="폐점",COUNTIF($D$4:D15,"폐점"),"")</f>
        <v/>
      </c>
      <c r="G15" t="str">
        <f>IF(D15="행사",COUNTIF($D$4:D15,"행사"),"")</f>
        <v/>
      </c>
      <c r="H15" t="str">
        <f>IF(D15="신규",COUNTIF($D$4:D15,"신규"),"")</f>
        <v/>
      </c>
    </row>
    <row r="16" spans="2:8" ht="16.5" customHeight="1">
      <c r="B16" s="88" t="s">
        <v>78</v>
      </c>
      <c r="C16" s="89" t="s">
        <v>79</v>
      </c>
      <c r="D16" s="86" t="s">
        <v>18</v>
      </c>
      <c r="E16">
        <f>IF(D16="동일",COUNTIF($D$4:D16,"동일"),"")</f>
        <v>13</v>
      </c>
      <c r="F16" t="str">
        <f>IF(D16="폐점",COUNTIF($D$4:D16,"폐점"),"")</f>
        <v/>
      </c>
      <c r="G16" t="str">
        <f>IF(D16="행사",COUNTIF($D$4:D16,"행사"),"")</f>
        <v/>
      </c>
      <c r="H16" t="str">
        <f>IF(D16="신규",COUNTIF($D$4:D16,"신규"),"")</f>
        <v/>
      </c>
    </row>
    <row r="17" spans="2:8" ht="16.5" customHeight="1">
      <c r="B17" s="88" t="s">
        <v>80</v>
      </c>
      <c r="C17" s="89" t="s">
        <v>81</v>
      </c>
      <c r="D17" s="86" t="s">
        <v>18</v>
      </c>
      <c r="E17">
        <f>IF(D17="동일",COUNTIF($D$4:D17,"동일"),"")</f>
        <v>14</v>
      </c>
      <c r="F17" t="str">
        <f>IF(D17="폐점",COUNTIF($D$4:D17,"폐점"),"")</f>
        <v/>
      </c>
      <c r="G17" t="str">
        <f>IF(D17="행사",COUNTIF($D$4:D17,"행사"),"")</f>
        <v/>
      </c>
      <c r="H17" t="str">
        <f>IF(D17="신규",COUNTIF($D$4:D17,"신규"),"")</f>
        <v/>
      </c>
    </row>
    <row r="18" spans="2:8" ht="16.5" customHeight="1">
      <c r="B18" s="88" t="s">
        <v>82</v>
      </c>
      <c r="C18" s="89" t="s">
        <v>83</v>
      </c>
      <c r="D18" s="86" t="s">
        <v>18</v>
      </c>
      <c r="E18">
        <f>IF(D18="동일",COUNTIF($D$4:D18,"동일"),"")</f>
        <v>15</v>
      </c>
      <c r="F18" t="str">
        <f>IF(D18="폐점",COUNTIF($D$4:D18,"폐점"),"")</f>
        <v/>
      </c>
      <c r="G18" t="str">
        <f>IF(D18="행사",COUNTIF($D$4:D18,"행사"),"")</f>
        <v/>
      </c>
      <c r="H18" t="str">
        <f>IF(D18="신규",COUNTIF($D$4:D18,"신규"),"")</f>
        <v/>
      </c>
    </row>
    <row r="19" spans="2:8" ht="16.5" customHeight="1">
      <c r="B19" s="88" t="s">
        <v>84</v>
      </c>
      <c r="C19" s="89" t="s">
        <v>85</v>
      </c>
      <c r="D19" s="86" t="s">
        <v>18</v>
      </c>
      <c r="E19">
        <f>IF(D19="동일",COUNTIF($D$4:D19,"동일"),"")</f>
        <v>16</v>
      </c>
      <c r="F19" t="str">
        <f>IF(D19="폐점",COUNTIF($D$4:D19,"폐점"),"")</f>
        <v/>
      </c>
      <c r="G19" t="str">
        <f>IF(D19="행사",COUNTIF($D$4:D19,"행사"),"")</f>
        <v/>
      </c>
      <c r="H19" t="str">
        <f>IF(D19="신규",COUNTIF($D$4:D19,"신규"),"")</f>
        <v/>
      </c>
    </row>
    <row r="20" spans="2:8" ht="16.5" customHeight="1">
      <c r="B20" s="88" t="s">
        <v>86</v>
      </c>
      <c r="C20" s="89" t="s">
        <v>87</v>
      </c>
      <c r="D20" s="86" t="s">
        <v>18</v>
      </c>
      <c r="E20">
        <f>IF(D20="동일",COUNTIF($D$4:D20,"동일"),"")</f>
        <v>17</v>
      </c>
      <c r="F20" t="str">
        <f>IF(D20="폐점",COUNTIF($D$4:D20,"폐점"),"")</f>
        <v/>
      </c>
      <c r="G20" t="str">
        <f>IF(D20="행사",COUNTIF($D$4:D20,"행사"),"")</f>
        <v/>
      </c>
      <c r="H20" t="str">
        <f>IF(D20="신규",COUNTIF($D$4:D20,"신규"),"")</f>
        <v/>
      </c>
    </row>
    <row r="21" spans="2:8" ht="16.5" customHeight="1">
      <c r="B21" s="88" t="s">
        <v>88</v>
      </c>
      <c r="C21" s="89" t="s">
        <v>89</v>
      </c>
      <c r="D21" s="86" t="s">
        <v>18</v>
      </c>
      <c r="E21">
        <f>IF(D21="동일",COUNTIF($D$4:D21,"동일"),"")</f>
        <v>18</v>
      </c>
      <c r="F21" t="str">
        <f>IF(D21="폐점",COUNTIF($D$4:D21,"폐점"),"")</f>
        <v/>
      </c>
      <c r="G21" t="str">
        <f>IF(D21="행사",COUNTIF($D$4:D21,"행사"),"")</f>
        <v/>
      </c>
      <c r="H21" t="str">
        <f>IF(D21="신규",COUNTIF($D$4:D21,"신규"),"")</f>
        <v/>
      </c>
    </row>
    <row r="22" spans="2:8" ht="16.5" customHeight="1">
      <c r="B22" s="88" t="s">
        <v>90</v>
      </c>
      <c r="C22" s="89" t="s">
        <v>91</v>
      </c>
      <c r="D22" s="86" t="s">
        <v>18</v>
      </c>
      <c r="E22">
        <f>IF(D22="동일",COUNTIF($D$4:D22,"동일"),"")</f>
        <v>19</v>
      </c>
      <c r="F22" t="str">
        <f>IF(D22="폐점",COUNTIF($D$4:D22,"폐점"),"")</f>
        <v/>
      </c>
      <c r="G22" t="str">
        <f>IF(D22="행사",COUNTIF($D$4:D22,"행사"),"")</f>
        <v/>
      </c>
      <c r="H22" t="str">
        <f>IF(D22="신규",COUNTIF($D$4:D22,"신규"),"")</f>
        <v/>
      </c>
    </row>
    <row r="23" spans="2:8" ht="16.5" customHeight="1">
      <c r="B23" s="88" t="s">
        <v>92</v>
      </c>
      <c r="C23" s="89" t="s">
        <v>93</v>
      </c>
      <c r="D23" s="86" t="s">
        <v>18</v>
      </c>
      <c r="E23">
        <f>IF(D23="동일",COUNTIF($D$4:D23,"동일"),"")</f>
        <v>20</v>
      </c>
      <c r="F23" t="str">
        <f>IF(D23="폐점",COUNTIF($D$4:D23,"폐점"),"")</f>
        <v/>
      </c>
      <c r="G23" t="str">
        <f>IF(D23="행사",COUNTIF($D$4:D23,"행사"),"")</f>
        <v/>
      </c>
      <c r="H23" t="str">
        <f>IF(D23="신규",COUNTIF($D$4:D23,"신규"),"")</f>
        <v/>
      </c>
    </row>
    <row r="24" spans="2:8" ht="16.5" customHeight="1">
      <c r="B24" s="95" t="s">
        <v>94</v>
      </c>
      <c r="C24" s="96" t="s">
        <v>95</v>
      </c>
      <c r="D24" s="94" t="s">
        <v>208</v>
      </c>
      <c r="E24" t="str">
        <f>IF(D24="동일",COUNTIF($D$4:D24,"동일"),"")</f>
        <v/>
      </c>
      <c r="F24">
        <f>IF(D24="폐점",COUNTIF($D$4:D24,"폐점"),"")</f>
        <v>1</v>
      </c>
      <c r="G24" t="str">
        <f>IF(D24="행사",COUNTIF($D$4:D24,"행사"),"")</f>
        <v/>
      </c>
      <c r="H24" t="str">
        <f>IF(D24="신규",COUNTIF($D$4:D24,"신규"),"")</f>
        <v/>
      </c>
    </row>
    <row r="25" spans="2:8" ht="16.5" customHeight="1">
      <c r="B25" s="88" t="s">
        <v>96</v>
      </c>
      <c r="C25" s="89" t="s">
        <v>97</v>
      </c>
      <c r="D25" s="86" t="s">
        <v>18</v>
      </c>
      <c r="E25">
        <f>IF(D25="동일",COUNTIF($D$4:D25,"동일"),"")</f>
        <v>21</v>
      </c>
      <c r="F25" t="str">
        <f>IF(D25="폐점",COUNTIF($D$4:D25,"폐점"),"")</f>
        <v/>
      </c>
      <c r="G25" t="str">
        <f>IF(D25="행사",COUNTIF($D$4:D25,"행사"),"")</f>
        <v/>
      </c>
      <c r="H25" t="str">
        <f>IF(D25="신규",COUNTIF($D$4:D25,"신규"),"")</f>
        <v/>
      </c>
    </row>
    <row r="26" spans="2:8" ht="16.5" customHeight="1">
      <c r="B26" s="88" t="s">
        <v>98</v>
      </c>
      <c r="C26" s="89" t="s">
        <v>99</v>
      </c>
      <c r="D26" s="86" t="s">
        <v>18</v>
      </c>
      <c r="E26">
        <f>IF(D26="동일",COUNTIF($D$4:D26,"동일"),"")</f>
        <v>22</v>
      </c>
      <c r="F26" t="str">
        <f>IF(D26="폐점",COUNTIF($D$4:D26,"폐점"),"")</f>
        <v/>
      </c>
      <c r="G26" t="str">
        <f>IF(D26="행사",COUNTIF($D$4:D26,"행사"),"")</f>
        <v/>
      </c>
      <c r="H26" t="str">
        <f>IF(D26="신규",COUNTIF($D$4:D26,"신규"),"")</f>
        <v/>
      </c>
    </row>
    <row r="27" spans="2:8" ht="16.5" customHeight="1">
      <c r="B27" s="88" t="s">
        <v>212</v>
      </c>
      <c r="C27" s="105" t="s">
        <v>214</v>
      </c>
      <c r="D27" s="94" t="s">
        <v>215</v>
      </c>
      <c r="E27" t="str">
        <f>IF(D27="동일",COUNTIF($D$4:D27,"동일"),"")</f>
        <v/>
      </c>
      <c r="F27" t="str">
        <f>IF(D27="폐점",COUNTIF($D$4:D27,"폐점"),"")</f>
        <v/>
      </c>
      <c r="G27">
        <f>IF(D27="행사",COUNTIF($D$4:D27,"행사"),"")</f>
        <v>1</v>
      </c>
      <c r="H27" t="str">
        <f>IF(D27="신규",COUNTIF($D$4:D27,"신규"),"")</f>
        <v/>
      </c>
    </row>
    <row r="28" spans="2:8" ht="16.5" customHeight="1">
      <c r="B28" s="88" t="s">
        <v>100</v>
      </c>
      <c r="C28" s="89" t="s">
        <v>101</v>
      </c>
      <c r="D28" s="86" t="s">
        <v>18</v>
      </c>
      <c r="E28">
        <f>IF(D28="동일",COUNTIF($D$4:D28,"동일"),"")</f>
        <v>23</v>
      </c>
      <c r="F28" t="str">
        <f>IF(D28="폐점",COUNTIF($D$4:D28,"폐점"),"")</f>
        <v/>
      </c>
      <c r="G28" t="str">
        <f>IF(D28="행사",COUNTIF($D$4:D28,"행사"),"")</f>
        <v/>
      </c>
      <c r="H28" t="str">
        <f>IF(D28="신규",COUNTIF($D$4:D28,"신규"),"")</f>
        <v/>
      </c>
    </row>
    <row r="29" spans="2:8" ht="16.5" customHeight="1">
      <c r="B29" s="88" t="s">
        <v>102</v>
      </c>
      <c r="C29" s="89" t="s">
        <v>103</v>
      </c>
      <c r="D29" s="86" t="s">
        <v>18</v>
      </c>
      <c r="E29">
        <f>IF(D29="동일",COUNTIF($D$4:D29,"동일"),"")</f>
        <v>24</v>
      </c>
      <c r="F29" t="str">
        <f>IF(D29="폐점",COUNTIF($D$4:D29,"폐점"),"")</f>
        <v/>
      </c>
      <c r="G29" t="str">
        <f>IF(D29="행사",COUNTIF($D$4:D29,"행사"),"")</f>
        <v/>
      </c>
      <c r="H29" t="str">
        <f>IF(D29="신규",COUNTIF($D$4:D29,"신규"),"")</f>
        <v/>
      </c>
    </row>
    <row r="30" spans="2:8" ht="16.5" customHeight="1">
      <c r="B30" s="88" t="s">
        <v>228</v>
      </c>
      <c r="C30" s="89" t="s">
        <v>229</v>
      </c>
      <c r="D30" s="86" t="s">
        <v>230</v>
      </c>
      <c r="E30" t="str">
        <f>IF(D30="동일",COUNTIF($D$4:D30,"동일"),"")</f>
        <v/>
      </c>
      <c r="F30" t="str">
        <f>IF(D30="폐점",COUNTIF($D$4:D30,"폐점"),"")</f>
        <v/>
      </c>
      <c r="G30">
        <f>IF(D30="행사",COUNTIF($D$4:D30,"행사"),"")</f>
        <v>2</v>
      </c>
      <c r="H30" t="str">
        <f>IF(D30="신규",COUNTIF($D$4:D30,"신규"),"")</f>
        <v/>
      </c>
    </row>
    <row r="31" spans="2:8" ht="16.5" customHeight="1">
      <c r="B31" s="88" t="s">
        <v>104</v>
      </c>
      <c r="C31" s="89" t="s">
        <v>105</v>
      </c>
      <c r="D31" s="86" t="s">
        <v>18</v>
      </c>
      <c r="E31">
        <f>IF(D31="동일",COUNTIF($D$4:D31,"동일"),"")</f>
        <v>25</v>
      </c>
      <c r="F31" t="str">
        <f>IF(D31="폐점",COUNTIF($D$4:D31,"폐점"),"")</f>
        <v/>
      </c>
      <c r="G31" t="str">
        <f>IF(D31="행사",COUNTIF($D$4:D31,"행사"),"")</f>
        <v/>
      </c>
      <c r="H31" t="str">
        <f>IF(D31="신규",COUNTIF($D$4:D31,"신규"),"")</f>
        <v/>
      </c>
    </row>
    <row r="32" spans="2:8" ht="16.5" customHeight="1">
      <c r="B32" s="95" t="s">
        <v>106</v>
      </c>
      <c r="C32" s="96" t="s">
        <v>107</v>
      </c>
      <c r="D32" s="94" t="s">
        <v>208</v>
      </c>
      <c r="E32" t="str">
        <f>IF(D32="동일",COUNTIF($D$4:D32,"동일"),"")</f>
        <v/>
      </c>
      <c r="F32">
        <f>IF(D32="폐점",COUNTIF($D$4:D32,"폐점"),"")</f>
        <v>2</v>
      </c>
      <c r="G32" t="str">
        <f>IF(D32="행사",COUNTIF($D$4:D32,"행사"),"")</f>
        <v/>
      </c>
      <c r="H32" t="str">
        <f>IF(D32="신규",COUNTIF($D$4:D32,"신규"),"")</f>
        <v/>
      </c>
    </row>
    <row r="33" spans="2:8" ht="16.5" customHeight="1">
      <c r="B33" s="88" t="s">
        <v>108</v>
      </c>
      <c r="C33" s="89" t="s">
        <v>109</v>
      </c>
      <c r="D33" s="86" t="s">
        <v>18</v>
      </c>
      <c r="E33">
        <f>IF(D33="동일",COUNTIF($D$4:D33,"동일"),"")</f>
        <v>26</v>
      </c>
      <c r="F33" t="str">
        <f>IF(D33="폐점",COUNTIF($D$4:D33,"폐점"),"")</f>
        <v/>
      </c>
      <c r="G33" t="str">
        <f>IF(D33="행사",COUNTIF($D$4:D33,"행사"),"")</f>
        <v/>
      </c>
      <c r="H33" t="str">
        <f>IF(D33="신규",COUNTIF($D$4:D33,"신규"),"")</f>
        <v/>
      </c>
    </row>
    <row r="34" spans="2:8" ht="16.5" customHeight="1">
      <c r="B34" s="88" t="s">
        <v>187</v>
      </c>
      <c r="C34" s="89" t="s">
        <v>188</v>
      </c>
      <c r="D34" s="86" t="s">
        <v>18</v>
      </c>
      <c r="E34">
        <f>IF(D34="동일",COUNTIF($D$4:D34,"동일"),"")</f>
        <v>27</v>
      </c>
      <c r="F34" t="str">
        <f>IF(D34="폐점",COUNTIF($D$4:D34,"폐점"),"")</f>
        <v/>
      </c>
      <c r="G34" t="str">
        <f>IF(D34="행사",COUNTIF($D$4:D34,"행사"),"")</f>
        <v/>
      </c>
      <c r="H34" t="str">
        <f>IF(D34="신규",COUNTIF($D$4:D34,"신규"),"")</f>
        <v/>
      </c>
    </row>
    <row r="35" spans="2:8" ht="16.5" customHeight="1">
      <c r="B35" s="88" t="s">
        <v>110</v>
      </c>
      <c r="C35" s="89" t="s">
        <v>111</v>
      </c>
      <c r="D35" s="86" t="s">
        <v>18</v>
      </c>
      <c r="E35">
        <f>IF(D35="동일",COUNTIF($D$4:D35,"동일"),"")</f>
        <v>28</v>
      </c>
      <c r="F35" t="str">
        <f>IF(D35="폐점",COUNTIF($D$4:D35,"폐점"),"")</f>
        <v/>
      </c>
      <c r="G35" t="str">
        <f>IF(D35="행사",COUNTIF($D$4:D35,"행사"),"")</f>
        <v/>
      </c>
      <c r="H35" t="str">
        <f>IF(D35="신규",COUNTIF($D$4:D35,"신규"),"")</f>
        <v/>
      </c>
    </row>
    <row r="36" spans="2:8" ht="16.5" customHeight="1">
      <c r="B36" s="88" t="s">
        <v>112</v>
      </c>
      <c r="C36" s="89" t="s">
        <v>113</v>
      </c>
      <c r="D36" s="86" t="s">
        <v>18</v>
      </c>
      <c r="E36">
        <f>IF(D36="동일",COUNTIF($D$4:D36,"동일"),"")</f>
        <v>29</v>
      </c>
      <c r="F36" t="str">
        <f>IF(D36="폐점",COUNTIF($D$4:D36,"폐점"),"")</f>
        <v/>
      </c>
      <c r="G36" t="str">
        <f>IF(D36="행사",COUNTIF($D$4:D36,"행사"),"")</f>
        <v/>
      </c>
      <c r="H36" t="str">
        <f>IF(D36="신규",COUNTIF($D$4:D36,"신규"),"")</f>
        <v/>
      </c>
    </row>
    <row r="37" spans="2:8" ht="16.5" customHeight="1">
      <c r="B37" s="88" t="s">
        <v>114</v>
      </c>
      <c r="C37" s="89" t="s">
        <v>115</v>
      </c>
      <c r="D37" s="86" t="s">
        <v>20</v>
      </c>
      <c r="E37" t="str">
        <f>IF(D37="동일",COUNTIF($D$4:D37,"동일"),"")</f>
        <v/>
      </c>
      <c r="F37">
        <f>IF(D37="폐점",COUNTIF($D$4:D37,"폐점"),"")</f>
        <v>3</v>
      </c>
      <c r="G37" t="str">
        <f>IF(D37="행사",COUNTIF($D$4:D37,"행사"),"")</f>
        <v/>
      </c>
      <c r="H37" t="str">
        <f>IF(D37="신규",COUNTIF($D$4:D37,"신규"),"")</f>
        <v/>
      </c>
    </row>
    <row r="38" spans="2:8" ht="16.5" customHeight="1">
      <c r="B38" s="88" t="s">
        <v>116</v>
      </c>
      <c r="C38" s="89" t="s">
        <v>117</v>
      </c>
      <c r="D38" s="86" t="s">
        <v>18</v>
      </c>
      <c r="E38">
        <f>IF(D38="동일",COUNTIF($D$4:D38,"동일"),"")</f>
        <v>30</v>
      </c>
      <c r="F38" t="str">
        <f>IF(D38="폐점",COUNTIF($D$4:D38,"폐점"),"")</f>
        <v/>
      </c>
      <c r="G38" t="str">
        <f>IF(D38="행사",COUNTIF($D$4:D38,"행사"),"")</f>
        <v/>
      </c>
      <c r="H38" t="str">
        <f>IF(D38="신규",COUNTIF($D$4:D38,"신규"),"")</f>
        <v/>
      </c>
    </row>
    <row r="39" spans="2:8" ht="16.5" customHeight="1">
      <c r="B39" s="88" t="s">
        <v>118</v>
      </c>
      <c r="C39" s="89" t="s">
        <v>119</v>
      </c>
      <c r="D39" s="86" t="s">
        <v>18</v>
      </c>
      <c r="E39">
        <f>IF(D39="동일",COUNTIF($D$4:D39,"동일"),"")</f>
        <v>31</v>
      </c>
      <c r="F39" t="str">
        <f>IF(D39="폐점",COUNTIF($D$4:D39,"폐점"),"")</f>
        <v/>
      </c>
      <c r="G39" t="str">
        <f>IF(D39="행사",COUNTIF($D$4:D39,"행사"),"")</f>
        <v/>
      </c>
      <c r="H39" t="str">
        <f>IF(D39="신규",COUNTIF($D$4:D39,"신규"),"")</f>
        <v/>
      </c>
    </row>
    <row r="40" spans="2:8" ht="16.5" customHeight="1">
      <c r="B40" s="88" t="s">
        <v>180</v>
      </c>
      <c r="C40" s="89" t="s">
        <v>181</v>
      </c>
      <c r="D40" s="86" t="s">
        <v>18</v>
      </c>
      <c r="E40">
        <f>IF(D40="동일",COUNTIF($D$4:D40,"동일"),"")</f>
        <v>32</v>
      </c>
      <c r="F40" t="str">
        <f>IF(D40="폐점",COUNTIF($D$4:D40,"폐점"),"")</f>
        <v/>
      </c>
      <c r="G40" t="str">
        <f>IF(D40="행사",COUNTIF($D$4:D40,"행사"),"")</f>
        <v/>
      </c>
      <c r="H40" t="str">
        <f>IF(D40="신규",COUNTIF($D$4:D40,"신규"),"")</f>
        <v/>
      </c>
    </row>
    <row r="41" spans="2:8" ht="16.5" customHeight="1">
      <c r="B41" s="88" t="s">
        <v>120</v>
      </c>
      <c r="C41" s="89" t="s">
        <v>121</v>
      </c>
      <c r="D41" s="86" t="s">
        <v>18</v>
      </c>
      <c r="E41">
        <f>IF(D41="동일",COUNTIF($D$4:D41,"동일"),"")</f>
        <v>33</v>
      </c>
      <c r="F41" t="str">
        <f>IF(D41="폐점",COUNTIF($D$4:D41,"폐점"),"")</f>
        <v/>
      </c>
      <c r="G41" t="str">
        <f>IF(D41="행사",COUNTIF($D$4:D41,"행사"),"")</f>
        <v/>
      </c>
      <c r="H41" t="str">
        <f>IF(D41="신규",COUNTIF($D$4:D41,"신규"),"")</f>
        <v/>
      </c>
    </row>
    <row r="42" spans="2:8" ht="16.5" customHeight="1">
      <c r="B42" s="88" t="s">
        <v>122</v>
      </c>
      <c r="C42" s="89" t="s">
        <v>123</v>
      </c>
      <c r="D42" s="86" t="s">
        <v>18</v>
      </c>
      <c r="E42">
        <f>IF(D42="동일",COUNTIF($D$4:D42,"동일"),"")</f>
        <v>34</v>
      </c>
      <c r="F42" t="str">
        <f>IF(D42="폐점",COUNTIF($D$4:D42,"폐점"),"")</f>
        <v/>
      </c>
      <c r="G42" t="str">
        <f>IF(D42="행사",COUNTIF($D$4:D42,"행사"),"")</f>
        <v/>
      </c>
      <c r="H42" t="str">
        <f>IF(D42="신규",COUNTIF($D$4:D42,"신규"),"")</f>
        <v/>
      </c>
    </row>
    <row r="43" spans="2:8" ht="16.5" customHeight="1">
      <c r="B43" s="88" t="s">
        <v>124</v>
      </c>
      <c r="C43" s="89" t="s">
        <v>125</v>
      </c>
      <c r="D43" s="86" t="s">
        <v>18</v>
      </c>
      <c r="E43">
        <f>IF(D43="동일",COUNTIF($D$4:D43,"동일"),"")</f>
        <v>35</v>
      </c>
      <c r="F43" t="str">
        <f>IF(D43="폐점",COUNTIF($D$4:D43,"폐점"),"")</f>
        <v/>
      </c>
      <c r="G43" t="str">
        <f>IF(D43="행사",COUNTIF($D$4:D43,"행사"),"")</f>
        <v/>
      </c>
      <c r="H43" t="str">
        <f>IF(D43="신규",COUNTIF($D$4:D43,"신규"),"")</f>
        <v/>
      </c>
    </row>
    <row r="44" spans="2:8" ht="16.5" customHeight="1">
      <c r="B44" s="88" t="s">
        <v>126</v>
      </c>
      <c r="C44" s="89" t="s">
        <v>127</v>
      </c>
      <c r="D44" s="86" t="s">
        <v>18</v>
      </c>
      <c r="E44">
        <f>IF(D44="동일",COUNTIF($D$4:D44,"동일"),"")</f>
        <v>36</v>
      </c>
      <c r="F44" t="str">
        <f>IF(D44="폐점",COUNTIF($D$4:D44,"폐점"),"")</f>
        <v/>
      </c>
      <c r="G44" t="str">
        <f>IF(D44="행사",COUNTIF($D$4:D44,"행사"),"")</f>
        <v/>
      </c>
      <c r="H44" t="str">
        <f>IF(D44="신규",COUNTIF($D$4:D44,"신규"),"")</f>
        <v/>
      </c>
    </row>
    <row r="45" spans="2:8" ht="16.5" customHeight="1">
      <c r="B45" s="88" t="s">
        <v>128</v>
      </c>
      <c r="C45" s="89" t="s">
        <v>129</v>
      </c>
      <c r="D45" s="86" t="s">
        <v>18</v>
      </c>
      <c r="E45">
        <f>IF(D45="동일",COUNTIF($D$4:D45,"동일"),"")</f>
        <v>37</v>
      </c>
      <c r="F45" t="str">
        <f>IF(D45="폐점",COUNTIF($D$4:D45,"폐점"),"")</f>
        <v/>
      </c>
      <c r="G45" t="str">
        <f>IF(D45="행사",COUNTIF($D$4:D45,"행사"),"")</f>
        <v/>
      </c>
      <c r="H45" t="str">
        <f>IF(D45="신규",COUNTIF($D$4:D45,"신규"),"")</f>
        <v/>
      </c>
    </row>
    <row r="46" spans="2:8" ht="16.5" customHeight="1">
      <c r="B46" s="88" t="s">
        <v>130</v>
      </c>
      <c r="C46" s="89" t="s">
        <v>131</v>
      </c>
      <c r="D46" s="86" t="s">
        <v>18</v>
      </c>
      <c r="E46">
        <f>IF(D46="동일",COUNTIF($D$4:D46,"동일"),"")</f>
        <v>38</v>
      </c>
      <c r="F46" t="str">
        <f>IF(D46="폐점",COUNTIF($D$4:D46,"폐점"),"")</f>
        <v/>
      </c>
      <c r="G46" t="str">
        <f>IF(D46="행사",COUNTIF($D$4:D46,"행사"),"")</f>
        <v/>
      </c>
      <c r="H46" t="str">
        <f>IF(D46="신규",COUNTIF($D$4:D46,"신규"),"")</f>
        <v/>
      </c>
    </row>
    <row r="47" spans="2:8" ht="16.5" customHeight="1">
      <c r="B47" s="88" t="s">
        <v>132</v>
      </c>
      <c r="C47" s="89" t="s">
        <v>133</v>
      </c>
      <c r="D47" s="86" t="s">
        <v>18</v>
      </c>
      <c r="E47">
        <f>IF(D47="동일",COUNTIF($D$4:D47,"동일"),"")</f>
        <v>39</v>
      </c>
      <c r="F47" t="str">
        <f>IF(D47="폐점",COUNTIF($D$4:D47,"폐점"),"")</f>
        <v/>
      </c>
      <c r="G47" t="str">
        <f>IF(D47="행사",COUNTIF($D$4:D47,"행사"),"")</f>
        <v/>
      </c>
      <c r="H47" t="str">
        <f>IF(D47="신규",COUNTIF($D$4:D47,"신규"),"")</f>
        <v/>
      </c>
    </row>
    <row r="48" spans="2:8" ht="16.5" customHeight="1">
      <c r="B48" s="88" t="s">
        <v>134</v>
      </c>
      <c r="C48" s="89" t="s">
        <v>135</v>
      </c>
      <c r="D48" s="86" t="s">
        <v>18</v>
      </c>
      <c r="E48">
        <f>IF(D48="동일",COUNTIF($D$4:D48,"동일"),"")</f>
        <v>40</v>
      </c>
      <c r="F48" t="str">
        <f>IF(D48="폐점",COUNTIF($D$4:D48,"폐점"),"")</f>
        <v/>
      </c>
      <c r="G48" t="str">
        <f>IF(D48="행사",COUNTIF($D$4:D48,"행사"),"")</f>
        <v/>
      </c>
      <c r="H48" t="str">
        <f>IF(D48="신규",COUNTIF($D$4:D48,"신규"),"")</f>
        <v/>
      </c>
    </row>
    <row r="49" spans="2:8" ht="16.5" customHeight="1">
      <c r="B49" s="88" t="s">
        <v>136</v>
      </c>
      <c r="C49" s="89" t="s">
        <v>137</v>
      </c>
      <c r="D49" s="86" t="s">
        <v>18</v>
      </c>
      <c r="E49">
        <f>IF(D49="동일",COUNTIF($D$4:D49,"동일"),"")</f>
        <v>41</v>
      </c>
      <c r="F49" t="str">
        <f>IF(D49="폐점",COUNTIF($D$4:D49,"폐점"),"")</f>
        <v/>
      </c>
      <c r="G49" t="str">
        <f>IF(D49="행사",COUNTIF($D$4:D49,"행사"),"")</f>
        <v/>
      </c>
      <c r="H49" t="str">
        <f>IF(D49="신규",COUNTIF($D$4:D49,"신규"),"")</f>
        <v/>
      </c>
    </row>
    <row r="50" spans="2:8" ht="16.5" customHeight="1">
      <c r="B50" s="88" t="s">
        <v>138</v>
      </c>
      <c r="C50" s="89" t="s">
        <v>139</v>
      </c>
      <c r="D50" s="86" t="s">
        <v>18</v>
      </c>
      <c r="E50">
        <f>IF(D50="동일",COUNTIF($D$4:D50,"동일"),"")</f>
        <v>42</v>
      </c>
      <c r="F50" t="str">
        <f>IF(D50="폐점",COUNTIF($D$4:D50,"폐점"),"")</f>
        <v/>
      </c>
      <c r="G50" t="str">
        <f>IF(D50="행사",COUNTIF($D$4:D50,"행사"),"")</f>
        <v/>
      </c>
      <c r="H50" t="str">
        <f>IF(D50="신규",COUNTIF($D$4:D50,"신규"),"")</f>
        <v/>
      </c>
    </row>
    <row r="51" spans="2:8" ht="16.5" customHeight="1">
      <c r="B51" s="88" t="s">
        <v>140</v>
      </c>
      <c r="C51" s="89" t="s">
        <v>141</v>
      </c>
      <c r="D51" s="86" t="s">
        <v>18</v>
      </c>
      <c r="E51">
        <f>IF(D51="동일",COUNTIF($D$4:D51,"동일"),"")</f>
        <v>43</v>
      </c>
      <c r="F51" t="str">
        <f>IF(D51="폐점",COUNTIF($D$4:D51,"폐점"),"")</f>
        <v/>
      </c>
      <c r="G51" t="str">
        <f>IF(D51="행사",COUNTIF($D$4:D51,"행사"),"")</f>
        <v/>
      </c>
      <c r="H51" t="str">
        <f>IF(D51="신규",COUNTIF($D$4:D51,"신규"),"")</f>
        <v/>
      </c>
    </row>
    <row r="52" spans="2:8" ht="16.5" customHeight="1">
      <c r="B52" s="88" t="s">
        <v>142</v>
      </c>
      <c r="C52" s="89" t="s">
        <v>143</v>
      </c>
      <c r="D52" s="86" t="s">
        <v>18</v>
      </c>
      <c r="E52">
        <f>IF(D52="동일",COUNTIF($D$4:D52,"동일"),"")</f>
        <v>44</v>
      </c>
      <c r="F52" t="str">
        <f>IF(D52="폐점",COUNTIF($D$4:D52,"폐점"),"")</f>
        <v/>
      </c>
      <c r="G52" t="str">
        <f>IF(D52="행사",COUNTIF($D$4:D52,"행사"),"")</f>
        <v/>
      </c>
      <c r="H52" t="str">
        <f>IF(D52="신규",COUNTIF($D$4:D52,"신규"),"")</f>
        <v/>
      </c>
    </row>
    <row r="53" spans="2:8" ht="16.5" customHeight="1">
      <c r="B53" s="88" t="s">
        <v>144</v>
      </c>
      <c r="C53" s="89" t="s">
        <v>145</v>
      </c>
      <c r="D53" s="86" t="s">
        <v>18</v>
      </c>
      <c r="E53">
        <f>IF(D53="동일",COUNTIF($D$4:D53,"동일"),"")</f>
        <v>45</v>
      </c>
      <c r="F53" t="str">
        <f>IF(D53="폐점",COUNTIF($D$4:D53,"폐점"),"")</f>
        <v/>
      </c>
      <c r="G53" t="str">
        <f>IF(D53="행사",COUNTIF($D$4:D53,"행사"),"")</f>
        <v/>
      </c>
      <c r="H53" t="str">
        <f>IF(D53="신규",COUNTIF($D$4:D53,"신규"),"")</f>
        <v/>
      </c>
    </row>
    <row r="54" spans="2:8" ht="16.5" customHeight="1">
      <c r="B54" s="88" t="s">
        <v>146</v>
      </c>
      <c r="C54" s="89" t="s">
        <v>147</v>
      </c>
      <c r="D54" s="86" t="s">
        <v>18</v>
      </c>
      <c r="E54">
        <f>IF(D54="동일",COUNTIF($D$4:D54,"동일"),"")</f>
        <v>46</v>
      </c>
      <c r="F54" t="str">
        <f>IF(D54="폐점",COUNTIF($D$4:D54,"폐점"),"")</f>
        <v/>
      </c>
      <c r="G54" t="str">
        <f>IF(D54="행사",COUNTIF($D$4:D54,"행사"),"")</f>
        <v/>
      </c>
      <c r="H54" t="str">
        <f>IF(D54="신규",COUNTIF($D$4:D54,"신규"),"")</f>
        <v/>
      </c>
    </row>
    <row r="55" spans="2:8" ht="16.5" customHeight="1">
      <c r="B55" s="88" t="s">
        <v>148</v>
      </c>
      <c r="C55" s="89" t="s">
        <v>149</v>
      </c>
      <c r="D55" s="86" t="s">
        <v>18</v>
      </c>
      <c r="E55">
        <f>IF(D55="동일",COUNTIF($D$4:D55,"동일"),"")</f>
        <v>47</v>
      </c>
      <c r="F55" t="str">
        <f>IF(D55="폐점",COUNTIF($D$4:D55,"폐점"),"")</f>
        <v/>
      </c>
      <c r="G55" t="str">
        <f>IF(D55="행사",COUNTIF($D$4:D55,"행사"),"")</f>
        <v/>
      </c>
      <c r="H55" t="str">
        <f>IF(D55="신규",COUNTIF($D$4:D55,"신규"),"")</f>
        <v/>
      </c>
    </row>
    <row r="56" spans="2:8" ht="16.5" customHeight="1">
      <c r="B56" s="88" t="s">
        <v>150</v>
      </c>
      <c r="C56" s="89" t="s">
        <v>151</v>
      </c>
      <c r="D56" s="86" t="s">
        <v>18</v>
      </c>
      <c r="E56">
        <f>IF(D56="동일",COUNTIF($D$4:D56,"동일"),"")</f>
        <v>48</v>
      </c>
      <c r="F56" t="str">
        <f>IF(D56="폐점",COUNTIF($D$4:D56,"폐점"),"")</f>
        <v/>
      </c>
      <c r="G56" t="str">
        <f>IF(D56="행사",COUNTIF($D$4:D56,"행사"),"")</f>
        <v/>
      </c>
      <c r="H56" t="str">
        <f>IF(D56="신규",COUNTIF($D$4:D56,"신규"),"")</f>
        <v/>
      </c>
    </row>
    <row r="57" spans="2:8" ht="16.5" customHeight="1">
      <c r="B57" s="88" t="s">
        <v>152</v>
      </c>
      <c r="C57" s="93" t="s">
        <v>205</v>
      </c>
      <c r="D57" s="86" t="s">
        <v>18</v>
      </c>
      <c r="E57">
        <f>IF(D57="동일",COUNTIF($D$4:D57,"동일"),"")</f>
        <v>49</v>
      </c>
      <c r="F57" t="str">
        <f>IF(D57="폐점",COUNTIF($D$4:D57,"폐점"),"")</f>
        <v/>
      </c>
      <c r="G57" t="str">
        <f>IF(D57="행사",COUNTIF($D$4:D57,"행사"),"")</f>
        <v/>
      </c>
      <c r="H57" t="str">
        <f>IF(D57="신규",COUNTIF($D$4:D57,"신규"),"")</f>
        <v/>
      </c>
    </row>
    <row r="58" spans="2:8" ht="16.5" customHeight="1">
      <c r="B58" s="88" t="s">
        <v>189</v>
      </c>
      <c r="C58" s="93" t="s">
        <v>206</v>
      </c>
      <c r="D58" s="86" t="s">
        <v>18</v>
      </c>
      <c r="E58">
        <f>IF(D58="동일",COUNTIF($D$4:D58,"동일"),"")</f>
        <v>50</v>
      </c>
      <c r="F58" t="str">
        <f>IF(D58="폐점",COUNTIF($D$4:D58,"폐점"),"")</f>
        <v/>
      </c>
      <c r="G58" t="str">
        <f>IF(D58="행사",COUNTIF($D$4:D58,"행사"),"")</f>
        <v/>
      </c>
      <c r="H58" t="str">
        <f>IF(D58="신규",COUNTIF($D$4:D58,"신규"),"")</f>
        <v/>
      </c>
    </row>
    <row r="59" spans="2:8" ht="16.5" customHeight="1">
      <c r="B59" s="88" t="s">
        <v>154</v>
      </c>
      <c r="C59" s="89" t="s">
        <v>155</v>
      </c>
      <c r="D59" s="86" t="s">
        <v>18</v>
      </c>
      <c r="E59">
        <f>IF(D59="동일",COUNTIF($D$4:D59,"동일"),"")</f>
        <v>51</v>
      </c>
      <c r="F59" t="str">
        <f>IF(D59="폐점",COUNTIF($D$4:D59,"폐점"),"")</f>
        <v/>
      </c>
      <c r="G59" t="str">
        <f>IF(D59="행사",COUNTIF($D$4:D59,"행사"),"")</f>
        <v/>
      </c>
      <c r="H59" t="str">
        <f>IF(D59="신규",COUNTIF($D$4:D59,"신규"),"")</f>
        <v/>
      </c>
    </row>
    <row r="60" spans="2:8" ht="16.5" customHeight="1">
      <c r="B60" s="88" t="s">
        <v>156</v>
      </c>
      <c r="C60" s="89" t="s">
        <v>157</v>
      </c>
      <c r="D60" s="86" t="s">
        <v>18</v>
      </c>
      <c r="E60">
        <f>IF(D60="동일",COUNTIF($D$4:D60,"동일"),"")</f>
        <v>52</v>
      </c>
      <c r="F60" t="str">
        <f>IF(D60="폐점",COUNTIF($D$4:D60,"폐점"),"")</f>
        <v/>
      </c>
      <c r="G60" t="str">
        <f>IF(D60="행사",COUNTIF($D$4:D60,"행사"),"")</f>
        <v/>
      </c>
      <c r="H60" t="str">
        <f>IF(D60="신규",COUNTIF($D$4:D60,"신규"),"")</f>
        <v/>
      </c>
    </row>
    <row r="61" spans="2:8" ht="16.5" customHeight="1">
      <c r="B61" s="88" t="s">
        <v>158</v>
      </c>
      <c r="C61" s="89" t="s">
        <v>159</v>
      </c>
      <c r="D61" s="86" t="s">
        <v>18</v>
      </c>
      <c r="E61">
        <f>IF(D61="동일",COUNTIF($D$4:D61,"동일"),"")</f>
        <v>53</v>
      </c>
      <c r="F61" t="str">
        <f>IF(D61="폐점",COUNTIF($D$4:D61,"폐점"),"")</f>
        <v/>
      </c>
      <c r="G61" t="str">
        <f>IF(D61="행사",COUNTIF($D$4:D61,"행사"),"")</f>
        <v/>
      </c>
      <c r="H61" t="str">
        <f>IF(D61="신규",COUNTIF($D$4:D61,"신규"),"")</f>
        <v/>
      </c>
    </row>
    <row r="62" spans="2:8" ht="16.5" customHeight="1">
      <c r="B62" s="88" t="s">
        <v>160</v>
      </c>
      <c r="C62" s="89" t="s">
        <v>161</v>
      </c>
      <c r="D62" s="86" t="s">
        <v>18</v>
      </c>
      <c r="E62">
        <f>IF(D62="동일",COUNTIF($D$4:D62,"동일"),"")</f>
        <v>54</v>
      </c>
      <c r="F62" t="str">
        <f>IF(D62="폐점",COUNTIF($D$4:D62,"폐점"),"")</f>
        <v/>
      </c>
      <c r="G62" t="str">
        <f>IF(D62="행사",COUNTIF($D$4:D62,"행사"),"")</f>
        <v/>
      </c>
      <c r="H62" t="str">
        <f>IF(D62="신규",COUNTIF($D$4:D62,"신규"),"")</f>
        <v/>
      </c>
    </row>
    <row r="63" spans="2:8" ht="16.5" customHeight="1">
      <c r="B63" s="88" t="s">
        <v>162</v>
      </c>
      <c r="C63" s="89" t="s">
        <v>163</v>
      </c>
      <c r="D63" s="86" t="s">
        <v>18</v>
      </c>
      <c r="E63">
        <f>IF(D63="동일",COUNTIF($D$4:D63,"동일"),"")</f>
        <v>55</v>
      </c>
      <c r="F63" t="str">
        <f>IF(D63="폐점",COUNTIF($D$4:D63,"폐점"),"")</f>
        <v/>
      </c>
      <c r="G63" t="str">
        <f>IF(D63="행사",COUNTIF($D$4:D63,"행사"),"")</f>
        <v/>
      </c>
      <c r="H63" t="str">
        <f>IF(D63="신규",COUNTIF($D$4:D63,"신규"),"")</f>
        <v/>
      </c>
    </row>
    <row r="64" spans="2:8" ht="16.5" customHeight="1">
      <c r="B64" s="88" t="s">
        <v>164</v>
      </c>
      <c r="C64" s="89" t="s">
        <v>165</v>
      </c>
      <c r="D64" s="86" t="s">
        <v>18</v>
      </c>
      <c r="E64">
        <f>IF(D64="동일",COUNTIF($D$4:D64,"동일"),"")</f>
        <v>56</v>
      </c>
      <c r="F64" t="str">
        <f>IF(D64="폐점",COUNTIF($D$4:D64,"폐점"),"")</f>
        <v/>
      </c>
      <c r="G64" t="str">
        <f>IF(D64="행사",COUNTIF($D$4:D64,"행사"),"")</f>
        <v/>
      </c>
      <c r="H64" t="str">
        <f>IF(D64="신규",COUNTIF($D$4:D64,"신규"),"")</f>
        <v/>
      </c>
    </row>
    <row r="65" spans="2:8" ht="16.5" customHeight="1">
      <c r="B65" s="88" t="s">
        <v>166</v>
      </c>
      <c r="C65" s="89" t="s">
        <v>167</v>
      </c>
      <c r="D65" s="86" t="s">
        <v>18</v>
      </c>
      <c r="E65">
        <f>IF(D65="동일",COUNTIF($D$4:D65,"동일"),"")</f>
        <v>57</v>
      </c>
      <c r="F65" t="str">
        <f>IF(D65="폐점",COUNTIF($D$4:D65,"폐점"),"")</f>
        <v/>
      </c>
      <c r="G65" t="str">
        <f>IF(D65="행사",COUNTIF($D$4:D65,"행사"),"")</f>
        <v/>
      </c>
      <c r="H65" t="str">
        <f>IF(D65="신규",COUNTIF($D$4:D65,"신규"),"")</f>
        <v/>
      </c>
    </row>
    <row r="66" spans="2:8" ht="16.5" customHeight="1">
      <c r="B66" s="91" t="s">
        <v>182</v>
      </c>
      <c r="C66" s="92" t="s">
        <v>183</v>
      </c>
      <c r="D66" s="86" t="s">
        <v>21</v>
      </c>
      <c r="E66" t="str">
        <f>IF(D66="동일",COUNTIF($D$4:D66,"동일"),"")</f>
        <v/>
      </c>
      <c r="F66" t="str">
        <f>IF(D66="폐점",COUNTIF($D$4:D66,"폐점"),"")</f>
        <v/>
      </c>
      <c r="G66">
        <f>IF(D66="행사",COUNTIF($D$4:D66,"행사"),"")</f>
        <v>3</v>
      </c>
      <c r="H66" t="str">
        <f>IF(D66="신규",COUNTIF($D$4:D66,"신규"),"")</f>
        <v/>
      </c>
    </row>
    <row r="67" spans="2:8" ht="16.5" customHeight="1">
      <c r="B67" s="88" t="s">
        <v>168</v>
      </c>
      <c r="C67" s="89" t="s">
        <v>169</v>
      </c>
      <c r="D67" s="86" t="s">
        <v>18</v>
      </c>
      <c r="E67">
        <f>IF(D67="동일",COUNTIF($D$4:D67,"동일"),"")</f>
        <v>58</v>
      </c>
      <c r="F67" t="str">
        <f>IF(D67="폐점",COUNTIF($D$4:D67,"폐점"),"")</f>
        <v/>
      </c>
      <c r="G67" t="str">
        <f>IF(D67="행사",COUNTIF($D$4:D67,"행사"),"")</f>
        <v/>
      </c>
      <c r="H67" t="str">
        <f>IF(D67="신규",COUNTIF($D$4:D67,"신규"),"")</f>
        <v/>
      </c>
    </row>
    <row r="68" spans="2:8" ht="16.5" customHeight="1">
      <c r="B68" s="88" t="s">
        <v>172</v>
      </c>
      <c r="C68" s="93" t="s">
        <v>207</v>
      </c>
      <c r="D68" s="86" t="s">
        <v>18</v>
      </c>
      <c r="E68">
        <f>IF(D68="동일",COUNTIF($D$4:D68,"동일"),"")</f>
        <v>59</v>
      </c>
      <c r="F68" t="str">
        <f>IF(D68="폐점",COUNTIF($D$4:D68,"폐점"),"")</f>
        <v/>
      </c>
      <c r="G68" t="str">
        <f>IF(D68="행사",COUNTIF($D$4:D68,"행사"),"")</f>
        <v/>
      </c>
      <c r="H68" t="str">
        <f>IF(D68="신규",COUNTIF($D$4:D68,"신규"),"")</f>
        <v/>
      </c>
    </row>
    <row r="69" spans="2:8" ht="16.5" customHeight="1">
      <c r="B69" s="88" t="s">
        <v>174</v>
      </c>
      <c r="C69" s="89" t="s">
        <v>175</v>
      </c>
      <c r="D69" s="86" t="s">
        <v>18</v>
      </c>
      <c r="E69">
        <f>IF(D69="동일",COUNTIF($D$4:D69,"동일"),"")</f>
        <v>60</v>
      </c>
      <c r="F69" t="str">
        <f>IF(D69="폐점",COUNTIF($D$4:D69,"폐점"),"")</f>
        <v/>
      </c>
      <c r="G69" t="str">
        <f>IF(D69="행사",COUNTIF($D$4:D69,"행사"),"")</f>
        <v/>
      </c>
      <c r="H69" t="str">
        <f>IF(D69="신규",COUNTIF($D$4:D69,"신규"),"")</f>
        <v/>
      </c>
    </row>
    <row r="70" spans="2:8" ht="16.5" customHeight="1">
      <c r="B70" s="88" t="s">
        <v>198</v>
      </c>
      <c r="C70" s="89" t="s">
        <v>199</v>
      </c>
      <c r="D70" s="86" t="s">
        <v>21</v>
      </c>
      <c r="E70" t="str">
        <f>IF(D70="동일",COUNTIF($D$4:D70,"동일"),"")</f>
        <v/>
      </c>
      <c r="F70" t="str">
        <f>IF(D70="폐점",COUNTIF($D$4:D70,"폐점"),"")</f>
        <v/>
      </c>
      <c r="G70">
        <f>IF(D70="행사",COUNTIF($D$4:D70,"행사"),"")</f>
        <v>4</v>
      </c>
      <c r="H70" t="str">
        <f>IF(D70="신규",COUNTIF($D$4:D70,"신규"),"")</f>
        <v/>
      </c>
    </row>
    <row r="71" spans="2:8" ht="16.5" customHeight="1">
      <c r="B71" s="88" t="s">
        <v>176</v>
      </c>
      <c r="C71" s="89" t="s">
        <v>177</v>
      </c>
      <c r="D71" s="86" t="s">
        <v>18</v>
      </c>
      <c r="E71">
        <f>IF(D71="동일",COUNTIF($D$4:D71,"동일"),"")</f>
        <v>61</v>
      </c>
      <c r="F71" t="str">
        <f>IF(D71="폐점",COUNTIF($D$4:D71,"폐점"),"")</f>
        <v/>
      </c>
      <c r="G71" t="str">
        <f>IF(D71="행사",COUNTIF($D$4:D71,"행사"),"")</f>
        <v/>
      </c>
      <c r="H71" t="str">
        <f>IF(D71="신규",COUNTIF($D$4:D71,"신규"),"")</f>
        <v/>
      </c>
    </row>
    <row r="72" spans="2:8" ht="16.5" customHeight="1">
      <c r="B72" s="88" t="s">
        <v>178</v>
      </c>
      <c r="C72" s="89" t="s">
        <v>179</v>
      </c>
      <c r="D72" s="86" t="s">
        <v>18</v>
      </c>
      <c r="E72">
        <f>IF(D72="동일",COUNTIF($D$4:D72,"동일"),"")</f>
        <v>62</v>
      </c>
      <c r="F72" t="str">
        <f>IF(D72="폐점",COUNTIF($D$4:D72,"폐점"),"")</f>
        <v/>
      </c>
      <c r="G72" t="str">
        <f>IF(D72="행사",COUNTIF($D$4:D72,"행사"),"")</f>
        <v/>
      </c>
      <c r="H72" t="str">
        <f>IF(D72="신규",COUNTIF($D$4:D72,"신규"),"")</f>
        <v/>
      </c>
    </row>
    <row r="73" spans="2:8" ht="16.5" customHeight="1">
      <c r="E73" t="str">
        <f>IF(D73="동일",COUNTIF($D$4:D73,"동일"),"")</f>
        <v/>
      </c>
      <c r="F73" t="str">
        <f>IF(D73="폐점",COUNTIF($D$4:D73,"폐점"),"")</f>
        <v/>
      </c>
      <c r="G73" t="str">
        <f>IF(D73="행사",COUNTIF($D$4:D73,"행사"),"")</f>
        <v/>
      </c>
      <c r="H73" t="str">
        <f>IF(D73="신규",COUNTIF($D$4:D73,"신규"),"")</f>
        <v/>
      </c>
    </row>
    <row r="74" spans="2:8" ht="16.5" customHeight="1">
      <c r="E74" t="str">
        <f>IF(D74="동일",COUNTIF($D$4:D74,"동일"),"")</f>
        <v/>
      </c>
      <c r="F74" t="str">
        <f>IF(D74="폐점",COUNTIF($D$4:D74,"폐점"),"")</f>
        <v/>
      </c>
      <c r="G74" t="str">
        <f>IF(D74="행사",COUNTIF($D$4:D74,"행사"),"")</f>
        <v/>
      </c>
      <c r="H74" t="str">
        <f>IF(D74="신규",COUNTIF($D$4:D74,"신규"),"")</f>
        <v/>
      </c>
    </row>
    <row r="75" spans="2:8" ht="16.5" customHeight="1">
      <c r="E75" t="str">
        <f>IF(D75="동일",COUNTIF($D$4:D75,"동일"),"")</f>
        <v/>
      </c>
      <c r="F75" t="str">
        <f>IF(D75="폐점",COUNTIF($D$4:D75,"폐점"),"")</f>
        <v/>
      </c>
      <c r="G75" t="str">
        <f>IF(D75="행사",COUNTIF($D$4:D75,"행사"),"")</f>
        <v/>
      </c>
      <c r="H75" t="str">
        <f>IF(D75="신규",COUNTIF($D$4:D75,"신규"),"")</f>
        <v/>
      </c>
    </row>
    <row r="76" spans="2:8" ht="16.5" customHeight="1">
      <c r="E76" t="str">
        <f>IF(D76="동일",COUNTIF($D$4:D76,"동일"),"")</f>
        <v/>
      </c>
      <c r="F76" t="str">
        <f>IF(D76="폐점",COUNTIF($D$4:D76,"폐점"),"")</f>
        <v/>
      </c>
      <c r="G76" t="str">
        <f>IF(D76="행사",COUNTIF($D$4:D76,"행사"),"")</f>
        <v/>
      </c>
      <c r="H76" t="str">
        <f>IF(D76="신규",COUNTIF($D$4:D76,"신규"),"")</f>
        <v/>
      </c>
    </row>
    <row r="77" spans="2:8" ht="16.5" customHeight="1">
      <c r="E77" t="str">
        <f>IF(D77="동일",COUNTIF($D$4:D77,"동일"),"")</f>
        <v/>
      </c>
      <c r="F77" t="str">
        <f>IF(D77="폐점",COUNTIF($D$4:D77,"폐점"),"")</f>
        <v/>
      </c>
      <c r="G77" t="str">
        <f>IF(D77="행사",COUNTIF($D$4:D77,"행사"),"")</f>
        <v/>
      </c>
      <c r="H77" t="str">
        <f>IF(D77="신규",COUNTIF($D$4:D77,"신규"),"")</f>
        <v/>
      </c>
    </row>
    <row r="78" spans="2:8" ht="14.4">
      <c r="E78" t="str">
        <f>IF(D78="동일",COUNTIF($D$4:D78,"동일"),"")</f>
        <v/>
      </c>
      <c r="F78" t="str">
        <f>IF(D78="폐점",COUNTIF($D$4:D78,"폐점"),"")</f>
        <v/>
      </c>
      <c r="G78" t="str">
        <f>IF(D78="행사",COUNTIF($D$4:D78,"행사"),"")</f>
        <v/>
      </c>
      <c r="H78" t="str">
        <f>IF(D78="신규",COUNTIF($D$4:D78,"신규"),"")</f>
        <v/>
      </c>
    </row>
    <row r="79" spans="2:8" ht="14.4">
      <c r="E79" t="str">
        <f>IF(D79="동일",COUNTIF($D$4:D79,"동일"),"")</f>
        <v/>
      </c>
      <c r="F79" t="str">
        <f>IF(D79="폐점",COUNTIF($D$4:D79,"폐점"),"")</f>
        <v/>
      </c>
      <c r="G79" t="str">
        <f>IF(D79="행사",COUNTIF($D$4:D79,"행사"),"")</f>
        <v/>
      </c>
      <c r="H79" t="str">
        <f>IF(D79="신규",COUNTIF($D$4:D79,"신규"),"")</f>
        <v/>
      </c>
    </row>
    <row r="80" spans="2:8" ht="14.4">
      <c r="E80" t="str">
        <f>IF(D80="동일",COUNTIF($D$4:D80,"동일"),"")</f>
        <v/>
      </c>
      <c r="F80" t="str">
        <f>IF(D80="폐점",COUNTIF($D$4:D80,"폐점"),"")</f>
        <v/>
      </c>
      <c r="G80" t="str">
        <f>IF(D80="행사",COUNTIF($D$4:D80,"행사"),"")</f>
        <v/>
      </c>
      <c r="H80" t="str">
        <f>IF(D80="신규",COUNTIF($D$4:D80,"신규"),"")</f>
        <v/>
      </c>
    </row>
    <row r="81" spans="5:8" ht="14.4">
      <c r="E81" t="str">
        <f>IF(D81="동일",COUNTIF($D$4:D81,"동일"),"")</f>
        <v/>
      </c>
      <c r="F81" t="str">
        <f>IF(D81="폐점",COUNTIF($D$4:D81,"폐점"),"")</f>
        <v/>
      </c>
      <c r="G81" t="str">
        <f>IF(D81="행사",COUNTIF($D$4:D81,"행사"),"")</f>
        <v/>
      </c>
      <c r="H81" t="str">
        <f>IF(D81="신규",COUNTIF($D$4:D81,"신규"),"")</f>
        <v/>
      </c>
    </row>
    <row r="82" spans="5:8" ht="14.4">
      <c r="E82" t="str">
        <f>IF(D82="동일",COUNTIF($D$4:D82,"동일"),"")</f>
        <v/>
      </c>
      <c r="F82" t="str">
        <f>IF(D82="폐점",COUNTIF($D$4:D82,"폐점"),"")</f>
        <v/>
      </c>
      <c r="G82" t="str">
        <f>IF(D82="행사",COUNTIF($D$4:D82,"행사"),"")</f>
        <v/>
      </c>
      <c r="H82" t="str">
        <f>IF(D82="신규",COUNTIF($D$4:D82,"신규"),"")</f>
        <v/>
      </c>
    </row>
    <row r="83" spans="5:8" ht="14.4">
      <c r="E83" t="str">
        <f>IF(D83="동일",COUNTIF($D$4:D83,"동일"),"")</f>
        <v/>
      </c>
      <c r="F83" t="str">
        <f>IF(D83="폐점",COUNTIF($D$4:D83,"폐점"),"")</f>
        <v/>
      </c>
      <c r="G83" t="str">
        <f>IF(D83="행사",COUNTIF($D$4:D83,"행사"),"")</f>
        <v/>
      </c>
      <c r="H83" t="str">
        <f>IF(D83="신규",COUNTIF($D$4:D83,"신규"),"")</f>
        <v/>
      </c>
    </row>
    <row r="84" spans="5:8" ht="14.4">
      <c r="E84" t="str">
        <f>IF(D84="동일",COUNTIF($D$4:D84,"동일"),"")</f>
        <v/>
      </c>
      <c r="F84" t="str">
        <f>IF(D84="폐점",COUNTIF($D$4:D84,"폐점"),"")</f>
        <v/>
      </c>
      <c r="G84" t="str">
        <f>IF(D84="행사",COUNTIF($D$4:D84,"행사"),"")</f>
        <v/>
      </c>
      <c r="H84" t="str">
        <f>IF(D84="신규",COUNTIF($D$4:D84,"신규"),"")</f>
        <v/>
      </c>
    </row>
    <row r="85" spans="5:8" ht="14.4">
      <c r="E85" t="str">
        <f>IF(D85="동일",COUNTIF($D$4:D85,"동일"),"")</f>
        <v/>
      </c>
      <c r="F85" t="str">
        <f>IF(D85="폐점",COUNTIF($D$4:D85,"폐점"),"")</f>
        <v/>
      </c>
      <c r="G85" t="str">
        <f>IF(D85="행사",COUNTIF($D$4:D85,"행사"),"")</f>
        <v/>
      </c>
      <c r="H85" t="str">
        <f>IF(D85="신규",COUNTIF($D$4:D85,"신규"),"")</f>
        <v/>
      </c>
    </row>
    <row r="86" spans="5:8" ht="14.4">
      <c r="E86" t="str">
        <f>IF(D86="동일",COUNTIF($D$4:D86,"동일"),"")</f>
        <v/>
      </c>
      <c r="F86" t="str">
        <f>IF(D86="폐점",COUNTIF($D$4:D86,"폐점"),"")</f>
        <v/>
      </c>
      <c r="G86" t="str">
        <f>IF(D86="행사",COUNTIF($D$4:D86,"행사"),"")</f>
        <v/>
      </c>
      <c r="H86" t="str">
        <f>IF(D86="신규",COUNTIF($D$4:D86,"신규"),"")</f>
        <v/>
      </c>
    </row>
    <row r="87" spans="5:8" ht="14.4">
      <c r="E87" t="str">
        <f>IF(D87="동일",COUNTIF($D$4:D87,"동일"),"")</f>
        <v/>
      </c>
      <c r="F87" t="str">
        <f>IF(D87="폐점",COUNTIF($D$4:D87,"폐점"),"")</f>
        <v/>
      </c>
      <c r="G87" t="str">
        <f>IF(D87="행사",COUNTIF($D$4:D87,"행사"),"")</f>
        <v/>
      </c>
      <c r="H87" t="str">
        <f>IF(D87="신규",COUNTIF($D$4:D87,"신규"),"")</f>
        <v/>
      </c>
    </row>
    <row r="88" spans="5:8" ht="14.4">
      <c r="E88" t="str">
        <f>IF(D88="동일",COUNTIF($D$4:D88,"동일"),"")</f>
        <v/>
      </c>
      <c r="F88" t="str">
        <f>IF(D88="폐점",COUNTIF($D$4:D88,"폐점"),"")</f>
        <v/>
      </c>
      <c r="G88" t="str">
        <f>IF(D88="행사",COUNTIF($D$4:D88,"행사"),"")</f>
        <v/>
      </c>
      <c r="H88" t="str">
        <f>IF(D88="신규",COUNTIF($D$4:D88,"신규"),"")</f>
        <v/>
      </c>
    </row>
    <row r="89" spans="5:8" ht="14.4">
      <c r="E89" t="str">
        <f>IF(D89="동일",COUNTIF($D$4:D89,"동일"),"")</f>
        <v/>
      </c>
      <c r="F89" t="str">
        <f>IF(D89="폐점",COUNTIF($D$4:D89,"폐점"),"")</f>
        <v/>
      </c>
      <c r="G89" t="str">
        <f>IF(D89="행사",COUNTIF($D$4:D89,"행사"),"")</f>
        <v/>
      </c>
      <c r="H89" t="str">
        <f>IF(D89="신규",COUNTIF($D$4:D89,"신규"),"")</f>
        <v/>
      </c>
    </row>
    <row r="90" spans="5:8" ht="14.4">
      <c r="E90" t="str">
        <f>IF(D90="동일",COUNTIF($D$4:D90,"동일"),"")</f>
        <v/>
      </c>
      <c r="F90" t="str">
        <f>IF(D90="폐점",COUNTIF($D$4:D90,"폐점"),"")</f>
        <v/>
      </c>
      <c r="G90" t="str">
        <f>IF(D90="행사",COUNTIF($D$4:D90,"행사"),"")</f>
        <v/>
      </c>
      <c r="H90" t="str">
        <f>IF(D90="신규",COUNTIF($D$4:D90,"신규"),"")</f>
        <v/>
      </c>
    </row>
    <row r="91" spans="5:8" ht="14.4">
      <c r="E91" t="str">
        <f>IF(D91="동일",COUNTIF($D$4:D91,"동일"),"")</f>
        <v/>
      </c>
      <c r="F91" t="str">
        <f>IF(D91="폐점",COUNTIF($D$4:D91,"폐점"),"")</f>
        <v/>
      </c>
      <c r="G91" t="str">
        <f>IF(D91="행사",COUNTIF($D$4:D91,"행사"),"")</f>
        <v/>
      </c>
      <c r="H91" t="str">
        <f>IF(D91="신규",COUNTIF($D$4:D91,"신규"),"")</f>
        <v/>
      </c>
    </row>
    <row r="92" spans="5:8" ht="14.4">
      <c r="E92" t="str">
        <f>IF(D92="동일",COUNTIF($D$4:D92,"동일"),"")</f>
        <v/>
      </c>
      <c r="F92" t="str">
        <f>IF(D92="폐점",COUNTIF($D$4:D92,"폐점"),"")</f>
        <v/>
      </c>
      <c r="G92" t="str">
        <f>IF(D92="행사",COUNTIF($D$4:D92,"행사"),"")</f>
        <v/>
      </c>
      <c r="H92" t="str">
        <f>IF(D92="신규",COUNTIF($D$4:D92,"신규"),"")</f>
        <v/>
      </c>
    </row>
    <row r="93" spans="5:8" ht="14.4">
      <c r="E93" t="str">
        <f>IF(D93="동일",COUNTIF($D$4:D93,"동일"),"")</f>
        <v/>
      </c>
      <c r="F93" t="str">
        <f>IF(D93="폐점",COUNTIF($D$4:D93,"폐점"),"")</f>
        <v/>
      </c>
      <c r="G93" t="str">
        <f>IF(D93="행사",COUNTIF($D$4:D93,"행사"),"")</f>
        <v/>
      </c>
      <c r="H93" t="str">
        <f>IF(D93="신규",COUNTIF($D$4:D93,"신규"),"")</f>
        <v/>
      </c>
    </row>
    <row r="94" spans="5:8" ht="14.4">
      <c r="E94" t="str">
        <f>IF(D94="동일",COUNTIF($D$4:D94,"동일"),"")</f>
        <v/>
      </c>
      <c r="F94" t="str">
        <f>IF(D94="폐점",COUNTIF($D$4:D94,"폐점"),"")</f>
        <v/>
      </c>
      <c r="G94" t="str">
        <f>IF(D94="행사",COUNTIF($D$4:D94,"행사"),"")</f>
        <v/>
      </c>
      <c r="H94" t="str">
        <f>IF(D94="신규",COUNTIF($D$4:D94,"신규"),"")</f>
        <v/>
      </c>
    </row>
    <row r="95" spans="5:8" ht="14.4">
      <c r="E95" t="str">
        <f>IF(D95="동일",COUNTIF($D$4:D95,"동일"),"")</f>
        <v/>
      </c>
      <c r="F95" t="str">
        <f>IF(D95="폐점",COUNTIF($D$4:D95,"폐점"),"")</f>
        <v/>
      </c>
      <c r="G95" t="str">
        <f>IF(D95="행사",COUNTIF($D$4:D95,"행사"),"")</f>
        <v/>
      </c>
      <c r="H95" t="str">
        <f>IF(D95="신규",COUNTIF($D$4:D95,"신규"),"")</f>
        <v/>
      </c>
    </row>
    <row r="96" spans="5:8" ht="14.4">
      <c r="E96" t="str">
        <f>IF(D96="동일",COUNTIF($D$4:D96,"동일"),"")</f>
        <v/>
      </c>
      <c r="F96" t="str">
        <f>IF(D96="폐점",COUNTIF($D$4:D96,"폐점"),"")</f>
        <v/>
      </c>
      <c r="G96" t="str">
        <f>IF(D96="행사",COUNTIF($D$4:D96,"행사"),"")</f>
        <v/>
      </c>
      <c r="H96" t="str">
        <f>IF(D96="신규",COUNTIF($D$4:D96,"신규"),"")</f>
        <v/>
      </c>
    </row>
    <row r="97" spans="5:8" ht="14.4">
      <c r="E97" t="str">
        <f>IF(D97="동일",COUNTIF($D$4:D97,"동일"),"")</f>
        <v/>
      </c>
      <c r="F97" t="str">
        <f>IF(D97="폐점",COUNTIF($D$4:D97,"폐점"),"")</f>
        <v/>
      </c>
      <c r="G97" t="str">
        <f>IF(D97="행사",COUNTIF($D$4:D97,"행사"),"")</f>
        <v/>
      </c>
      <c r="H97" t="str">
        <f>IF(D97="신규",COUNTIF($D$4:D97,"신규"),"")</f>
        <v/>
      </c>
    </row>
    <row r="98" spans="5:8" ht="14.4">
      <c r="E98" t="str">
        <f>IF(D98="동일",COUNTIF($D$4:D98,"동일"),"")</f>
        <v/>
      </c>
      <c r="F98" t="str">
        <f>IF(D98="폐점",COUNTIF($D$4:D98,"폐점"),"")</f>
        <v/>
      </c>
      <c r="G98" t="str">
        <f>IF(D98="행사",COUNTIF($D$4:D98,"행사"),"")</f>
        <v/>
      </c>
      <c r="H98" t="str">
        <f>IF(D98="신규",COUNTIF($D$4:D98,"신규"),"")</f>
        <v/>
      </c>
    </row>
    <row r="99" spans="5:8" ht="14.4">
      <c r="E99" t="str">
        <f>IF(D99="동일",COUNTIF($D$4:D99,"동일"),"")</f>
        <v/>
      </c>
      <c r="F99" t="str">
        <f>IF(D99="폐점",COUNTIF($D$4:D99,"폐점"),"")</f>
        <v/>
      </c>
      <c r="G99" t="str">
        <f>IF(D99="행사",COUNTIF($D$4:D99,"행사"),"")</f>
        <v/>
      </c>
      <c r="H99" t="str">
        <f>IF(D99="신규",COUNTIF($D$4:D99,"신규"),"")</f>
        <v/>
      </c>
    </row>
    <row r="100" spans="5:8" ht="14.4">
      <c r="E100" t="str">
        <f>IF(D100="동일",COUNTIF($D$4:D100,"동일"),"")</f>
        <v/>
      </c>
      <c r="F100" t="str">
        <f>IF(D100="폐점",COUNTIF($D$4:D100,"폐점"),"")</f>
        <v/>
      </c>
      <c r="G100" t="str">
        <f>IF(D100="행사",COUNTIF($D$4:D100,"행사"),"")</f>
        <v/>
      </c>
      <c r="H100" t="str">
        <f>IF(D100="신규",COUNTIF($D$4:D100,"신규"),"")</f>
        <v/>
      </c>
    </row>
    <row r="101" spans="5:8" ht="14.4">
      <c r="E101" t="str">
        <f>IF(D101="동일",COUNTIF($D$4:D101,"동일"),"")</f>
        <v/>
      </c>
      <c r="F101" t="str">
        <f>IF(D101="폐점",COUNTIF($D$4:D101,"폐점"),"")</f>
        <v/>
      </c>
      <c r="G101" t="str">
        <f>IF(D101="행사",COUNTIF($D$4:D101,"행사"),"")</f>
        <v/>
      </c>
      <c r="H101" t="str">
        <f>IF(D101="신규",COUNTIF($D$4:D101,"신규"),"")</f>
        <v/>
      </c>
    </row>
    <row r="102" spans="5:8" ht="14.4">
      <c r="E102" t="str">
        <f>IF(D102="동일",COUNTIF($D$4:D102,"동일"),"")</f>
        <v/>
      </c>
      <c r="F102" t="str">
        <f>IF(D102="폐점",COUNTIF($D$4:D102,"폐점"),"")</f>
        <v/>
      </c>
      <c r="G102" t="str">
        <f>IF(D102="행사",COUNTIF($D$4:D102,"행사"),"")</f>
        <v/>
      </c>
      <c r="H102" t="str">
        <f>IF(D102="신규",COUNTIF($D$4:D102,"신규"),"")</f>
        <v/>
      </c>
    </row>
    <row r="103" spans="5:8" ht="14.4">
      <c r="E103" t="str">
        <f>IF(D103="동일",COUNTIF($D$4:D103,"동일"),"")</f>
        <v/>
      </c>
      <c r="F103" t="str">
        <f>IF(D103="폐점",COUNTIF($D$4:D103,"폐점"),"")</f>
        <v/>
      </c>
      <c r="G103" t="str">
        <f>IF(D103="행사",COUNTIF($D$4:D103,"행사"),"")</f>
        <v/>
      </c>
      <c r="H103" t="str">
        <f>IF(D103="신규",COUNTIF($D$4:D103,"신규"),"")</f>
        <v/>
      </c>
    </row>
    <row r="104" spans="5:8" ht="14.4">
      <c r="E104" t="str">
        <f>IF(D104="동일",COUNTIF($D$4:D104,"동일"),"")</f>
        <v/>
      </c>
      <c r="F104" t="str">
        <f>IF(D104="폐점",COUNTIF($D$4:D104,"폐점"),"")</f>
        <v/>
      </c>
      <c r="G104" t="str">
        <f>IF(D104="행사",COUNTIF($D$4:D104,"행사"),"")</f>
        <v/>
      </c>
      <c r="H104" t="str">
        <f>IF(D104="신규",COUNTIF($D$4:D104,"신규"),"")</f>
        <v/>
      </c>
    </row>
    <row r="105" spans="5:8" ht="14.4">
      <c r="E105" t="str">
        <f>IF(D105="동일",COUNTIF($D$4:D105,"동일"),"")</f>
        <v/>
      </c>
      <c r="F105" t="str">
        <f>IF(D105="폐점",COUNTIF($D$4:D105,"폐점"),"")</f>
        <v/>
      </c>
      <c r="G105" t="str">
        <f>IF(D105="행사",COUNTIF($D$4:D105,"행사"),"")</f>
        <v/>
      </c>
      <c r="H105" t="str">
        <f>IF(D105="신규",COUNTIF($D$4:D105,"신규"),"")</f>
        <v/>
      </c>
    </row>
    <row r="106" spans="5:8" ht="14.4">
      <c r="E106" t="str">
        <f>IF(D106="동일",COUNTIF($D$4:D106,"동일"),"")</f>
        <v/>
      </c>
      <c r="F106" t="str">
        <f>IF(D106="폐점",COUNTIF($D$4:D106,"폐점"),"")</f>
        <v/>
      </c>
      <c r="G106" t="str">
        <f>IF(D106="행사",COUNTIF($D$4:D106,"행사"),"")</f>
        <v/>
      </c>
      <c r="H106" t="str">
        <f>IF(D106="신규",COUNTIF($D$4:D106,"신규"),"")</f>
        <v/>
      </c>
    </row>
    <row r="107" spans="5:8" ht="14.4">
      <c r="E107" t="str">
        <f>IF(D107="동일",COUNTIF($D$4:D107,"동일"),"")</f>
        <v/>
      </c>
      <c r="F107" t="str">
        <f>IF(D107="폐점",COUNTIF($D$4:D107,"폐점"),"")</f>
        <v/>
      </c>
      <c r="G107" t="str">
        <f>IF(D107="행사",COUNTIF($D$4:D107,"행사"),"")</f>
        <v/>
      </c>
      <c r="H107" t="str">
        <f>IF(D107="신규",COUNTIF($D$4:D107,"신규"),"")</f>
        <v/>
      </c>
    </row>
    <row r="108" spans="5:8" ht="14.4">
      <c r="E108" t="str">
        <f>IF(D108="동일",COUNTIF($D$4:D108,"동일"),"")</f>
        <v/>
      </c>
      <c r="F108" t="str">
        <f>IF(D108="폐점",COUNTIF($D$4:D108,"폐점"),"")</f>
        <v/>
      </c>
      <c r="G108" t="str">
        <f>IF(D108="행사",COUNTIF($D$4:D108,"행사"),"")</f>
        <v/>
      </c>
      <c r="H108" t="str">
        <f>IF(D108="신규",COUNTIF($D$4:D108,"신규"),"")</f>
        <v/>
      </c>
    </row>
    <row r="109" spans="5:8" ht="14.4">
      <c r="E109" t="str">
        <f>IF(D109="동일",COUNTIF($D$4:D109,"동일"),"")</f>
        <v/>
      </c>
      <c r="F109" t="str">
        <f>IF(D109="폐점",COUNTIF($D$4:D109,"폐점"),"")</f>
        <v/>
      </c>
      <c r="G109" t="str">
        <f>IF(D109="행사",COUNTIF($D$4:D109,"행사"),"")</f>
        <v/>
      </c>
      <c r="H109" t="str">
        <f>IF(D109="신규",COUNTIF($D$4:D109,"신규"),"")</f>
        <v/>
      </c>
    </row>
    <row r="110" spans="5:8" ht="14.4">
      <c r="E110" t="str">
        <f>IF(D110="동일",COUNTIF($D$4:D110,"동일"),"")</f>
        <v/>
      </c>
      <c r="F110" t="str">
        <f>IF(D110="폐점",COUNTIF($D$4:D110,"폐점"),"")</f>
        <v/>
      </c>
      <c r="G110" t="str">
        <f>IF(D110="행사",COUNTIF($D$4:D110,"행사"),"")</f>
        <v/>
      </c>
      <c r="H110" t="str">
        <f>IF(D110="신규",COUNTIF($D$4:D110,"신규"),"")</f>
        <v/>
      </c>
    </row>
    <row r="111" spans="5:8" ht="14.4">
      <c r="E111" t="str">
        <f>IF(D111="동일",COUNTIF($D$4:D111,"동일"),"")</f>
        <v/>
      </c>
      <c r="F111" t="str">
        <f>IF(D111="폐점",COUNTIF($D$4:D111,"폐점"),"")</f>
        <v/>
      </c>
      <c r="G111" t="str">
        <f>IF(D111="행사",COUNTIF($D$4:D111,"행사"),"")</f>
        <v/>
      </c>
      <c r="H111" t="str">
        <f>IF(D111="신규",COUNTIF($D$4:D111,"신규"),"")</f>
        <v/>
      </c>
    </row>
    <row r="112" spans="5:8" ht="14.4">
      <c r="E112" t="str">
        <f>IF(D112="동일",COUNTIF($D$4:D112,"동일"),"")</f>
        <v/>
      </c>
      <c r="F112" t="str">
        <f>IF(D112="폐점",COUNTIF($D$4:D112,"폐점"),"")</f>
        <v/>
      </c>
      <c r="G112" t="str">
        <f>IF(D112="행사",COUNTIF($D$4:D112,"행사"),"")</f>
        <v/>
      </c>
      <c r="H112" t="str">
        <f>IF(D112="신규",COUNTIF($D$4:D112,"신규"),"")</f>
        <v/>
      </c>
    </row>
    <row r="113" spans="5:8" ht="14.4">
      <c r="E113" t="str">
        <f>IF(D113="동일",COUNTIF($D$4:D113,"동일"),"")</f>
        <v/>
      </c>
      <c r="F113" t="str">
        <f>IF(D113="폐점",COUNTIF($D$4:D113,"폐점"),"")</f>
        <v/>
      </c>
      <c r="G113" t="str">
        <f>IF(D113="행사",COUNTIF($D$4:D113,"행사"),"")</f>
        <v/>
      </c>
      <c r="H113" t="str">
        <f>IF(D113="신규",COUNTIF($D$4:D113,"신규"),"")</f>
        <v/>
      </c>
    </row>
    <row r="114" spans="5:8" ht="14.4">
      <c r="E114" t="str">
        <f>IF(D114="동일",COUNTIF($D$4:D114,"동일"),"")</f>
        <v/>
      </c>
      <c r="F114" t="str">
        <f>IF(D114="폐점",COUNTIF($D$4:D114,"폐점"),"")</f>
        <v/>
      </c>
      <c r="G114" t="str">
        <f>IF(D114="행사",COUNTIF($D$4:D114,"행사"),"")</f>
        <v/>
      </c>
      <c r="H114" t="str">
        <f>IF(D114="신규",COUNTIF($D$4:D114,"신규"),"")</f>
        <v/>
      </c>
    </row>
    <row r="115" spans="5:8" ht="14.4">
      <c r="E115" t="str">
        <f>IF(D115="동일",COUNTIF($D$4:D115,"동일"),"")</f>
        <v/>
      </c>
      <c r="F115" t="str">
        <f>IF(D115="폐점",COUNTIF($D$4:D115,"폐점"),"")</f>
        <v/>
      </c>
      <c r="G115" t="str">
        <f>IF(D115="행사",COUNTIF($D$4:D115,"행사"),"")</f>
        <v/>
      </c>
      <c r="H115" t="str">
        <f>IF(D115="신규",COUNTIF($D$4:D115,"신규"),"")</f>
        <v/>
      </c>
    </row>
    <row r="116" spans="5:8" ht="14.4">
      <c r="E116" t="str">
        <f>IF(D116="동일",COUNTIF($D$4:D116,"동일"),"")</f>
        <v/>
      </c>
      <c r="F116" t="str">
        <f>IF(D116="폐점",COUNTIF($D$4:D116,"폐점"),"")</f>
        <v/>
      </c>
      <c r="G116" t="str">
        <f>IF(D116="행사",COUNTIF($D$4:D116,"행사"),"")</f>
        <v/>
      </c>
      <c r="H116" t="str">
        <f>IF(D116="신규",COUNTIF($D$4:D116,"신규"),"")</f>
        <v/>
      </c>
    </row>
    <row r="117" spans="5:8" ht="14.4">
      <c r="E117" t="str">
        <f>IF(D117="동일",COUNTIF($D$4:D117,"동일"),"")</f>
        <v/>
      </c>
      <c r="F117" t="str">
        <f>IF(D117="폐점",COUNTIF($D$4:D117,"폐점"),"")</f>
        <v/>
      </c>
      <c r="G117" t="str">
        <f>IF(D117="행사",COUNTIF($D$4:D117,"행사"),"")</f>
        <v/>
      </c>
      <c r="H117" t="str">
        <f>IF(D117="신규",COUNTIF($D$4:D117,"신규"),"")</f>
        <v/>
      </c>
    </row>
    <row r="118" spans="5:8" ht="14.4">
      <c r="E118" t="str">
        <f>IF(D118="동일",COUNTIF($D$4:D118,"동일"),"")</f>
        <v/>
      </c>
      <c r="F118" t="str">
        <f>IF(D118="폐점",COUNTIF($D$4:D118,"폐점"),"")</f>
        <v/>
      </c>
      <c r="G118" t="str">
        <f>IF(D118="행사",COUNTIF($D$4:D118,"행사"),"")</f>
        <v/>
      </c>
      <c r="H118" t="str">
        <f>IF(D118="신규",COUNTIF($D$4:D118,"신규"),"")</f>
        <v/>
      </c>
    </row>
    <row r="119" spans="5:8" ht="14.4">
      <c r="E119" t="str">
        <f>IF(D119="동일",COUNTIF($D$4:D119,"동일"),"")</f>
        <v/>
      </c>
      <c r="F119" t="str">
        <f>IF(D119="폐점",COUNTIF($D$4:D119,"폐점"),"")</f>
        <v/>
      </c>
      <c r="G119" t="str">
        <f>IF(D119="행사",COUNTIF($D$4:D119,"행사"),"")</f>
        <v/>
      </c>
      <c r="H119" t="str">
        <f>IF(D119="신규",COUNTIF($D$4:D119,"신규"),"")</f>
        <v/>
      </c>
    </row>
    <row r="120" spans="5:8" ht="14.4">
      <c r="E120" t="str">
        <f>IF(D120="동일",COUNTIF($D$4:D120,"동일"),"")</f>
        <v/>
      </c>
      <c r="F120" t="str">
        <f>IF(D120="폐점",COUNTIF($D$4:D120,"폐점"),"")</f>
        <v/>
      </c>
      <c r="G120" t="str">
        <f>IF(D120="행사",COUNTIF($D$4:D120,"행사"),"")</f>
        <v/>
      </c>
      <c r="H120" t="str">
        <f>IF(D120="신규",COUNTIF($D$4:D120,"신규"),"")</f>
        <v/>
      </c>
    </row>
    <row r="121" spans="5:8" ht="14.4">
      <c r="E121" t="str">
        <f>IF(D121="동일",COUNTIF($D$4:D121,"동일"),"")</f>
        <v/>
      </c>
      <c r="F121" t="str">
        <f>IF(D121="폐점",COUNTIF($D$4:D121,"폐점"),"")</f>
        <v/>
      </c>
      <c r="G121" t="str">
        <f>IF(D121="행사",COUNTIF($D$4:D121,"행사"),"")</f>
        <v/>
      </c>
      <c r="H121" t="str">
        <f>IF(D121="신규",COUNTIF($D$4:D121,"신규"),"")</f>
        <v/>
      </c>
    </row>
    <row r="122" spans="5:8" ht="14.4">
      <c r="E122" t="str">
        <f>IF(D122="동일",COUNTIF($D$4:D122,"동일"),"")</f>
        <v/>
      </c>
      <c r="F122" t="str">
        <f>IF(D122="폐점",COUNTIF($D$4:D122,"폐점"),"")</f>
        <v/>
      </c>
      <c r="G122" t="str">
        <f>IF(D122="행사",COUNTIF($D$4:D122,"행사"),"")</f>
        <v/>
      </c>
      <c r="H122" t="str">
        <f>IF(D122="신규",COUNTIF($D$4:D122,"신규"),"")</f>
        <v/>
      </c>
    </row>
    <row r="123" spans="5:8" ht="14.4">
      <c r="E123" t="str">
        <f>IF(D123="동일",COUNTIF($D$4:D123,"동일"),"")</f>
        <v/>
      </c>
      <c r="F123" t="str">
        <f>IF(D123="폐점",COUNTIF($D$4:D123,"폐점"),"")</f>
        <v/>
      </c>
      <c r="G123" t="str">
        <f>IF(D123="행사",COUNTIF($D$4:D123,"행사"),"")</f>
        <v/>
      </c>
      <c r="H123" t="str">
        <f>IF(D123="신규",COUNTIF($D$4:D123,"신규"),"")</f>
        <v/>
      </c>
    </row>
    <row r="124" spans="5:8" ht="14.4">
      <c r="E124" t="str">
        <f>IF(D124="동일",COUNTIF($D$4:D124,"동일"),"")</f>
        <v/>
      </c>
      <c r="F124" t="str">
        <f>IF(D124="폐점",COUNTIF($D$4:D124,"폐점"),"")</f>
        <v/>
      </c>
      <c r="G124" t="str">
        <f>IF(D124="행사",COUNTIF($D$4:D124,"행사"),"")</f>
        <v/>
      </c>
      <c r="H124" t="str">
        <f>IF(D124="신규",COUNTIF($D$4:D124,"신규"),"")</f>
        <v/>
      </c>
    </row>
    <row r="125" spans="5:8" ht="14.4">
      <c r="E125" t="str">
        <f>IF(D125="동일",COUNTIF($D$4:D125,"동일"),"")</f>
        <v/>
      </c>
      <c r="F125" t="str">
        <f>IF(D125="폐점",COUNTIF($D$4:D125,"폐점"),"")</f>
        <v/>
      </c>
      <c r="G125" t="str">
        <f>IF(D125="행사",COUNTIF($D$4:D125,"행사"),"")</f>
        <v/>
      </c>
      <c r="H125" t="str">
        <f>IF(D125="신규",COUNTIF($D$4:D125,"신규"),"")</f>
        <v/>
      </c>
    </row>
    <row r="126" spans="5:8" ht="14.4">
      <c r="E126" t="str">
        <f>IF(D126="동일",COUNTIF($D$4:D126,"동일"),"")</f>
        <v/>
      </c>
      <c r="F126" t="str">
        <f>IF(D126="폐점",COUNTIF($D$4:D126,"폐점"),"")</f>
        <v/>
      </c>
      <c r="G126" t="str">
        <f>IF(D126="행사",COUNTIF($D$4:D126,"행사"),"")</f>
        <v/>
      </c>
      <c r="H126" t="str">
        <f>IF(D126="신규",COUNTIF($D$4:D126,"신규"),"")</f>
        <v/>
      </c>
    </row>
    <row r="127" spans="5:8" ht="14.4">
      <c r="E127" t="str">
        <f>IF(D127="동일",COUNTIF($D$4:D127,"동일"),"")</f>
        <v/>
      </c>
      <c r="F127" t="str">
        <f>IF(D127="폐점",COUNTIF($D$4:D127,"폐점"),"")</f>
        <v/>
      </c>
      <c r="G127" t="str">
        <f>IF(D127="행사",COUNTIF($D$4:D127,"행사"),"")</f>
        <v/>
      </c>
      <c r="H127" t="str">
        <f>IF(D127="신규",COUNTIF($D$4:D127,"신규"),"")</f>
        <v/>
      </c>
    </row>
    <row r="128" spans="5:8" ht="14.4">
      <c r="E128" t="str">
        <f>IF(D128="동일",COUNTIF($D$4:D128,"동일"),"")</f>
        <v/>
      </c>
      <c r="F128" t="str">
        <f>IF(D128="폐점",COUNTIF($D$4:D128,"폐점"),"")</f>
        <v/>
      </c>
      <c r="G128" t="str">
        <f>IF(D128="행사",COUNTIF($D$4:D128,"행사"),"")</f>
        <v/>
      </c>
      <c r="H128" t="str">
        <f>IF(D128="신규",COUNTIF($D$4:D128,"신규"),"")</f>
        <v/>
      </c>
    </row>
    <row r="129" spans="5:8" ht="14.4">
      <c r="E129" t="str">
        <f>IF(D129="동일",COUNTIF($D$4:D129,"동일"),"")</f>
        <v/>
      </c>
      <c r="F129" t="str">
        <f>IF(D129="폐점",COUNTIF($D$4:D129,"폐점"),"")</f>
        <v/>
      </c>
      <c r="G129" t="str">
        <f>IF(D129="행사",COUNTIF($D$4:D129,"행사"),"")</f>
        <v/>
      </c>
      <c r="H129" t="str">
        <f>IF(D129="신규",COUNTIF($D$4:D129,"신규"),"")</f>
        <v/>
      </c>
    </row>
    <row r="130" spans="5:8" ht="14.4">
      <c r="E130" t="str">
        <f>IF(D130="동일",COUNTIF($D$4:D130,"동일"),"")</f>
        <v/>
      </c>
      <c r="F130" t="str">
        <f>IF(D130="폐점",COUNTIF($D$4:D130,"폐점"),"")</f>
        <v/>
      </c>
      <c r="G130" t="str">
        <f>IF(D130="행사",COUNTIF($D$4:D130,"행사"),"")</f>
        <v/>
      </c>
      <c r="H130" t="str">
        <f>IF(D130="신규",COUNTIF($D$4:D130,"신규"),"")</f>
        <v/>
      </c>
    </row>
    <row r="131" spans="5:8" ht="14.4">
      <c r="E131" t="str">
        <f>IF(D131="동일",COUNTIF($D$4:D131,"동일"),"")</f>
        <v/>
      </c>
      <c r="F131" t="str">
        <f>IF(D131="폐점",COUNTIF($D$4:D131,"폐점"),"")</f>
        <v/>
      </c>
      <c r="G131" t="str">
        <f>IF(D131="행사",COUNTIF($D$4:D131,"행사"),"")</f>
        <v/>
      </c>
      <c r="H131" t="str">
        <f>IF(D131="신규",COUNTIF($D$4:D131,"신규"),"")</f>
        <v/>
      </c>
    </row>
    <row r="132" spans="5:8" ht="14.4">
      <c r="E132" t="str">
        <f>IF(D132="동일",COUNTIF($D$4:D132,"동일"),"")</f>
        <v/>
      </c>
      <c r="F132" t="str">
        <f>IF(D132="폐점",COUNTIF($D$4:D132,"폐점"),"")</f>
        <v/>
      </c>
      <c r="G132" t="str">
        <f>IF(D132="행사",COUNTIF($D$4:D132,"행사"),"")</f>
        <v/>
      </c>
      <c r="H132" t="str">
        <f>IF(D132="신규",COUNTIF($D$4:D132,"신규"),"")</f>
        <v/>
      </c>
    </row>
    <row r="133" spans="5:8" ht="14.4">
      <c r="E133" t="str">
        <f>IF(D133="동일",COUNTIF($D$4:D133,"동일"),"")</f>
        <v/>
      </c>
      <c r="F133" t="str">
        <f>IF(D133="폐점",COUNTIF($D$4:D133,"폐점"),"")</f>
        <v/>
      </c>
      <c r="G133" t="str">
        <f>IF(D133="행사",COUNTIF($D$4:D133,"행사"),"")</f>
        <v/>
      </c>
      <c r="H133" t="str">
        <f>IF(D133="신규",COUNTIF($D$4:D133,"신규"),"")</f>
        <v/>
      </c>
    </row>
    <row r="134" spans="5:8" ht="14.4">
      <c r="E134" t="str">
        <f>IF(D134="동일",COUNTIF($D$4:D134,"동일"),"")</f>
        <v/>
      </c>
      <c r="F134" t="str">
        <f>IF(D134="폐점",COUNTIF($D$4:D134,"폐점"),"")</f>
        <v/>
      </c>
      <c r="G134" t="str">
        <f>IF(D134="행사",COUNTIF($D$4:D134,"행사"),"")</f>
        <v/>
      </c>
      <c r="H134" t="str">
        <f>IF(D134="신규",COUNTIF($D$4:D134,"신규"),"")</f>
        <v/>
      </c>
    </row>
    <row r="135" spans="5:8" ht="14.4">
      <c r="E135" t="str">
        <f>IF(D135="동일",COUNTIF($D$4:D135,"동일"),"")</f>
        <v/>
      </c>
      <c r="F135" t="str">
        <f>IF(D135="폐점",COUNTIF($D$4:D135,"폐점"),"")</f>
        <v/>
      </c>
      <c r="G135" t="str">
        <f>IF(D135="행사",COUNTIF($D$4:D135,"행사"),"")</f>
        <v/>
      </c>
      <c r="H135" t="str">
        <f>IF(D135="신규",COUNTIF($D$4:D135,"신규"),"")</f>
        <v/>
      </c>
    </row>
    <row r="136" spans="5:8" ht="14.4">
      <c r="E136" t="str">
        <f>IF(D136="동일",COUNTIF($D$4:D136,"동일"),"")</f>
        <v/>
      </c>
      <c r="F136" t="str">
        <f>IF(D136="폐점",COUNTIF($D$4:D136,"폐점"),"")</f>
        <v/>
      </c>
      <c r="G136" t="str">
        <f>IF(D136="행사",COUNTIF($D$4:D136,"행사"),"")</f>
        <v/>
      </c>
      <c r="H136" t="str">
        <f>IF(D136="신규",COUNTIF($D$4:D136,"신규"),"")</f>
        <v/>
      </c>
    </row>
    <row r="137" spans="5:8" ht="14.4">
      <c r="E137" t="str">
        <f>IF(D137="동일",COUNTIF($D$4:D137,"동일"),"")</f>
        <v/>
      </c>
      <c r="F137" t="str">
        <f>IF(D137="폐점",COUNTIF($D$4:D137,"폐점"),"")</f>
        <v/>
      </c>
      <c r="G137" t="str">
        <f>IF(D137="행사",COUNTIF($D$4:D137,"행사"),"")</f>
        <v/>
      </c>
      <c r="H137" t="str">
        <f>IF(D137="신규",COUNTIF($D$4:D137,"신규"),"")</f>
        <v/>
      </c>
    </row>
    <row r="138" spans="5:8" ht="14.4">
      <c r="E138" t="str">
        <f>IF(D138="동일",COUNTIF($D$4:D138,"동일"),"")</f>
        <v/>
      </c>
      <c r="F138" t="str">
        <f>IF(D138="폐점",COUNTIF($D$4:D138,"폐점"),"")</f>
        <v/>
      </c>
      <c r="G138" t="str">
        <f>IF(D138="행사",COUNTIF($D$4:D138,"행사"),"")</f>
        <v/>
      </c>
      <c r="H138" t="str">
        <f>IF(D138="신규",COUNTIF($D$4:D138,"신규"),"")</f>
        <v/>
      </c>
    </row>
    <row r="139" spans="5:8" ht="14.4">
      <c r="E139" t="str">
        <f>IF(D139="동일",COUNTIF($D$4:D139,"동일"),"")</f>
        <v/>
      </c>
      <c r="F139" t="str">
        <f>IF(D139="폐점",COUNTIF($D$4:D139,"폐점"),"")</f>
        <v/>
      </c>
      <c r="G139" t="str">
        <f>IF(D139="행사",COUNTIF($D$4:D139,"행사"),"")</f>
        <v/>
      </c>
      <c r="H139" t="str">
        <f>IF(D139="신규",COUNTIF($D$4:D139,"신규"),"")</f>
        <v/>
      </c>
    </row>
    <row r="140" spans="5:8" ht="14.4">
      <c r="E140" t="str">
        <f>IF(D140="동일",COUNTIF($D$4:D140,"동일"),"")</f>
        <v/>
      </c>
      <c r="F140" t="str">
        <f>IF(D140="폐점",COUNTIF($D$4:D140,"폐점"),"")</f>
        <v/>
      </c>
      <c r="G140" t="str">
        <f>IF(D140="행사",COUNTIF($D$4:D140,"행사"),"")</f>
        <v/>
      </c>
      <c r="H140" t="str">
        <f>IF(D140="신규",COUNTIF($D$4:D140,"신규"),"")</f>
        <v/>
      </c>
    </row>
    <row r="141" spans="5:8" ht="14.4">
      <c r="E141" t="str">
        <f>IF(D141="동일",COUNTIF($D$4:D141,"동일"),"")</f>
        <v/>
      </c>
      <c r="F141" t="str">
        <f>IF(D141="폐점",COUNTIF($D$4:D141,"폐점"),"")</f>
        <v/>
      </c>
      <c r="G141" t="str">
        <f>IF(D141="행사",COUNTIF($D$4:D141,"행사"),"")</f>
        <v/>
      </c>
      <c r="H141" t="str">
        <f>IF(D141="신규",COUNTIF($D$4:D141,"신규"),"")</f>
        <v/>
      </c>
    </row>
    <row r="142" spans="5:8" ht="14.4">
      <c r="E142" t="str">
        <f>IF(D142="동일",COUNTIF($D$4:D142,"동일"),"")</f>
        <v/>
      </c>
      <c r="F142" t="str">
        <f>IF(D142="폐점",COUNTIF($D$4:D142,"폐점"),"")</f>
        <v/>
      </c>
      <c r="G142" t="str">
        <f>IF(D142="행사",COUNTIF($D$4:D142,"행사"),"")</f>
        <v/>
      </c>
      <c r="H142" t="str">
        <f>IF(D142="신규",COUNTIF($D$4:D142,"신규"),"")</f>
        <v/>
      </c>
    </row>
    <row r="143" spans="5:8" ht="14.4">
      <c r="E143" t="str">
        <f>IF(D143="동일",COUNTIF($D$4:D143,"동일"),"")</f>
        <v/>
      </c>
      <c r="F143" t="str">
        <f>IF(D143="폐점",COUNTIF($D$4:D143,"폐점"),"")</f>
        <v/>
      </c>
      <c r="G143" t="str">
        <f>IF(D143="행사",COUNTIF($D$4:D143,"행사"),"")</f>
        <v/>
      </c>
      <c r="H143" t="str">
        <f>IF(D143="신규",COUNTIF($D$4:D143,"신규"),"")</f>
        <v/>
      </c>
    </row>
    <row r="144" spans="5:8" ht="14.4">
      <c r="E144" t="str">
        <f>IF(D144="동일",COUNTIF($D$4:D144,"동일"),"")</f>
        <v/>
      </c>
      <c r="F144" t="str">
        <f>IF(D144="폐점",COUNTIF($D$4:D144,"폐점"),"")</f>
        <v/>
      </c>
      <c r="G144" t="str">
        <f>IF(D144="행사",COUNTIF($D$4:D144,"행사"),"")</f>
        <v/>
      </c>
      <c r="H144" t="str">
        <f>IF(D144="신규",COUNTIF($D$4:D144,"신규"),"")</f>
        <v/>
      </c>
    </row>
    <row r="145" spans="5:8" ht="14.4">
      <c r="E145" t="str">
        <f>IF(D145="동일",COUNTIF($D$4:D145,"동일"),"")</f>
        <v/>
      </c>
      <c r="F145" t="str">
        <f>IF(D145="폐점",COUNTIF($D$4:D145,"폐점"),"")</f>
        <v/>
      </c>
      <c r="G145" t="str">
        <f>IF(D145="행사",COUNTIF($D$4:D145,"행사"),"")</f>
        <v/>
      </c>
      <c r="H145" t="str">
        <f>IF(D145="신규",COUNTIF($D$4:D145,"신규"),"")</f>
        <v/>
      </c>
    </row>
    <row r="146" spans="5:8" ht="14.4">
      <c r="E146" t="str">
        <f>IF(D146="동일",COUNTIF($D$4:D146,"동일"),"")</f>
        <v/>
      </c>
      <c r="F146" t="str">
        <f>IF(D146="폐점",COUNTIF($D$4:D146,"폐점"),"")</f>
        <v/>
      </c>
      <c r="G146" t="str">
        <f>IF(D146="행사",COUNTIF($D$4:D146,"행사"),"")</f>
        <v/>
      </c>
      <c r="H146" t="str">
        <f>IF(D146="신규",COUNTIF($D$4:D146,"신규"),"")</f>
        <v/>
      </c>
    </row>
    <row r="147" spans="5:8" ht="14.4">
      <c r="E147" t="str">
        <f>IF(D147="동일",COUNTIF($D$4:D147,"동일"),"")</f>
        <v/>
      </c>
      <c r="F147" t="str">
        <f>IF(D147="폐점",COUNTIF($D$4:D147,"폐점"),"")</f>
        <v/>
      </c>
      <c r="G147" t="str">
        <f>IF(D147="행사",COUNTIF($D$4:D147,"행사"),"")</f>
        <v/>
      </c>
      <c r="H147" t="str">
        <f>IF(D147="신규",COUNTIF($D$4:D147,"신규"),"")</f>
        <v/>
      </c>
    </row>
    <row r="148" spans="5:8" ht="14.4">
      <c r="E148" t="str">
        <f>IF(D148="동일",COUNTIF($D$4:D148,"동일"),"")</f>
        <v/>
      </c>
      <c r="F148" t="str">
        <f>IF(D148="폐점",COUNTIF($D$4:D148,"폐점"),"")</f>
        <v/>
      </c>
      <c r="G148" t="str">
        <f>IF(D148="행사",COUNTIF($D$4:D148,"행사"),"")</f>
        <v/>
      </c>
      <c r="H148" t="str">
        <f>IF(D148="신규",COUNTIF($D$4:D148,"신규"),"")</f>
        <v/>
      </c>
    </row>
    <row r="149" spans="5:8" ht="14.4">
      <c r="E149" t="str">
        <f>IF(D149="동일",COUNTIF($D$4:D149,"동일"),"")</f>
        <v/>
      </c>
      <c r="F149" t="str">
        <f>IF(D149="폐점",COUNTIF($D$4:D149,"폐점"),"")</f>
        <v/>
      </c>
      <c r="G149" t="str">
        <f>IF(D149="행사",COUNTIF($D$4:D149,"행사"),"")</f>
        <v/>
      </c>
      <c r="H149" t="str">
        <f>IF(D149="신규",COUNTIF($D$4:D149,"신규"),"")</f>
        <v/>
      </c>
    </row>
    <row r="150" spans="5:8" ht="14.4">
      <c r="E150" t="str">
        <f>IF(D150="동일",COUNTIF($D$4:D150,"동일"),"")</f>
        <v/>
      </c>
      <c r="F150" t="str">
        <f>IF(D150="폐점",COUNTIF($D$4:D150,"폐점"),"")</f>
        <v/>
      </c>
      <c r="G150" t="str">
        <f>IF(D150="행사",COUNTIF($D$4:D150,"행사"),"")</f>
        <v/>
      </c>
      <c r="H150" t="str">
        <f>IF(D150="신규",COUNTIF($D$4:D150,"신규"),"")</f>
        <v/>
      </c>
    </row>
    <row r="151" spans="5:8" ht="14.4">
      <c r="E151" t="str">
        <f>IF(D151="동일",COUNTIF($D$4:D151,"동일"),"")</f>
        <v/>
      </c>
      <c r="F151" t="str">
        <f>IF(D151="폐점",COUNTIF($D$4:D151,"폐점"),"")</f>
        <v/>
      </c>
      <c r="G151" t="str">
        <f>IF(D151="행사",COUNTIF($D$4:D151,"행사"),"")</f>
        <v/>
      </c>
      <c r="H151" t="str">
        <f>IF(D151="신규",COUNTIF($D$4:D151,"신규"),"")</f>
        <v/>
      </c>
    </row>
    <row r="152" spans="5:8" ht="14.4">
      <c r="E152" t="str">
        <f>IF(D152="동일",COUNTIF($D$4:D152,"동일"),"")</f>
        <v/>
      </c>
      <c r="F152" t="str">
        <f>IF(D152="폐점",COUNTIF($D$4:D152,"폐점"),"")</f>
        <v/>
      </c>
      <c r="G152" t="str">
        <f>IF(D152="행사",COUNTIF($D$4:D152,"행사"),"")</f>
        <v/>
      </c>
      <c r="H152" t="str">
        <f>IF(D152="신규",COUNTIF($D$4:D152,"신규"),"")</f>
        <v/>
      </c>
    </row>
    <row r="153" spans="5:8" ht="14.4">
      <c r="E153" t="str">
        <f>IF(D153="동일",COUNTIF($D$4:D153,"동일"),"")</f>
        <v/>
      </c>
      <c r="F153" t="str">
        <f>IF(D153="폐점",COUNTIF($D$4:D153,"폐점"),"")</f>
        <v/>
      </c>
      <c r="G153" t="str">
        <f>IF(D153="행사",COUNTIF($D$4:D153,"행사"),"")</f>
        <v/>
      </c>
      <c r="H153" t="str">
        <f>IF(D153="신규",COUNTIF($D$4:D153,"신규"),"")</f>
        <v/>
      </c>
    </row>
    <row r="154" spans="5:8" ht="14.4">
      <c r="E154" t="str">
        <f>IF(D154="동일",COUNTIF($D$4:D154,"동일"),"")</f>
        <v/>
      </c>
      <c r="F154" t="str">
        <f>IF(D154="폐점",COUNTIF($D$4:D154,"폐점"),"")</f>
        <v/>
      </c>
      <c r="G154" t="str">
        <f>IF(D154="행사",COUNTIF($D$4:D154,"행사"),"")</f>
        <v/>
      </c>
      <c r="H154" t="str">
        <f>IF(D154="신규",COUNTIF($D$4:D154,"신규"),"")</f>
        <v/>
      </c>
    </row>
    <row r="155" spans="5:8" ht="14.4">
      <c r="E155" t="str">
        <f>IF(D155="동일",COUNTIF($D$4:D155,"동일"),"")</f>
        <v/>
      </c>
      <c r="F155" t="str">
        <f>IF(D155="폐점",COUNTIF($D$4:D155,"폐점"),"")</f>
        <v/>
      </c>
      <c r="G155" t="str">
        <f>IF(D155="행사",COUNTIF($D$4:D155,"행사"),"")</f>
        <v/>
      </c>
      <c r="H155" t="str">
        <f>IF(D155="신규",COUNTIF($D$4:D155,"신규"),"")</f>
        <v/>
      </c>
    </row>
    <row r="156" spans="5:8" ht="14.4">
      <c r="E156" t="str">
        <f>IF(D156="동일",COUNTIF($D$4:D156,"동일"),"")</f>
        <v/>
      </c>
      <c r="F156" t="str">
        <f>IF(D156="폐점",COUNTIF($D$4:D156,"폐점"),"")</f>
        <v/>
      </c>
      <c r="G156" t="str">
        <f>IF(D156="행사",COUNTIF($D$4:D156,"행사"),"")</f>
        <v/>
      </c>
      <c r="H156" t="str">
        <f>IF(D156="신규",COUNTIF($D$4:D156,"신규"),"")</f>
        <v/>
      </c>
    </row>
    <row r="157" spans="5:8" ht="14.4">
      <c r="E157" t="str">
        <f>IF(D157="동일",COUNTIF($D$4:D157,"동일"),"")</f>
        <v/>
      </c>
      <c r="F157" t="str">
        <f>IF(D157="폐점",COUNTIF($D$4:D157,"폐점"),"")</f>
        <v/>
      </c>
      <c r="G157" t="str">
        <f>IF(D157="행사",COUNTIF($D$4:D157,"행사"),"")</f>
        <v/>
      </c>
      <c r="H157" t="str">
        <f>IF(D157="신규",COUNTIF($D$4:D157,"신규"),"")</f>
        <v/>
      </c>
    </row>
    <row r="158" spans="5:8" ht="14.4">
      <c r="E158" t="str">
        <f>IF(D158="동일",COUNTIF($D$4:D158,"동일"),"")</f>
        <v/>
      </c>
      <c r="F158" t="str">
        <f>IF(D158="폐점",COUNTIF($D$4:D158,"폐점"),"")</f>
        <v/>
      </c>
      <c r="G158" t="str">
        <f>IF(D158="행사",COUNTIF($D$4:D158,"행사"),"")</f>
        <v/>
      </c>
      <c r="H158" t="str">
        <f>IF(D158="신규",COUNTIF($D$4:D158,"신규"),"")</f>
        <v/>
      </c>
    </row>
    <row r="159" spans="5:8" ht="14.4">
      <c r="E159" t="str">
        <f>IF(D159="동일",COUNTIF($D$4:D159,"동일"),"")</f>
        <v/>
      </c>
      <c r="F159" t="str">
        <f>IF(D159="폐점",COUNTIF($D$4:D159,"폐점"),"")</f>
        <v/>
      </c>
      <c r="G159" t="str">
        <f>IF(D159="행사",COUNTIF($D$4:D159,"행사"),"")</f>
        <v/>
      </c>
      <c r="H159" t="str">
        <f>IF(D159="신규",COUNTIF($D$4:D159,"신규"),"")</f>
        <v/>
      </c>
    </row>
    <row r="160" spans="5:8" ht="14.4">
      <c r="E160" t="str">
        <f>IF(D160="동일",COUNTIF($D$4:D160,"동일"),"")</f>
        <v/>
      </c>
      <c r="F160" t="str">
        <f>IF(D160="폐점",COUNTIF($D$4:D160,"폐점"),"")</f>
        <v/>
      </c>
      <c r="G160" t="str">
        <f>IF(D160="행사",COUNTIF($D$4:D160,"행사"),"")</f>
        <v/>
      </c>
      <c r="H160" t="str">
        <f>IF(D160="신규",COUNTIF($D$4:D160,"신규"),"")</f>
        <v/>
      </c>
    </row>
    <row r="161" spans="5:8" ht="14.4">
      <c r="E161" t="str">
        <f>IF(D161="동일",COUNTIF($D$4:D161,"동일"),"")</f>
        <v/>
      </c>
      <c r="F161" t="str">
        <f>IF(D161="폐점",COUNTIF($D$4:D161,"폐점"),"")</f>
        <v/>
      </c>
      <c r="G161" t="str">
        <f>IF(D161="행사",COUNTIF($D$4:D161,"행사"),"")</f>
        <v/>
      </c>
      <c r="H161" t="str">
        <f>IF(D161="신규",COUNTIF($D$4:D161,"신규"),"")</f>
        <v/>
      </c>
    </row>
    <row r="162" spans="5:8" ht="14.4">
      <c r="E162" t="str">
        <f>IF(D162="동일",COUNTIF($D$4:D162,"동일"),"")</f>
        <v/>
      </c>
      <c r="F162" t="str">
        <f>IF(D162="폐점",COUNTIF($D$4:D162,"폐점"),"")</f>
        <v/>
      </c>
      <c r="G162" t="str">
        <f>IF(D162="행사",COUNTIF($D$4:D162,"행사"),"")</f>
        <v/>
      </c>
      <c r="H162" t="str">
        <f>IF(D162="신규",COUNTIF($D$4:D162,"신규"),"")</f>
        <v/>
      </c>
    </row>
    <row r="163" spans="5:8" ht="14.4">
      <c r="E163" t="str">
        <f>IF(D163="동일",COUNTIF($D$4:D163,"동일"),"")</f>
        <v/>
      </c>
      <c r="F163" t="str">
        <f>IF(D163="폐점",COUNTIF($D$4:D163,"폐점"),"")</f>
        <v/>
      </c>
      <c r="G163" t="str">
        <f>IF(D163="행사",COUNTIF($D$4:D163,"행사"),"")</f>
        <v/>
      </c>
      <c r="H163" t="str">
        <f>IF(D163="신규",COUNTIF($D$4:D163,"신규"),"")</f>
        <v/>
      </c>
    </row>
    <row r="164" spans="5:8" ht="14.4">
      <c r="E164" t="str">
        <f>IF(D164="동일",COUNTIF($D$4:D164,"동일"),"")</f>
        <v/>
      </c>
      <c r="F164" t="str">
        <f>IF(D164="폐점",COUNTIF($D$4:D164,"폐점"),"")</f>
        <v/>
      </c>
      <c r="G164" t="str">
        <f>IF(D164="행사",COUNTIF($D$4:D164,"행사"),"")</f>
        <v/>
      </c>
      <c r="H164" t="str">
        <f>IF(D164="신규",COUNTIF($D$4:D164,"신규"),"")</f>
        <v/>
      </c>
    </row>
    <row r="165" spans="5:8" ht="14.4">
      <c r="E165" t="str">
        <f>IF(D165="동일",COUNTIF($D$4:D165,"동일"),"")</f>
        <v/>
      </c>
      <c r="F165" t="str">
        <f>IF(D165="폐점",COUNTIF($D$4:D165,"폐점"),"")</f>
        <v/>
      </c>
      <c r="G165" t="str">
        <f>IF(D165="행사",COUNTIF($D$4:D165,"행사"),"")</f>
        <v/>
      </c>
      <c r="H165" t="str">
        <f>IF(D165="신규",COUNTIF($D$4:D165,"신규"),"")</f>
        <v/>
      </c>
    </row>
    <row r="166" spans="5:8" ht="14.4">
      <c r="E166" t="str">
        <f>IF(D166="동일",COUNTIF($D$4:D166,"동일"),"")</f>
        <v/>
      </c>
      <c r="F166" t="str">
        <f>IF(D166="폐점",COUNTIF($D$4:D166,"폐점"),"")</f>
        <v/>
      </c>
      <c r="G166" t="str">
        <f>IF(D166="행사",COUNTIF($D$4:D166,"행사"),"")</f>
        <v/>
      </c>
      <c r="H166" t="str">
        <f>IF(D166="신규",COUNTIF($D$4:D166,"신규"),"")</f>
        <v/>
      </c>
    </row>
    <row r="167" spans="5:8" ht="14.4">
      <c r="E167" t="str">
        <f>IF(D167="동일",COUNTIF($D$4:D167,"동일"),"")</f>
        <v/>
      </c>
      <c r="F167" t="str">
        <f>IF(D167="폐점",COUNTIF($D$4:D167,"폐점"),"")</f>
        <v/>
      </c>
      <c r="G167" t="str">
        <f>IF(D167="행사",COUNTIF($D$4:D167,"행사"),"")</f>
        <v/>
      </c>
      <c r="H167" t="str">
        <f>IF(D167="신규",COUNTIF($D$4:D167,"신규"),"")</f>
        <v/>
      </c>
    </row>
    <row r="168" spans="5:8" ht="14.4">
      <c r="E168" t="str">
        <f>IF(D168="동일",COUNTIF($D$4:D168,"동일"),"")</f>
        <v/>
      </c>
      <c r="F168" t="str">
        <f>IF(D168="폐점",COUNTIF($D$4:D168,"폐점"),"")</f>
        <v/>
      </c>
      <c r="G168" t="str">
        <f>IF(D168="행사",COUNTIF($D$4:D168,"행사"),"")</f>
        <v/>
      </c>
      <c r="H168" t="str">
        <f>IF(D168="신규",COUNTIF($D$4:D168,"신규"),"")</f>
        <v/>
      </c>
    </row>
    <row r="169" spans="5:8" ht="14.4">
      <c r="E169" t="str">
        <f>IF(D169="동일",COUNTIF($D$4:D169,"동일"),"")</f>
        <v/>
      </c>
      <c r="F169" t="str">
        <f>IF(D169="폐점",COUNTIF($D$4:D169,"폐점"),"")</f>
        <v/>
      </c>
      <c r="G169" t="str">
        <f>IF(D169="행사",COUNTIF($D$4:D169,"행사"),"")</f>
        <v/>
      </c>
      <c r="H169" t="str">
        <f>IF(D169="신규",COUNTIF($D$4:D169,"신규"),"")</f>
        <v/>
      </c>
    </row>
    <row r="170" spans="5:8" ht="14.4">
      <c r="E170" t="str">
        <f>IF(D170="동일",COUNTIF($D$4:D170,"동일"),"")</f>
        <v/>
      </c>
      <c r="F170" t="str">
        <f>IF(D170="폐점",COUNTIF($D$4:D170,"폐점"),"")</f>
        <v/>
      </c>
      <c r="G170" t="str">
        <f>IF(D170="행사",COUNTIF($D$4:D170,"행사"),"")</f>
        <v/>
      </c>
      <c r="H170" t="str">
        <f>IF(D170="신규",COUNTIF($D$4:D170,"신규"),"")</f>
        <v/>
      </c>
    </row>
    <row r="171" spans="5:8" ht="14.4">
      <c r="E171" t="str">
        <f>IF(D171="동일",COUNTIF($D$4:D171,"동일"),"")</f>
        <v/>
      </c>
      <c r="F171" t="str">
        <f>IF(D171="폐점",COUNTIF($D$4:D171,"폐점"),"")</f>
        <v/>
      </c>
      <c r="G171" t="str">
        <f>IF(D171="행사",COUNTIF($D$4:D171,"행사"),"")</f>
        <v/>
      </c>
      <c r="H171" t="str">
        <f>IF(D171="신규",COUNTIF($D$4:D171,"신규"),"")</f>
        <v/>
      </c>
    </row>
    <row r="172" spans="5:8" ht="14.4">
      <c r="E172" t="str">
        <f>IF(D172="동일",COUNTIF($D$4:D172,"동일"),"")</f>
        <v/>
      </c>
      <c r="F172" t="str">
        <f>IF(D172="폐점",COUNTIF($D$4:D172,"폐점"),"")</f>
        <v/>
      </c>
      <c r="G172" t="str">
        <f>IF(D172="행사",COUNTIF($D$4:D172,"행사"),"")</f>
        <v/>
      </c>
      <c r="H172" t="str">
        <f>IF(D172="신규",COUNTIF($D$4:D172,"신규"),"")</f>
        <v/>
      </c>
    </row>
    <row r="173" spans="5:8" ht="14.4">
      <c r="E173" t="str">
        <f>IF(D173="동일",COUNTIF($D$4:D173,"동일"),"")</f>
        <v/>
      </c>
      <c r="F173" t="str">
        <f>IF(D173="폐점",COUNTIF($D$4:D173,"폐점"),"")</f>
        <v/>
      </c>
      <c r="G173" t="str">
        <f>IF(D173="행사",COUNTIF($D$4:D173,"행사"),"")</f>
        <v/>
      </c>
      <c r="H173" t="str">
        <f>IF(D173="신규",COUNTIF($D$4:D173,"신규"),"")</f>
        <v/>
      </c>
    </row>
    <row r="174" spans="5:8" ht="14.4">
      <c r="E174" t="str">
        <f>IF(D174="동일",COUNTIF($D$4:D174,"동일"),"")</f>
        <v/>
      </c>
      <c r="F174" t="str">
        <f>IF(D174="폐점",COUNTIF($D$4:D174,"폐점"),"")</f>
        <v/>
      </c>
      <c r="G174" t="str">
        <f>IF(D174="행사",COUNTIF($D$4:D174,"행사"),"")</f>
        <v/>
      </c>
      <c r="H174" t="str">
        <f>IF(D174="신규",COUNTIF($D$4:D174,"신규"),"")</f>
        <v/>
      </c>
    </row>
    <row r="175" spans="5:8" ht="14.4">
      <c r="E175" t="str">
        <f>IF(D175="동일",COUNTIF($D$4:D175,"동일"),"")</f>
        <v/>
      </c>
      <c r="F175" t="str">
        <f>IF(D175="폐점",COUNTIF($D$4:D175,"폐점"),"")</f>
        <v/>
      </c>
      <c r="G175" t="str">
        <f>IF(D175="행사",COUNTIF($D$4:D175,"행사"),"")</f>
        <v/>
      </c>
      <c r="H175" t="str">
        <f>IF(D175="신규",COUNTIF($D$4:D175,"신규"),"")</f>
        <v/>
      </c>
    </row>
    <row r="176" spans="5:8" ht="14.4">
      <c r="E176" t="str">
        <f>IF(D176="동일",COUNTIF($D$4:D176,"동일"),"")</f>
        <v/>
      </c>
      <c r="F176" t="str">
        <f>IF(D176="폐점",COUNTIF($D$4:D176,"폐점"),"")</f>
        <v/>
      </c>
      <c r="G176" t="str">
        <f>IF(D176="행사",COUNTIF($D$4:D176,"행사"),"")</f>
        <v/>
      </c>
      <c r="H176" t="str">
        <f>IF(D176="신규",COUNTIF($D$4:D176,"신규"),"")</f>
        <v/>
      </c>
    </row>
    <row r="177" spans="5:8" ht="14.4">
      <c r="E177" t="str">
        <f>IF(D177="동일",COUNTIF($D$4:D177,"동일"),"")</f>
        <v/>
      </c>
      <c r="F177" t="str">
        <f>IF(D177="폐점",COUNTIF($D$4:D177,"폐점"),"")</f>
        <v/>
      </c>
      <c r="G177" t="str">
        <f>IF(D177="행사",COUNTIF($D$4:D177,"행사"),"")</f>
        <v/>
      </c>
      <c r="H177" t="str">
        <f>IF(D177="신규",COUNTIF($D$4:D177,"신규"),"")</f>
        <v/>
      </c>
    </row>
    <row r="178" spans="5:8" ht="14.4">
      <c r="E178" t="str">
        <f>IF(D178="동일",COUNTIF($D$4:D178,"동일"),"")</f>
        <v/>
      </c>
      <c r="F178" t="str">
        <f>IF(D178="폐점",COUNTIF($D$4:D178,"폐점"),"")</f>
        <v/>
      </c>
      <c r="G178" t="str">
        <f>IF(D178="행사",COUNTIF($D$4:D178,"행사"),"")</f>
        <v/>
      </c>
      <c r="H178" t="str">
        <f>IF(D178="신규",COUNTIF($D$4:D178,"신규"),"")</f>
        <v/>
      </c>
    </row>
    <row r="179" spans="5:8" ht="14.4">
      <c r="E179" t="str">
        <f>IF(D179="동일",COUNTIF($D$4:D179,"동일"),"")</f>
        <v/>
      </c>
      <c r="F179" t="str">
        <f>IF(D179="폐점",COUNTIF($D$4:D179,"폐점"),"")</f>
        <v/>
      </c>
      <c r="G179" t="str">
        <f>IF(D179="행사",COUNTIF($D$4:D179,"행사"),"")</f>
        <v/>
      </c>
      <c r="H179" t="str">
        <f>IF(D179="신규",COUNTIF($D$4:D179,"신규"),"")</f>
        <v/>
      </c>
    </row>
    <row r="180" spans="5:8" ht="14.4">
      <c r="E180" t="str">
        <f>IF(D180="동일",COUNTIF($D$4:D180,"동일"),"")</f>
        <v/>
      </c>
      <c r="F180" t="str">
        <f>IF(D180="폐점",COUNTIF($D$4:D180,"폐점"),"")</f>
        <v/>
      </c>
      <c r="G180" t="str">
        <f>IF(D180="행사",COUNTIF($D$4:D180,"행사"),"")</f>
        <v/>
      </c>
      <c r="H180" t="str">
        <f>IF(D180="신규",COUNTIF($D$4:D180,"신규"),"")</f>
        <v/>
      </c>
    </row>
    <row r="181" spans="5:8" ht="14.4">
      <c r="E181" t="str">
        <f>IF(D181="동일",COUNTIF($D$4:D181,"동일"),"")</f>
        <v/>
      </c>
      <c r="F181" t="str">
        <f>IF(D181="폐점",COUNTIF($D$4:D181,"폐점"),"")</f>
        <v/>
      </c>
      <c r="G181" t="str">
        <f>IF(D181="행사",COUNTIF($D$4:D181,"행사"),"")</f>
        <v/>
      </c>
      <c r="H181" t="str">
        <f>IF(D181="신규",COUNTIF($D$4:D181,"신규"),"")</f>
        <v/>
      </c>
    </row>
    <row r="182" spans="5:8" ht="14.4">
      <c r="E182" t="str">
        <f>IF(D182="동일",COUNTIF($D$4:D182,"동일"),"")</f>
        <v/>
      </c>
      <c r="F182" t="str">
        <f>IF(D182="폐점",COUNTIF($D$4:D182,"폐점"),"")</f>
        <v/>
      </c>
      <c r="G182" t="str">
        <f>IF(D182="행사",COUNTIF($D$4:D182,"행사"),"")</f>
        <v/>
      </c>
      <c r="H182" t="str">
        <f>IF(D182="신규",COUNTIF($D$4:D182,"신규"),"")</f>
        <v/>
      </c>
    </row>
    <row r="183" spans="5:8" ht="14.4">
      <c r="E183" t="str">
        <f>IF(D183="동일",COUNTIF($D$4:D183,"동일"),"")</f>
        <v/>
      </c>
      <c r="F183" t="str">
        <f>IF(D183="폐점",COUNTIF($D$4:D183,"폐점"),"")</f>
        <v/>
      </c>
      <c r="G183" t="str">
        <f>IF(D183="행사",COUNTIF($D$4:D183,"행사"),"")</f>
        <v/>
      </c>
      <c r="H183" t="str">
        <f>IF(D183="신규",COUNTIF($D$4:D183,"신규"),"")</f>
        <v/>
      </c>
    </row>
    <row r="184" spans="5:8" ht="14.4">
      <c r="E184" t="str">
        <f>IF(D184="동일",COUNTIF($D$4:D184,"동일"),"")</f>
        <v/>
      </c>
      <c r="F184" t="str">
        <f>IF(D184="폐점",COUNTIF($D$4:D184,"폐점"),"")</f>
        <v/>
      </c>
      <c r="G184" t="str">
        <f>IF(D184="행사",COUNTIF($D$4:D184,"행사"),"")</f>
        <v/>
      </c>
      <c r="H184" t="str">
        <f>IF(D184="신규",COUNTIF($D$4:D184,"신규"),"")</f>
        <v/>
      </c>
    </row>
    <row r="185" spans="5:8" ht="14.4">
      <c r="E185" t="str">
        <f>IF(D185="동일",COUNTIF($D$4:D185,"동일"),"")</f>
        <v/>
      </c>
      <c r="F185" t="str">
        <f>IF(D185="폐점",COUNTIF($D$4:D185,"폐점"),"")</f>
        <v/>
      </c>
      <c r="G185" t="str">
        <f>IF(D185="행사",COUNTIF($D$4:D185,"행사"),"")</f>
        <v/>
      </c>
      <c r="H185" t="str">
        <f>IF(D185="신규",COUNTIF($D$4:D185,"신규"),"")</f>
        <v/>
      </c>
    </row>
    <row r="186" spans="5:8" ht="14.4">
      <c r="E186" t="str">
        <f>IF(D186="동일",COUNTIF($D$4:D186,"동일"),"")</f>
        <v/>
      </c>
      <c r="F186" t="str">
        <f>IF(D186="폐점",COUNTIF($D$4:D186,"폐점"),"")</f>
        <v/>
      </c>
      <c r="G186" t="str">
        <f>IF(D186="행사",COUNTIF($D$4:D186,"행사"),"")</f>
        <v/>
      </c>
      <c r="H186" t="str">
        <f>IF(D186="신규",COUNTIF($D$4:D186,"신규"),"")</f>
        <v/>
      </c>
    </row>
    <row r="187" spans="5:8" ht="14.4">
      <c r="E187" t="str">
        <f>IF(D187="동일",COUNTIF($D$4:D187,"동일"),"")</f>
        <v/>
      </c>
      <c r="F187" t="str">
        <f>IF(D187="폐점",COUNTIF($D$4:D187,"폐점"),"")</f>
        <v/>
      </c>
      <c r="G187" t="str">
        <f>IF(D187="행사",COUNTIF($D$4:D187,"행사"),"")</f>
        <v/>
      </c>
      <c r="H187" t="str">
        <f>IF(D187="신규",COUNTIF($D$4:D187,"신규"),"")</f>
        <v/>
      </c>
    </row>
    <row r="188" spans="5:8" ht="14.4">
      <c r="E188" t="str">
        <f>IF(D188="동일",COUNTIF($D$4:D188,"동일"),"")</f>
        <v/>
      </c>
      <c r="F188" t="str">
        <f>IF(D188="폐점",COUNTIF($D$4:D188,"폐점"),"")</f>
        <v/>
      </c>
      <c r="G188" t="str">
        <f>IF(D188="행사",COUNTIF($D$4:D188,"행사"),"")</f>
        <v/>
      </c>
      <c r="H188" t="str">
        <f>IF(D188="신규",COUNTIF($D$4:D188,"신규"),"")</f>
        <v/>
      </c>
    </row>
    <row r="189" spans="5:8" ht="14.4">
      <c r="E189" t="str">
        <f>IF(D189="동일",COUNTIF($D$4:D189,"동일"),"")</f>
        <v/>
      </c>
      <c r="F189" t="str">
        <f>IF(D189="폐점",COUNTIF($D$4:D189,"폐점"),"")</f>
        <v/>
      </c>
      <c r="G189" t="str">
        <f>IF(D189="행사",COUNTIF($D$4:D189,"행사"),"")</f>
        <v/>
      </c>
      <c r="H189" t="str">
        <f>IF(D189="신규",COUNTIF($D$4:D189,"신규"),"")</f>
        <v/>
      </c>
    </row>
    <row r="190" spans="5:8" ht="14.4">
      <c r="E190" t="str">
        <f>IF(D190="동일",COUNTIF($D$4:D190,"동일"),"")</f>
        <v/>
      </c>
      <c r="F190" t="str">
        <f>IF(D190="폐점",COUNTIF($D$4:D190,"폐점"),"")</f>
        <v/>
      </c>
      <c r="G190" t="str">
        <f>IF(D190="행사",COUNTIF($D$4:D190,"행사"),"")</f>
        <v/>
      </c>
      <c r="H190" t="str">
        <f>IF(D190="신규",COUNTIF($D$4:D190,"신규"),"")</f>
        <v/>
      </c>
    </row>
    <row r="191" spans="5:8" ht="14.4">
      <c r="E191" t="str">
        <f>IF(D191="동일",COUNTIF($D$4:D191,"동일"),"")</f>
        <v/>
      </c>
      <c r="F191" t="str">
        <f>IF(D191="폐점",COUNTIF($D$4:D191,"폐점"),"")</f>
        <v/>
      </c>
      <c r="G191" t="str">
        <f>IF(D191="행사",COUNTIF($D$4:D191,"행사"),"")</f>
        <v/>
      </c>
      <c r="H191" t="str">
        <f>IF(D191="신규",COUNTIF($D$4:D191,"신규"),"")</f>
        <v/>
      </c>
    </row>
    <row r="192" spans="5:8" ht="14.4">
      <c r="E192" t="str">
        <f>IF(D192="동일",COUNTIF($D$4:D192,"동일"),"")</f>
        <v/>
      </c>
      <c r="F192" t="str">
        <f>IF(D192="폐점",COUNTIF($D$4:D192,"폐점"),"")</f>
        <v/>
      </c>
      <c r="G192" t="str">
        <f>IF(D192="행사",COUNTIF($D$4:D192,"행사"),"")</f>
        <v/>
      </c>
      <c r="H192" t="str">
        <f>IF(D192="신규",COUNTIF($D$4:D192,"신규"),"")</f>
        <v/>
      </c>
    </row>
    <row r="193" spans="5:8" ht="14.4">
      <c r="E193" t="str">
        <f>IF(D193="동일",COUNTIF($D$4:D193,"동일"),"")</f>
        <v/>
      </c>
      <c r="F193" t="str">
        <f>IF(D193="폐점",COUNTIF($D$4:D193,"폐점"),"")</f>
        <v/>
      </c>
      <c r="G193" t="str">
        <f>IF(D193="행사",COUNTIF($D$4:D193,"행사"),"")</f>
        <v/>
      </c>
      <c r="H193" t="str">
        <f>IF(D193="신규",COUNTIF($D$4:D193,"신규"),"")</f>
        <v/>
      </c>
    </row>
    <row r="194" spans="5:8" ht="14.4">
      <c r="E194" t="str">
        <f>IF(D194="동일",COUNTIF($D$4:D194,"동일"),"")</f>
        <v/>
      </c>
      <c r="F194" t="str">
        <f>IF(D194="폐점",COUNTIF($D$4:D194,"폐점"),"")</f>
        <v/>
      </c>
      <c r="G194" t="str">
        <f>IF(D194="행사",COUNTIF($D$4:D194,"행사"),"")</f>
        <v/>
      </c>
      <c r="H194" t="str">
        <f>IF(D194="신규",COUNTIF($D$4:D194,"신규"),"")</f>
        <v/>
      </c>
    </row>
    <row r="195" spans="5:8" ht="14.4">
      <c r="E195" t="str">
        <f>IF(D195="동일",COUNTIF($D$4:D195,"동일"),"")</f>
        <v/>
      </c>
      <c r="F195" t="str">
        <f>IF(D195="폐점",COUNTIF($D$4:D195,"폐점"),"")</f>
        <v/>
      </c>
      <c r="G195" t="str">
        <f>IF(D195="행사",COUNTIF($D$4:D195,"행사"),"")</f>
        <v/>
      </c>
      <c r="H195" t="str">
        <f>IF(D195="신규",COUNTIF($D$4:D195,"신규"),"")</f>
        <v/>
      </c>
    </row>
    <row r="196" spans="5:8" ht="14.4">
      <c r="E196" t="str">
        <f>IF(D196="동일",COUNTIF($D$4:D196,"동일"),"")</f>
        <v/>
      </c>
      <c r="F196" t="str">
        <f>IF(D196="폐점",COUNTIF($D$4:D196,"폐점"),"")</f>
        <v/>
      </c>
      <c r="G196" t="str">
        <f>IF(D196="행사",COUNTIF($D$4:D196,"행사"),"")</f>
        <v/>
      </c>
      <c r="H196" t="str">
        <f>IF(D196="신규",COUNTIF($D$4:D196,"신규"),"")</f>
        <v/>
      </c>
    </row>
    <row r="197" spans="5:8" ht="14.4">
      <c r="E197" t="str">
        <f>IF(D197="동일",COUNTIF($D$4:D197,"동일"),"")</f>
        <v/>
      </c>
      <c r="F197" t="str">
        <f>IF(D197="폐점",COUNTIF($D$4:D197,"폐점"),"")</f>
        <v/>
      </c>
      <c r="G197" t="str">
        <f>IF(D197="행사",COUNTIF($D$4:D197,"행사"),"")</f>
        <v/>
      </c>
      <c r="H197" t="str">
        <f>IF(D197="신규",COUNTIF($D$4:D197,"신규"),"")</f>
        <v/>
      </c>
    </row>
    <row r="198" spans="5:8" ht="14.4">
      <c r="H198" t="str">
        <f>IF(D198="신규",COUNTIF($D$4:D198,"신규"),"")</f>
        <v/>
      </c>
    </row>
  </sheetData>
  <autoFilter ref="B3:D197" xr:uid="{00000000-0009-0000-0000-000007000000}"/>
  <phoneticPr fontId="25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피벗값_구분</vt:lpstr>
      <vt:lpstr>피벗값_매장명(동일)</vt:lpstr>
      <vt:lpstr>피벗값_매장명(동일) 값_영업이익순</vt:lpstr>
      <vt:lpstr>피벗값_매장명 (폐점)</vt:lpstr>
      <vt:lpstr>피벗값_매장명 (행사)</vt:lpstr>
      <vt:lpstr>피벗값_매장명 (신규)</vt:lpstr>
      <vt:lpstr>표1</vt:lpstr>
      <vt:lpstr>구분</vt:lpstr>
      <vt:lpstr>피벗값_구분!Print_Area</vt:lpstr>
      <vt:lpstr>'피벗값_매장명 (신규)'!Print_Area</vt:lpstr>
      <vt:lpstr>'피벗값_매장명 (폐점)'!Print_Area</vt:lpstr>
      <vt:lpstr>'피벗값_매장명 (행사)'!Print_Area</vt:lpstr>
      <vt:lpstr>'피벗값_매장명(동일)'!Print_Area</vt:lpstr>
      <vt:lpstr>'피벗값_매장명(동일) 값_영업이익순'!Print_Area</vt:lpstr>
      <vt:lpstr>'피벗값_매장명(동일)'!Print_Titles</vt:lpstr>
      <vt:lpstr>'피벗값_매장명(동일) 값_영업이익순'!Print_Titles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azmang</dc:creator>
  <dc:description/>
  <cp:lastModifiedBy>azmang</cp:lastModifiedBy>
  <cp:revision>0</cp:revision>
  <cp:lastPrinted>2026-03-09T00:31:35Z</cp:lastPrinted>
  <dcterms:created xsi:type="dcterms:W3CDTF">2025-04-10T09:08:41Z</dcterms:created>
  <dcterms:modified xsi:type="dcterms:W3CDTF">2026-06-30T06:59:18Z</dcterms:modified>
  <dc:language>en-US</dc:language>
</cp:coreProperties>
</file>