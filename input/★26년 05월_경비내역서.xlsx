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as\CN_DSD\매장업무\매장 경비내역서\2026년\"/>
    </mc:Choice>
  </mc:AlternateContent>
  <bookViews>
    <workbookView xWindow="28680" yWindow="-120" windowWidth="29040" windowHeight="16440" tabRatio="569" firstSheet="3" activeTab="3"/>
  </bookViews>
  <sheets>
    <sheet name="4월 (3)" sheetId="51" state="hidden" r:id="rId1"/>
    <sheet name="Sheet1" sheetId="87" state="hidden" r:id="rId2"/>
    <sheet name="Sheet4" sheetId="98" state="hidden" r:id="rId3"/>
    <sheet name="26년 5월경비" sheetId="106" r:id="rId4"/>
    <sheet name="매출" sheetId="40" r:id="rId5"/>
    <sheet name="매장경비정리" sheetId="107" r:id="rId6"/>
    <sheet name="23년 4월" sheetId="103" state="hidden" r:id="rId7"/>
  </sheets>
  <externalReferences>
    <externalReference r:id="rId8"/>
  </externalReferences>
  <definedNames>
    <definedName name="_xlnm._FilterDatabase" localSheetId="6" hidden="1">'23년 4월'!$A$2:$U$86</definedName>
    <definedName name="_xlnm._FilterDatabase" localSheetId="3" hidden="1">'26년 5월경비'!$A$3:$AG$79</definedName>
    <definedName name="_xlnm._FilterDatabase" localSheetId="0" hidden="1">'4월 (3)'!$A$2:$V$40</definedName>
    <definedName name="_xlnm._FilterDatabase" localSheetId="5" hidden="1">매장경비정리!$A$6:$N$6</definedName>
    <definedName name="_xlnm._FilterDatabase" localSheetId="4" hidden="1">매출!$A$2:$T$89</definedName>
    <definedName name="_xlnm.Print_Area" localSheetId="6">'23년 4월'!$A$1:$M$105</definedName>
    <definedName name="_xlnm.Print_Area" localSheetId="3">'26년 5월경비'!$A$2:$AI$94</definedName>
    <definedName name="_xlnm.Print_Area" localSheetId="0">'4월 (3)'!$A$1:$P$46</definedName>
  </definedNames>
  <calcPr calcId="162913"/>
</workbook>
</file>

<file path=xl/calcChain.xml><?xml version="1.0" encoding="utf-8"?>
<calcChain xmlns="http://schemas.openxmlformats.org/spreadsheetml/2006/main">
  <c r="X15" i="106" l="1"/>
  <c r="W77" i="106"/>
  <c r="V77" i="106"/>
  <c r="U77" i="106"/>
  <c r="T77" i="106"/>
  <c r="S77" i="106"/>
  <c r="R77" i="106"/>
  <c r="Q77" i="106"/>
  <c r="P77" i="106"/>
  <c r="W76" i="106"/>
  <c r="V76" i="106"/>
  <c r="U76" i="106"/>
  <c r="T76" i="106"/>
  <c r="S76" i="106"/>
  <c r="R76" i="106"/>
  <c r="Q76" i="106"/>
  <c r="P76" i="106"/>
  <c r="W75" i="106"/>
  <c r="V75" i="106"/>
  <c r="U75" i="106"/>
  <c r="T75" i="106"/>
  <c r="S75" i="106"/>
  <c r="R75" i="106"/>
  <c r="Q75" i="106"/>
  <c r="P75" i="106"/>
  <c r="W73" i="106"/>
  <c r="V73" i="106"/>
  <c r="U73" i="106"/>
  <c r="T73" i="106"/>
  <c r="S73" i="106"/>
  <c r="R73" i="106"/>
  <c r="Q73" i="106"/>
  <c r="P73" i="106"/>
  <c r="W72" i="106"/>
  <c r="V72" i="106"/>
  <c r="U72" i="106"/>
  <c r="T72" i="106"/>
  <c r="S72" i="106"/>
  <c r="R72" i="106"/>
  <c r="Q72" i="106"/>
  <c r="P72" i="106"/>
  <c r="W71" i="106"/>
  <c r="V71" i="106"/>
  <c r="U71" i="106"/>
  <c r="T71" i="106"/>
  <c r="S71" i="106"/>
  <c r="R71" i="106"/>
  <c r="Q71" i="106"/>
  <c r="P71" i="106"/>
  <c r="W70" i="106"/>
  <c r="V70" i="106"/>
  <c r="U70" i="106"/>
  <c r="T70" i="106"/>
  <c r="S70" i="106"/>
  <c r="R70" i="106"/>
  <c r="Q70" i="106"/>
  <c r="P70" i="106"/>
  <c r="W69" i="106"/>
  <c r="V69" i="106"/>
  <c r="U69" i="106"/>
  <c r="T69" i="106"/>
  <c r="S69" i="106"/>
  <c r="R69" i="106"/>
  <c r="Q69" i="106"/>
  <c r="P69" i="106"/>
  <c r="W68" i="106"/>
  <c r="V68" i="106"/>
  <c r="U68" i="106"/>
  <c r="T68" i="106"/>
  <c r="S68" i="106"/>
  <c r="R68" i="106"/>
  <c r="Q68" i="106"/>
  <c r="P68" i="106"/>
  <c r="W67" i="106"/>
  <c r="V67" i="106"/>
  <c r="U67" i="106"/>
  <c r="T67" i="106"/>
  <c r="S67" i="106"/>
  <c r="R67" i="106"/>
  <c r="Q67" i="106"/>
  <c r="P67" i="106"/>
  <c r="W66" i="106"/>
  <c r="V66" i="106"/>
  <c r="U66" i="106"/>
  <c r="T66" i="106"/>
  <c r="S66" i="106"/>
  <c r="R66" i="106"/>
  <c r="Q66" i="106"/>
  <c r="P66" i="106"/>
  <c r="W62" i="106"/>
  <c r="V62" i="106"/>
  <c r="U62" i="106"/>
  <c r="T62" i="106"/>
  <c r="S62" i="106"/>
  <c r="R62" i="106"/>
  <c r="Q62" i="106"/>
  <c r="P62" i="106"/>
  <c r="W61" i="106"/>
  <c r="V61" i="106"/>
  <c r="U61" i="106"/>
  <c r="T61" i="106"/>
  <c r="S61" i="106"/>
  <c r="R61" i="106"/>
  <c r="Q61" i="106"/>
  <c r="P61" i="106"/>
  <c r="W60" i="106"/>
  <c r="V60" i="106"/>
  <c r="U60" i="106"/>
  <c r="T60" i="106"/>
  <c r="S60" i="106"/>
  <c r="R60" i="106"/>
  <c r="Q60" i="106"/>
  <c r="P60" i="106"/>
  <c r="W59" i="106"/>
  <c r="V59" i="106"/>
  <c r="U59" i="106"/>
  <c r="T59" i="106"/>
  <c r="S59" i="106"/>
  <c r="R59" i="106"/>
  <c r="Q59" i="106"/>
  <c r="P59" i="106"/>
  <c r="W58" i="106"/>
  <c r="V58" i="106"/>
  <c r="U58" i="106"/>
  <c r="T58" i="106"/>
  <c r="S58" i="106"/>
  <c r="R58" i="106"/>
  <c r="Q58" i="106"/>
  <c r="P58" i="106"/>
  <c r="W57" i="106"/>
  <c r="V57" i="106"/>
  <c r="U57" i="106"/>
  <c r="T57" i="106"/>
  <c r="S57" i="106"/>
  <c r="R57" i="106"/>
  <c r="Q57" i="106"/>
  <c r="P57" i="106"/>
  <c r="W56" i="106"/>
  <c r="V56" i="106"/>
  <c r="U56" i="106"/>
  <c r="T56" i="106"/>
  <c r="S56" i="106"/>
  <c r="R56" i="106"/>
  <c r="Q56" i="106"/>
  <c r="P56" i="106"/>
  <c r="W55" i="106"/>
  <c r="V55" i="106"/>
  <c r="U55" i="106"/>
  <c r="T55" i="106"/>
  <c r="S55" i="106"/>
  <c r="R55" i="106"/>
  <c r="Q55" i="106"/>
  <c r="P55" i="106"/>
  <c r="W54" i="106"/>
  <c r="V54" i="106"/>
  <c r="U54" i="106"/>
  <c r="T54" i="106"/>
  <c r="S54" i="106"/>
  <c r="R54" i="106"/>
  <c r="Q54" i="106"/>
  <c r="P54" i="106"/>
  <c r="W53" i="106"/>
  <c r="V53" i="106"/>
  <c r="U53" i="106"/>
  <c r="T53" i="106"/>
  <c r="S53" i="106"/>
  <c r="R53" i="106"/>
  <c r="Q53" i="106"/>
  <c r="P53" i="106"/>
  <c r="W52" i="106"/>
  <c r="V52" i="106"/>
  <c r="U52" i="106"/>
  <c r="T52" i="106"/>
  <c r="S52" i="106"/>
  <c r="R52" i="106"/>
  <c r="Q52" i="106"/>
  <c r="P52" i="106"/>
  <c r="W51" i="106"/>
  <c r="V51" i="106"/>
  <c r="U51" i="106"/>
  <c r="T51" i="106"/>
  <c r="S51" i="106"/>
  <c r="R51" i="106"/>
  <c r="Q51" i="106"/>
  <c r="P51" i="106"/>
  <c r="W50" i="106"/>
  <c r="V50" i="106"/>
  <c r="U50" i="106"/>
  <c r="T50" i="106"/>
  <c r="S50" i="106"/>
  <c r="R50" i="106"/>
  <c r="Q50" i="106"/>
  <c r="P50" i="106"/>
  <c r="W49" i="106"/>
  <c r="V49" i="106"/>
  <c r="U49" i="106"/>
  <c r="T49" i="106"/>
  <c r="S49" i="106"/>
  <c r="R49" i="106"/>
  <c r="Q49" i="106"/>
  <c r="P49" i="106"/>
  <c r="W48" i="106"/>
  <c r="V48" i="106"/>
  <c r="U48" i="106"/>
  <c r="T48" i="106"/>
  <c r="S48" i="106"/>
  <c r="R48" i="106"/>
  <c r="Q48" i="106"/>
  <c r="P48" i="106"/>
  <c r="W44" i="106"/>
  <c r="V44" i="106"/>
  <c r="U44" i="106"/>
  <c r="T44" i="106"/>
  <c r="S44" i="106"/>
  <c r="R44" i="106"/>
  <c r="Q44" i="106"/>
  <c r="P44" i="106"/>
  <c r="W43" i="106"/>
  <c r="V43" i="106"/>
  <c r="U43" i="106"/>
  <c r="T43" i="106"/>
  <c r="S43" i="106"/>
  <c r="R43" i="106"/>
  <c r="Q43" i="106"/>
  <c r="P43" i="106"/>
  <c r="W42" i="106"/>
  <c r="V42" i="106"/>
  <c r="U42" i="106"/>
  <c r="T42" i="106"/>
  <c r="S42" i="106"/>
  <c r="R42" i="106"/>
  <c r="Q42" i="106"/>
  <c r="P42" i="106"/>
  <c r="W41" i="106"/>
  <c r="V41" i="106"/>
  <c r="U41" i="106"/>
  <c r="T41" i="106"/>
  <c r="S41" i="106"/>
  <c r="R41" i="106"/>
  <c r="Q41" i="106"/>
  <c r="P41" i="106"/>
  <c r="W40" i="106"/>
  <c r="V40" i="106"/>
  <c r="U40" i="106"/>
  <c r="T40" i="106"/>
  <c r="S40" i="106"/>
  <c r="R40" i="106"/>
  <c r="Q40" i="106"/>
  <c r="P40" i="106"/>
  <c r="W39" i="106"/>
  <c r="V39" i="106"/>
  <c r="U39" i="106"/>
  <c r="T39" i="106"/>
  <c r="S39" i="106"/>
  <c r="R39" i="106"/>
  <c r="Q39" i="106"/>
  <c r="P39" i="106"/>
  <c r="W38" i="106"/>
  <c r="V38" i="106"/>
  <c r="U38" i="106"/>
  <c r="T38" i="106"/>
  <c r="S38" i="106"/>
  <c r="R38" i="106"/>
  <c r="Q38" i="106"/>
  <c r="P38" i="106"/>
  <c r="W37" i="106"/>
  <c r="V37" i="106"/>
  <c r="U37" i="106"/>
  <c r="T37" i="106"/>
  <c r="S37" i="106"/>
  <c r="R37" i="106"/>
  <c r="Q37" i="106"/>
  <c r="P37" i="106"/>
  <c r="W36" i="106"/>
  <c r="V36" i="106"/>
  <c r="U36" i="106"/>
  <c r="T36" i="106"/>
  <c r="S36" i="106"/>
  <c r="R36" i="106"/>
  <c r="Q36" i="106"/>
  <c r="P36" i="106"/>
  <c r="W35" i="106"/>
  <c r="V35" i="106"/>
  <c r="U35" i="106"/>
  <c r="T35" i="106"/>
  <c r="S35" i="106"/>
  <c r="R35" i="106"/>
  <c r="Q35" i="106"/>
  <c r="P35" i="106"/>
  <c r="W34" i="106"/>
  <c r="V34" i="106"/>
  <c r="U34" i="106"/>
  <c r="T34" i="106"/>
  <c r="S34" i="106"/>
  <c r="R34" i="106"/>
  <c r="Q34" i="106"/>
  <c r="P34" i="106"/>
  <c r="W33" i="106"/>
  <c r="V33" i="106"/>
  <c r="U33" i="106"/>
  <c r="T33" i="106"/>
  <c r="S33" i="106"/>
  <c r="R33" i="106"/>
  <c r="Q33" i="106"/>
  <c r="P33" i="106"/>
  <c r="W32" i="106"/>
  <c r="V32" i="106"/>
  <c r="U32" i="106"/>
  <c r="T32" i="106"/>
  <c r="S32" i="106"/>
  <c r="R32" i="106"/>
  <c r="Q32" i="106"/>
  <c r="P32" i="106"/>
  <c r="W31" i="106"/>
  <c r="V31" i="106"/>
  <c r="U31" i="106"/>
  <c r="T31" i="106"/>
  <c r="S31" i="106"/>
  <c r="R31" i="106"/>
  <c r="Q31" i="106"/>
  <c r="P31" i="106"/>
  <c r="W30" i="106"/>
  <c r="V30" i="106"/>
  <c r="U30" i="106"/>
  <c r="T30" i="106"/>
  <c r="S30" i="106"/>
  <c r="R30" i="106"/>
  <c r="Q30" i="106"/>
  <c r="P30" i="106"/>
  <c r="W29" i="106"/>
  <c r="V29" i="106"/>
  <c r="U29" i="106"/>
  <c r="T29" i="106"/>
  <c r="S29" i="106"/>
  <c r="R29" i="106"/>
  <c r="Q29" i="106"/>
  <c r="P29" i="106"/>
  <c r="W28" i="106"/>
  <c r="V28" i="106"/>
  <c r="U28" i="106"/>
  <c r="T28" i="106"/>
  <c r="S28" i="106"/>
  <c r="R28" i="106"/>
  <c r="Q28" i="106"/>
  <c r="P28" i="106"/>
  <c r="W27" i="106"/>
  <c r="V27" i="106"/>
  <c r="U27" i="106"/>
  <c r="T27" i="106"/>
  <c r="S27" i="106"/>
  <c r="R27" i="106"/>
  <c r="Q27" i="106"/>
  <c r="P27" i="106"/>
  <c r="W26" i="106"/>
  <c r="V26" i="106"/>
  <c r="U26" i="106"/>
  <c r="T26" i="106"/>
  <c r="S26" i="106"/>
  <c r="R26" i="106"/>
  <c r="Q26" i="106"/>
  <c r="P26" i="106"/>
  <c r="W25" i="106"/>
  <c r="V25" i="106"/>
  <c r="U25" i="106"/>
  <c r="T25" i="106"/>
  <c r="S25" i="106"/>
  <c r="R25" i="106"/>
  <c r="Q25" i="106"/>
  <c r="P25" i="106"/>
  <c r="W24" i="106"/>
  <c r="V24" i="106"/>
  <c r="U24" i="106"/>
  <c r="T24" i="106"/>
  <c r="S24" i="106"/>
  <c r="R24" i="106"/>
  <c r="Q24" i="106"/>
  <c r="P24" i="106"/>
  <c r="W23" i="106"/>
  <c r="V23" i="106"/>
  <c r="U23" i="106"/>
  <c r="T23" i="106"/>
  <c r="S23" i="106"/>
  <c r="R23" i="106"/>
  <c r="Q23" i="106"/>
  <c r="P23" i="106"/>
  <c r="W19" i="106"/>
  <c r="V19" i="106"/>
  <c r="U19" i="106"/>
  <c r="T19" i="106"/>
  <c r="S19" i="106"/>
  <c r="R19" i="106"/>
  <c r="Q19" i="106"/>
  <c r="P19" i="106"/>
  <c r="W18" i="106"/>
  <c r="V18" i="106"/>
  <c r="U18" i="106"/>
  <c r="T18" i="106"/>
  <c r="S18" i="106"/>
  <c r="R18" i="106"/>
  <c r="Q18" i="106"/>
  <c r="P18" i="106"/>
  <c r="W17" i="106"/>
  <c r="V17" i="106"/>
  <c r="U17" i="106"/>
  <c r="T17" i="106"/>
  <c r="S17" i="106"/>
  <c r="R17" i="106"/>
  <c r="Q17" i="106"/>
  <c r="P17" i="106"/>
  <c r="W16" i="106"/>
  <c r="V16" i="106"/>
  <c r="U16" i="106"/>
  <c r="T16" i="106"/>
  <c r="S16" i="106"/>
  <c r="R16" i="106"/>
  <c r="Q16" i="106"/>
  <c r="P16" i="106"/>
  <c r="W14" i="106"/>
  <c r="V14" i="106"/>
  <c r="U14" i="106"/>
  <c r="T14" i="106"/>
  <c r="S14" i="106"/>
  <c r="R14" i="106"/>
  <c r="Q14" i="106"/>
  <c r="P14" i="106"/>
  <c r="W13" i="106"/>
  <c r="V13" i="106"/>
  <c r="U13" i="106"/>
  <c r="T13" i="106"/>
  <c r="S13" i="106"/>
  <c r="R13" i="106"/>
  <c r="Q13" i="106"/>
  <c r="P13" i="106"/>
  <c r="W12" i="106"/>
  <c r="V12" i="106"/>
  <c r="U12" i="106"/>
  <c r="T12" i="106"/>
  <c r="S12" i="106"/>
  <c r="R12" i="106"/>
  <c r="Q12" i="106"/>
  <c r="P12" i="106"/>
  <c r="W11" i="106"/>
  <c r="V11" i="106"/>
  <c r="U11" i="106"/>
  <c r="T11" i="106"/>
  <c r="S11" i="106"/>
  <c r="R11" i="106"/>
  <c r="Q11" i="106"/>
  <c r="P11" i="106"/>
  <c r="W10" i="106"/>
  <c r="V10" i="106"/>
  <c r="U10" i="106"/>
  <c r="T10" i="106"/>
  <c r="S10" i="106"/>
  <c r="R10" i="106"/>
  <c r="Q10" i="106"/>
  <c r="P10" i="106"/>
  <c r="W6" i="106"/>
  <c r="V6" i="106"/>
  <c r="U6" i="106"/>
  <c r="T6" i="106"/>
  <c r="S6" i="106"/>
  <c r="R6" i="106"/>
  <c r="Q6" i="106"/>
  <c r="P6" i="106"/>
  <c r="W5" i="106"/>
  <c r="V5" i="106"/>
  <c r="U5" i="106"/>
  <c r="T5" i="106"/>
  <c r="S5" i="106"/>
  <c r="R5" i="106"/>
  <c r="Q5" i="106"/>
  <c r="P5" i="106"/>
  <c r="W4" i="106"/>
  <c r="V4" i="106"/>
  <c r="U4" i="106"/>
  <c r="T4" i="106"/>
  <c r="S4" i="106"/>
  <c r="R4" i="106"/>
  <c r="Q4" i="106"/>
  <c r="P4" i="106"/>
  <c r="P78" i="106" l="1"/>
  <c r="Q78" i="106"/>
  <c r="R78" i="106"/>
  <c r="S78" i="106"/>
  <c r="T78" i="106"/>
  <c r="U78" i="106"/>
  <c r="V78" i="106"/>
  <c r="W78" i="106"/>
  <c r="X67" i="106"/>
  <c r="K67" i="106"/>
  <c r="AF67" i="106" s="1"/>
  <c r="J67" i="106"/>
  <c r="AE67" i="106" s="1"/>
  <c r="I67" i="106"/>
  <c r="AD67" i="106" s="1"/>
  <c r="H67" i="106"/>
  <c r="AC67" i="106" s="1"/>
  <c r="G67" i="106"/>
  <c r="AB67" i="106" s="1"/>
  <c r="F67" i="106"/>
  <c r="AA67" i="106" s="1"/>
  <c r="E67" i="106"/>
  <c r="Z67" i="106" s="1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2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20" i="40"/>
  <c r="I19" i="40"/>
  <c r="I18" i="40"/>
  <c r="I17" i="40"/>
  <c r="I16" i="40"/>
  <c r="I15" i="40"/>
  <c r="I14" i="40"/>
  <c r="I13" i="40"/>
  <c r="I12" i="40"/>
  <c r="I11" i="40"/>
  <c r="I10" i="40"/>
  <c r="I9" i="40"/>
  <c r="I8" i="40"/>
  <c r="I7" i="40"/>
  <c r="I6" i="40"/>
  <c r="I5" i="40"/>
  <c r="I4" i="40"/>
  <c r="I3" i="40"/>
  <c r="M92" i="106"/>
  <c r="F97" i="106"/>
  <c r="G97" i="106"/>
  <c r="H97" i="106"/>
  <c r="I97" i="106"/>
  <c r="J97" i="106"/>
  <c r="K97" i="106"/>
  <c r="L97" i="106"/>
  <c r="L5" i="107"/>
  <c r="K5" i="107"/>
  <c r="J5" i="107"/>
  <c r="I5" i="107"/>
  <c r="H5" i="107"/>
  <c r="G5" i="107"/>
  <c r="F5" i="107"/>
  <c r="L4" i="107"/>
  <c r="L7" i="107"/>
  <c r="L8" i="107"/>
  <c r="L9" i="107"/>
  <c r="L10" i="107"/>
  <c r="L11" i="107"/>
  <c r="L12" i="107"/>
  <c r="L13" i="107"/>
  <c r="L14" i="107"/>
  <c r="L15" i="107"/>
  <c r="L16" i="107"/>
  <c r="L17" i="107"/>
  <c r="L18" i="107"/>
  <c r="L19" i="107"/>
  <c r="L20" i="107"/>
  <c r="L21" i="107"/>
  <c r="L22" i="107"/>
  <c r="L23" i="107"/>
  <c r="L24" i="107"/>
  <c r="L25" i="107"/>
  <c r="L26" i="107"/>
  <c r="L27" i="107"/>
  <c r="L28" i="107"/>
  <c r="L29" i="107"/>
  <c r="L30" i="107"/>
  <c r="L31" i="107"/>
  <c r="L32" i="107"/>
  <c r="L33" i="107"/>
  <c r="L34" i="107"/>
  <c r="L35" i="107"/>
  <c r="L36" i="107"/>
  <c r="L37" i="107"/>
  <c r="L38" i="107"/>
  <c r="L39" i="107"/>
  <c r="L40" i="107"/>
  <c r="L41" i="107"/>
  <c r="L42" i="107"/>
  <c r="L43" i="107"/>
  <c r="L44" i="107"/>
  <c r="L45" i="107"/>
  <c r="L46" i="107"/>
  <c r="L47" i="107"/>
  <c r="L48" i="107"/>
  <c r="L49" i="107"/>
  <c r="L50" i="107"/>
  <c r="L51" i="107"/>
  <c r="L52" i="107"/>
  <c r="L53" i="107"/>
  <c r="L54" i="107"/>
  <c r="L55" i="107"/>
  <c r="L56" i="107"/>
  <c r="L57" i="107"/>
  <c r="L58" i="107"/>
  <c r="L59" i="107"/>
  <c r="L60" i="107"/>
  <c r="L61" i="107"/>
  <c r="L62" i="107"/>
  <c r="L63" i="107"/>
  <c r="L64" i="107"/>
  <c r="L65" i="107"/>
  <c r="L66" i="107"/>
  <c r="L67" i="107"/>
  <c r="L68" i="107"/>
  <c r="L67" i="106" l="1"/>
  <c r="H94" i="40"/>
  <c r="X74" i="106"/>
  <c r="X12" i="106"/>
  <c r="AG67" i="106" l="1"/>
  <c r="M67" i="106"/>
  <c r="AG84" i="106"/>
  <c r="AF84" i="106"/>
  <c r="AE84" i="106"/>
  <c r="AD84" i="106"/>
  <c r="AC84" i="106"/>
  <c r="AB84" i="106"/>
  <c r="AA84" i="106"/>
  <c r="Z84" i="106"/>
  <c r="M84" i="106"/>
  <c r="A4" i="107" l="1"/>
  <c r="A3" i="107"/>
  <c r="K77" i="106" l="1"/>
  <c r="J77" i="106"/>
  <c r="I77" i="106"/>
  <c r="H77" i="106"/>
  <c r="G77" i="106"/>
  <c r="F77" i="106"/>
  <c r="K76" i="106"/>
  <c r="J76" i="106"/>
  <c r="I76" i="106"/>
  <c r="H76" i="106"/>
  <c r="G76" i="106"/>
  <c r="F76" i="106"/>
  <c r="K75" i="106"/>
  <c r="J75" i="106"/>
  <c r="I75" i="106"/>
  <c r="H75" i="106"/>
  <c r="G75" i="106"/>
  <c r="F75" i="106"/>
  <c r="K74" i="106"/>
  <c r="J74" i="106"/>
  <c r="I74" i="106"/>
  <c r="H74" i="106"/>
  <c r="G74" i="106"/>
  <c r="F74" i="106"/>
  <c r="K73" i="106"/>
  <c r="J73" i="106"/>
  <c r="I73" i="106"/>
  <c r="H73" i="106"/>
  <c r="G73" i="106"/>
  <c r="F73" i="106"/>
  <c r="K72" i="106"/>
  <c r="J72" i="106"/>
  <c r="I72" i="106"/>
  <c r="H72" i="106"/>
  <c r="G72" i="106"/>
  <c r="F72" i="106"/>
  <c r="K71" i="106"/>
  <c r="J71" i="106"/>
  <c r="I71" i="106"/>
  <c r="H71" i="106"/>
  <c r="G71" i="106"/>
  <c r="F71" i="106"/>
  <c r="K70" i="106"/>
  <c r="J70" i="106"/>
  <c r="I70" i="106"/>
  <c r="H70" i="106"/>
  <c r="G70" i="106"/>
  <c r="F70" i="106"/>
  <c r="K69" i="106"/>
  <c r="J69" i="106"/>
  <c r="I69" i="106"/>
  <c r="H69" i="106"/>
  <c r="G69" i="106"/>
  <c r="F69" i="106"/>
  <c r="K68" i="106"/>
  <c r="J68" i="106"/>
  <c r="I68" i="106"/>
  <c r="H68" i="106"/>
  <c r="G68" i="106"/>
  <c r="F68" i="106"/>
  <c r="K66" i="106"/>
  <c r="J66" i="106"/>
  <c r="I66" i="106"/>
  <c r="H66" i="106"/>
  <c r="G66" i="106"/>
  <c r="F66" i="106"/>
  <c r="K62" i="106"/>
  <c r="J62" i="106"/>
  <c r="I62" i="106"/>
  <c r="H62" i="106"/>
  <c r="G62" i="106"/>
  <c r="F62" i="106"/>
  <c r="K61" i="106"/>
  <c r="J61" i="106"/>
  <c r="I61" i="106"/>
  <c r="H61" i="106"/>
  <c r="G61" i="106"/>
  <c r="F61" i="106"/>
  <c r="K60" i="106"/>
  <c r="J60" i="106"/>
  <c r="I60" i="106"/>
  <c r="H60" i="106"/>
  <c r="G60" i="106"/>
  <c r="F60" i="106"/>
  <c r="K59" i="106"/>
  <c r="J59" i="106"/>
  <c r="I59" i="106"/>
  <c r="H59" i="106"/>
  <c r="G59" i="106"/>
  <c r="F59" i="106"/>
  <c r="K58" i="106"/>
  <c r="J58" i="106"/>
  <c r="I58" i="106"/>
  <c r="H58" i="106"/>
  <c r="G58" i="106"/>
  <c r="F58" i="106"/>
  <c r="K57" i="106"/>
  <c r="J57" i="106"/>
  <c r="I57" i="106"/>
  <c r="H57" i="106"/>
  <c r="G57" i="106"/>
  <c r="F57" i="106"/>
  <c r="K56" i="106"/>
  <c r="J56" i="106"/>
  <c r="I56" i="106"/>
  <c r="H56" i="106"/>
  <c r="G56" i="106"/>
  <c r="F56" i="106"/>
  <c r="K55" i="106"/>
  <c r="J55" i="106"/>
  <c r="I55" i="106"/>
  <c r="H55" i="106"/>
  <c r="G55" i="106"/>
  <c r="F55" i="106"/>
  <c r="K54" i="106"/>
  <c r="J54" i="106"/>
  <c r="I54" i="106"/>
  <c r="H54" i="106"/>
  <c r="G54" i="106"/>
  <c r="F54" i="106"/>
  <c r="K53" i="106"/>
  <c r="J53" i="106"/>
  <c r="I53" i="106"/>
  <c r="H53" i="106"/>
  <c r="G53" i="106"/>
  <c r="F53" i="106"/>
  <c r="K52" i="106"/>
  <c r="J52" i="106"/>
  <c r="I52" i="106"/>
  <c r="H52" i="106"/>
  <c r="G52" i="106"/>
  <c r="F52" i="106"/>
  <c r="K51" i="106"/>
  <c r="J51" i="106"/>
  <c r="I51" i="106"/>
  <c r="H51" i="106"/>
  <c r="G51" i="106"/>
  <c r="F51" i="106"/>
  <c r="K50" i="106"/>
  <c r="J50" i="106"/>
  <c r="I50" i="106"/>
  <c r="H50" i="106"/>
  <c r="G50" i="106"/>
  <c r="F50" i="106"/>
  <c r="K49" i="106"/>
  <c r="J49" i="106"/>
  <c r="I49" i="106"/>
  <c r="H49" i="106"/>
  <c r="G49" i="106"/>
  <c r="F49" i="106"/>
  <c r="K48" i="106"/>
  <c r="J48" i="106"/>
  <c r="I48" i="106"/>
  <c r="H48" i="106"/>
  <c r="G48" i="106"/>
  <c r="F48" i="106"/>
  <c r="K44" i="106"/>
  <c r="J44" i="106"/>
  <c r="I44" i="106"/>
  <c r="H44" i="106"/>
  <c r="G44" i="106"/>
  <c r="F44" i="106"/>
  <c r="K43" i="106"/>
  <c r="J43" i="106"/>
  <c r="I43" i="106"/>
  <c r="H43" i="106"/>
  <c r="G43" i="106"/>
  <c r="F43" i="106"/>
  <c r="K42" i="106"/>
  <c r="J42" i="106"/>
  <c r="I42" i="106"/>
  <c r="H42" i="106"/>
  <c r="G42" i="106"/>
  <c r="F42" i="106"/>
  <c r="K41" i="106"/>
  <c r="J41" i="106"/>
  <c r="I41" i="106"/>
  <c r="H41" i="106"/>
  <c r="G41" i="106"/>
  <c r="F41" i="106"/>
  <c r="K40" i="106"/>
  <c r="J40" i="106"/>
  <c r="I40" i="106"/>
  <c r="H40" i="106"/>
  <c r="G40" i="106"/>
  <c r="F40" i="106"/>
  <c r="K39" i="106"/>
  <c r="J39" i="106"/>
  <c r="I39" i="106"/>
  <c r="H39" i="106"/>
  <c r="G39" i="106"/>
  <c r="F39" i="106"/>
  <c r="K38" i="106"/>
  <c r="J38" i="106"/>
  <c r="I38" i="106"/>
  <c r="H38" i="106"/>
  <c r="G38" i="106"/>
  <c r="F38" i="106"/>
  <c r="K37" i="106"/>
  <c r="J37" i="106"/>
  <c r="I37" i="106"/>
  <c r="H37" i="106"/>
  <c r="G37" i="106"/>
  <c r="F37" i="106"/>
  <c r="K36" i="106"/>
  <c r="J36" i="106"/>
  <c r="I36" i="106"/>
  <c r="H36" i="106"/>
  <c r="G36" i="106"/>
  <c r="F36" i="106"/>
  <c r="K35" i="106"/>
  <c r="J35" i="106"/>
  <c r="I35" i="106"/>
  <c r="H35" i="106"/>
  <c r="G35" i="106"/>
  <c r="F35" i="106"/>
  <c r="K34" i="106"/>
  <c r="J34" i="106"/>
  <c r="I34" i="106"/>
  <c r="H34" i="106"/>
  <c r="G34" i="106"/>
  <c r="F34" i="106"/>
  <c r="K33" i="106"/>
  <c r="J33" i="106"/>
  <c r="I33" i="106"/>
  <c r="H33" i="106"/>
  <c r="G33" i="106"/>
  <c r="F33" i="106"/>
  <c r="K32" i="106"/>
  <c r="J32" i="106"/>
  <c r="I32" i="106"/>
  <c r="H32" i="106"/>
  <c r="G32" i="106"/>
  <c r="F32" i="106"/>
  <c r="K31" i="106"/>
  <c r="J31" i="106"/>
  <c r="I31" i="106"/>
  <c r="H31" i="106"/>
  <c r="G31" i="106"/>
  <c r="F31" i="106"/>
  <c r="K30" i="106"/>
  <c r="J30" i="106"/>
  <c r="I30" i="106"/>
  <c r="H30" i="106"/>
  <c r="G30" i="106"/>
  <c r="F30" i="106"/>
  <c r="K29" i="106"/>
  <c r="J29" i="106"/>
  <c r="I29" i="106"/>
  <c r="H29" i="106"/>
  <c r="G29" i="106"/>
  <c r="F29" i="106"/>
  <c r="K28" i="106"/>
  <c r="J28" i="106"/>
  <c r="I28" i="106"/>
  <c r="H28" i="106"/>
  <c r="G28" i="106"/>
  <c r="F28" i="106"/>
  <c r="K27" i="106"/>
  <c r="J27" i="106"/>
  <c r="I27" i="106"/>
  <c r="H27" i="106"/>
  <c r="G27" i="106"/>
  <c r="F27" i="106"/>
  <c r="K26" i="106"/>
  <c r="J26" i="106"/>
  <c r="I26" i="106"/>
  <c r="H26" i="106"/>
  <c r="G26" i="106"/>
  <c r="F26" i="106"/>
  <c r="K25" i="106"/>
  <c r="J25" i="106"/>
  <c r="I25" i="106"/>
  <c r="H25" i="106"/>
  <c r="G25" i="106"/>
  <c r="F25" i="106"/>
  <c r="K24" i="106"/>
  <c r="J24" i="106"/>
  <c r="I24" i="106"/>
  <c r="H24" i="106"/>
  <c r="G24" i="106"/>
  <c r="F24" i="106"/>
  <c r="K23" i="106"/>
  <c r="J23" i="106"/>
  <c r="I23" i="106"/>
  <c r="H23" i="106"/>
  <c r="G23" i="106"/>
  <c r="F23" i="106"/>
  <c r="K19" i="106"/>
  <c r="J19" i="106"/>
  <c r="I19" i="106"/>
  <c r="H19" i="106"/>
  <c r="G19" i="106"/>
  <c r="F19" i="106"/>
  <c r="K18" i="106"/>
  <c r="J18" i="106"/>
  <c r="I18" i="106"/>
  <c r="H18" i="106"/>
  <c r="G18" i="106"/>
  <c r="F18" i="106"/>
  <c r="K17" i="106"/>
  <c r="J17" i="106"/>
  <c r="I17" i="106"/>
  <c r="H17" i="106"/>
  <c r="G17" i="106"/>
  <c r="F17" i="106"/>
  <c r="K16" i="106"/>
  <c r="J16" i="106"/>
  <c r="I16" i="106"/>
  <c r="H16" i="106"/>
  <c r="G16" i="106"/>
  <c r="F16" i="106"/>
  <c r="K15" i="106"/>
  <c r="J15" i="106"/>
  <c r="I15" i="106"/>
  <c r="H15" i="106"/>
  <c r="G15" i="106"/>
  <c r="F15" i="106"/>
  <c r="K14" i="106"/>
  <c r="J14" i="106"/>
  <c r="I14" i="106"/>
  <c r="H14" i="106"/>
  <c r="G14" i="106"/>
  <c r="F14" i="106"/>
  <c r="K13" i="106"/>
  <c r="J13" i="106"/>
  <c r="I13" i="106"/>
  <c r="H13" i="106"/>
  <c r="G13" i="106"/>
  <c r="F13" i="106"/>
  <c r="K12" i="106"/>
  <c r="J12" i="106"/>
  <c r="I12" i="106"/>
  <c r="H12" i="106"/>
  <c r="G12" i="106"/>
  <c r="F12" i="106"/>
  <c r="K11" i="106"/>
  <c r="J11" i="106"/>
  <c r="I11" i="106"/>
  <c r="H11" i="106"/>
  <c r="G11" i="106"/>
  <c r="F11" i="106"/>
  <c r="K10" i="106"/>
  <c r="J10" i="106"/>
  <c r="I10" i="106"/>
  <c r="H10" i="106"/>
  <c r="G10" i="106"/>
  <c r="F10" i="106"/>
  <c r="K6" i="106"/>
  <c r="J6" i="106"/>
  <c r="I6" i="106"/>
  <c r="H6" i="106"/>
  <c r="G6" i="106"/>
  <c r="F6" i="106"/>
  <c r="K5" i="106"/>
  <c r="J5" i="106"/>
  <c r="I5" i="106"/>
  <c r="H5" i="106"/>
  <c r="G5" i="106"/>
  <c r="F5" i="106"/>
  <c r="K4" i="106"/>
  <c r="J4" i="106"/>
  <c r="I4" i="106"/>
  <c r="H4" i="106"/>
  <c r="G4" i="106"/>
  <c r="F4" i="106"/>
  <c r="L25" i="106" l="1"/>
  <c r="AF74" i="106" l="1"/>
  <c r="AE74" i="106"/>
  <c r="AD74" i="106"/>
  <c r="AC74" i="106"/>
  <c r="AB74" i="106"/>
  <c r="AA74" i="106"/>
  <c r="L74" i="106"/>
  <c r="AG74" i="106" s="1"/>
  <c r="E74" i="106"/>
  <c r="Z74" i="106" s="1"/>
  <c r="AF15" i="106"/>
  <c r="AE15" i="106"/>
  <c r="AD15" i="106"/>
  <c r="AC15" i="106"/>
  <c r="AB15" i="106"/>
  <c r="AA15" i="106"/>
  <c r="L15" i="106"/>
  <c r="AG15" i="106" s="1"/>
  <c r="E15" i="106"/>
  <c r="Z15" i="106" s="1"/>
  <c r="AF36" i="106"/>
  <c r="AE36" i="106"/>
  <c r="AD36" i="106"/>
  <c r="AC36" i="106"/>
  <c r="AB36" i="106"/>
  <c r="AA36" i="106"/>
  <c r="X36" i="106"/>
  <c r="L36" i="106"/>
  <c r="AG36" i="106" s="1"/>
  <c r="E36" i="106"/>
  <c r="Z36" i="106" s="1"/>
  <c r="AF30" i="106"/>
  <c r="AE30" i="106"/>
  <c r="AD30" i="106"/>
  <c r="AC30" i="106"/>
  <c r="AB30" i="106"/>
  <c r="AA30" i="106"/>
  <c r="X30" i="106"/>
  <c r="L30" i="106"/>
  <c r="AG30" i="106" s="1"/>
  <c r="E30" i="106"/>
  <c r="Z30" i="106" s="1"/>
  <c r="AF58" i="106"/>
  <c r="AE58" i="106"/>
  <c r="AD58" i="106"/>
  <c r="AC58" i="106"/>
  <c r="AB58" i="106"/>
  <c r="AA58" i="106"/>
  <c r="X58" i="106"/>
  <c r="L58" i="106"/>
  <c r="AG58" i="106" s="1"/>
  <c r="E58" i="106"/>
  <c r="Z58" i="106" s="1"/>
  <c r="AF50" i="106"/>
  <c r="AE50" i="106"/>
  <c r="AD50" i="106"/>
  <c r="AC50" i="106"/>
  <c r="AB50" i="106"/>
  <c r="AA50" i="106"/>
  <c r="X50" i="106"/>
  <c r="L50" i="106"/>
  <c r="E50" i="106"/>
  <c r="Z50" i="106" s="1"/>
  <c r="AF29" i="106"/>
  <c r="AE29" i="106"/>
  <c r="AD29" i="106"/>
  <c r="AC29" i="106"/>
  <c r="AB29" i="106"/>
  <c r="AA29" i="106"/>
  <c r="X29" i="106"/>
  <c r="L29" i="106"/>
  <c r="AG29" i="106" s="1"/>
  <c r="E29" i="106"/>
  <c r="Z29" i="106" s="1"/>
  <c r="AF75" i="106"/>
  <c r="AE75" i="106"/>
  <c r="AD75" i="106"/>
  <c r="AC75" i="106"/>
  <c r="AB75" i="106"/>
  <c r="AA75" i="106"/>
  <c r="X75" i="106"/>
  <c r="L75" i="106"/>
  <c r="AG75" i="106" s="1"/>
  <c r="E75" i="106"/>
  <c r="Z75" i="106" s="1"/>
  <c r="AF73" i="106"/>
  <c r="AE73" i="106"/>
  <c r="AD73" i="106"/>
  <c r="AC73" i="106"/>
  <c r="AB73" i="106"/>
  <c r="AA73" i="106"/>
  <c r="X73" i="106"/>
  <c r="L73" i="106"/>
  <c r="E73" i="106"/>
  <c r="Z73" i="106" s="1"/>
  <c r="AF72" i="106"/>
  <c r="AE72" i="106"/>
  <c r="AD72" i="106"/>
  <c r="AC72" i="106"/>
  <c r="AB72" i="106"/>
  <c r="AA72" i="106"/>
  <c r="X72" i="106"/>
  <c r="L72" i="106"/>
  <c r="AG72" i="106" s="1"/>
  <c r="E72" i="106"/>
  <c r="Z72" i="106" s="1"/>
  <c r="AF71" i="106"/>
  <c r="AE71" i="106"/>
  <c r="AD71" i="106"/>
  <c r="AC71" i="106"/>
  <c r="AB71" i="106"/>
  <c r="AA71" i="106"/>
  <c r="X71" i="106"/>
  <c r="L71" i="106"/>
  <c r="AG71" i="106" s="1"/>
  <c r="E71" i="106"/>
  <c r="Z71" i="106" s="1"/>
  <c r="AF70" i="106"/>
  <c r="AE70" i="106"/>
  <c r="AD70" i="106"/>
  <c r="AC70" i="106"/>
  <c r="AB70" i="106"/>
  <c r="AA70" i="106"/>
  <c r="X70" i="106"/>
  <c r="L70" i="106"/>
  <c r="E70" i="106"/>
  <c r="Z70" i="106" s="1"/>
  <c r="AF69" i="106"/>
  <c r="AE69" i="106"/>
  <c r="AD69" i="106"/>
  <c r="AC69" i="106"/>
  <c r="AB69" i="106"/>
  <c r="AA69" i="106"/>
  <c r="X69" i="106"/>
  <c r="L69" i="106"/>
  <c r="AG69" i="106" s="1"/>
  <c r="E69" i="106"/>
  <c r="Z69" i="106" s="1"/>
  <c r="AG94" i="106"/>
  <c r="AF94" i="106"/>
  <c r="AE94" i="106"/>
  <c r="AD94" i="106"/>
  <c r="AC94" i="106"/>
  <c r="AB94" i="106"/>
  <c r="AA94" i="106"/>
  <c r="Z94" i="106"/>
  <c r="X94" i="106"/>
  <c r="M94" i="106"/>
  <c r="AG93" i="106"/>
  <c r="AF93" i="106"/>
  <c r="AE93" i="106"/>
  <c r="AD93" i="106"/>
  <c r="AC93" i="106"/>
  <c r="AB93" i="106"/>
  <c r="AA93" i="106"/>
  <c r="Z93" i="106"/>
  <c r="X93" i="106"/>
  <c r="M93" i="106"/>
  <c r="AG92" i="106"/>
  <c r="AF92" i="106"/>
  <c r="AE92" i="106"/>
  <c r="AD92" i="106"/>
  <c r="AC92" i="106"/>
  <c r="AB92" i="106"/>
  <c r="AA92" i="106"/>
  <c r="Z92" i="106"/>
  <c r="X92" i="106"/>
  <c r="AG91" i="106"/>
  <c r="AF91" i="106"/>
  <c r="AE91" i="106"/>
  <c r="AD91" i="106"/>
  <c r="AC91" i="106"/>
  <c r="AB91" i="106"/>
  <c r="AA91" i="106"/>
  <c r="Z91" i="106"/>
  <c r="X91" i="106"/>
  <c r="M91" i="106"/>
  <c r="AG90" i="106"/>
  <c r="AF90" i="106"/>
  <c r="AE90" i="106"/>
  <c r="AD90" i="106"/>
  <c r="AC90" i="106"/>
  <c r="AB90" i="106"/>
  <c r="AA90" i="106"/>
  <c r="Z90" i="106"/>
  <c r="X90" i="106"/>
  <c r="M90" i="106"/>
  <c r="AG89" i="106"/>
  <c r="AF89" i="106"/>
  <c r="AE89" i="106"/>
  <c r="AD89" i="106"/>
  <c r="AC89" i="106"/>
  <c r="AB89" i="106"/>
  <c r="AA89" i="106"/>
  <c r="Z89" i="106"/>
  <c r="X89" i="106"/>
  <c r="M89" i="106"/>
  <c r="AG88" i="106"/>
  <c r="AF88" i="106"/>
  <c r="AE88" i="106"/>
  <c r="AD88" i="106"/>
  <c r="AC88" i="106"/>
  <c r="AB88" i="106"/>
  <c r="AA88" i="106"/>
  <c r="Z88" i="106"/>
  <c r="X88" i="106"/>
  <c r="M88" i="106"/>
  <c r="AB87" i="106"/>
  <c r="X87" i="106"/>
  <c r="X86" i="106"/>
  <c r="X85" i="106"/>
  <c r="X84" i="106"/>
  <c r="X83" i="106"/>
  <c r="W82" i="106"/>
  <c r="V82" i="106"/>
  <c r="U82" i="106"/>
  <c r="T82" i="106"/>
  <c r="S82" i="106"/>
  <c r="R82" i="106"/>
  <c r="Q82" i="106"/>
  <c r="P82" i="106"/>
  <c r="K78" i="106"/>
  <c r="K87" i="106" s="1"/>
  <c r="AF87" i="106" s="1"/>
  <c r="J78" i="106"/>
  <c r="J87" i="106" s="1"/>
  <c r="AE87" i="106" s="1"/>
  <c r="I78" i="106"/>
  <c r="I87" i="106" s="1"/>
  <c r="AD87" i="106" s="1"/>
  <c r="H78" i="106"/>
  <c r="H87" i="106" s="1"/>
  <c r="AC87" i="106" s="1"/>
  <c r="G78" i="106"/>
  <c r="G87" i="106" s="1"/>
  <c r="F78" i="106"/>
  <c r="F87" i="106" s="1"/>
  <c r="AA87" i="106" s="1"/>
  <c r="AF77" i="106"/>
  <c r="AE77" i="106"/>
  <c r="AD77" i="106"/>
  <c r="AC77" i="106"/>
  <c r="AB77" i="106"/>
  <c r="AA77" i="106"/>
  <c r="X77" i="106"/>
  <c r="L77" i="106"/>
  <c r="E77" i="106"/>
  <c r="Z77" i="106" s="1"/>
  <c r="AF76" i="106"/>
  <c r="AE76" i="106"/>
  <c r="AD76" i="106"/>
  <c r="AC76" i="106"/>
  <c r="AB76" i="106"/>
  <c r="AA76" i="106"/>
  <c r="X76" i="106"/>
  <c r="L76" i="106"/>
  <c r="AG76" i="106" s="1"/>
  <c r="E76" i="106"/>
  <c r="AF68" i="106"/>
  <c r="AE68" i="106"/>
  <c r="AD68" i="106"/>
  <c r="AC68" i="106"/>
  <c r="AB68" i="106"/>
  <c r="AA68" i="106"/>
  <c r="X68" i="106"/>
  <c r="L68" i="106"/>
  <c r="AG68" i="106" s="1"/>
  <c r="E68" i="106"/>
  <c r="Z68" i="106" s="1"/>
  <c r="AF66" i="106"/>
  <c r="AE66" i="106"/>
  <c r="AD66" i="106"/>
  <c r="AC66" i="106"/>
  <c r="AB66" i="106"/>
  <c r="AA66" i="106"/>
  <c r="X66" i="106"/>
  <c r="L66" i="106"/>
  <c r="E66" i="106"/>
  <c r="Z66" i="106" s="1"/>
  <c r="W63" i="106"/>
  <c r="V63" i="106"/>
  <c r="U63" i="106"/>
  <c r="T63" i="106"/>
  <c r="S63" i="106"/>
  <c r="R63" i="106"/>
  <c r="Q63" i="106"/>
  <c r="P63" i="106"/>
  <c r="K63" i="106"/>
  <c r="J63" i="106"/>
  <c r="I63" i="106"/>
  <c r="H63" i="106"/>
  <c r="G63" i="106"/>
  <c r="F63" i="106"/>
  <c r="AF62" i="106"/>
  <c r="AE62" i="106"/>
  <c r="AD62" i="106"/>
  <c r="AC62" i="106"/>
  <c r="AB62" i="106"/>
  <c r="AA62" i="106"/>
  <c r="X62" i="106"/>
  <c r="L62" i="106"/>
  <c r="E62" i="106"/>
  <c r="Z62" i="106" s="1"/>
  <c r="AF61" i="106"/>
  <c r="AE61" i="106"/>
  <c r="AD61" i="106"/>
  <c r="AC61" i="106"/>
  <c r="AB61" i="106"/>
  <c r="AA61" i="106"/>
  <c r="X61" i="106"/>
  <c r="L61" i="106"/>
  <c r="E61" i="106"/>
  <c r="Z61" i="106" s="1"/>
  <c r="AF60" i="106"/>
  <c r="AE60" i="106"/>
  <c r="AD60" i="106"/>
  <c r="AC60" i="106"/>
  <c r="AB60" i="106"/>
  <c r="AA60" i="106"/>
  <c r="X60" i="106"/>
  <c r="L60" i="106"/>
  <c r="E60" i="106"/>
  <c r="Z60" i="106" s="1"/>
  <c r="AF59" i="106"/>
  <c r="AE59" i="106"/>
  <c r="AD59" i="106"/>
  <c r="AC59" i="106"/>
  <c r="AB59" i="106"/>
  <c r="AA59" i="106"/>
  <c r="X59" i="106"/>
  <c r="L59" i="106"/>
  <c r="E59" i="106"/>
  <c r="Z59" i="106" s="1"/>
  <c r="AF57" i="106"/>
  <c r="AE57" i="106"/>
  <c r="AD57" i="106"/>
  <c r="AC57" i="106"/>
  <c r="AB57" i="106"/>
  <c r="AA57" i="106"/>
  <c r="X57" i="106"/>
  <c r="L57" i="106"/>
  <c r="E57" i="106"/>
  <c r="Z57" i="106" s="1"/>
  <c r="AF56" i="106"/>
  <c r="AE56" i="106"/>
  <c r="AD56" i="106"/>
  <c r="AC56" i="106"/>
  <c r="AB56" i="106"/>
  <c r="AA56" i="106"/>
  <c r="X56" i="106"/>
  <c r="L56" i="106"/>
  <c r="E56" i="106"/>
  <c r="Z56" i="106" s="1"/>
  <c r="AF55" i="106"/>
  <c r="AE55" i="106"/>
  <c r="AD55" i="106"/>
  <c r="AC55" i="106"/>
  <c r="AB55" i="106"/>
  <c r="AA55" i="106"/>
  <c r="X55" i="106"/>
  <c r="L55" i="106"/>
  <c r="E55" i="106"/>
  <c r="Z55" i="106" s="1"/>
  <c r="AF54" i="106"/>
  <c r="AE54" i="106"/>
  <c r="AD54" i="106"/>
  <c r="AC54" i="106"/>
  <c r="AB54" i="106"/>
  <c r="AA54" i="106"/>
  <c r="X54" i="106"/>
  <c r="L54" i="106"/>
  <c r="E54" i="106"/>
  <c r="Z54" i="106" s="1"/>
  <c r="AF53" i="106"/>
  <c r="AE53" i="106"/>
  <c r="AD53" i="106"/>
  <c r="AC53" i="106"/>
  <c r="AB53" i="106"/>
  <c r="AA53" i="106"/>
  <c r="X53" i="106"/>
  <c r="L53" i="106"/>
  <c r="E53" i="106"/>
  <c r="Z53" i="106" s="1"/>
  <c r="AF52" i="106"/>
  <c r="AE52" i="106"/>
  <c r="AD52" i="106"/>
  <c r="AC52" i="106"/>
  <c r="AB52" i="106"/>
  <c r="AA52" i="106"/>
  <c r="X52" i="106"/>
  <c r="L52" i="106"/>
  <c r="E52" i="106"/>
  <c r="Z52" i="106" s="1"/>
  <c r="AF51" i="106"/>
  <c r="AE51" i="106"/>
  <c r="AD51" i="106"/>
  <c r="AC51" i="106"/>
  <c r="AB51" i="106"/>
  <c r="AA51" i="106"/>
  <c r="X51" i="106"/>
  <c r="L51" i="106"/>
  <c r="E51" i="106"/>
  <c r="Z51" i="106" s="1"/>
  <c r="AF49" i="106"/>
  <c r="AE49" i="106"/>
  <c r="AD49" i="106"/>
  <c r="AC49" i="106"/>
  <c r="AB49" i="106"/>
  <c r="AA49" i="106"/>
  <c r="X49" i="106"/>
  <c r="L49" i="106"/>
  <c r="E49" i="106"/>
  <c r="Z49" i="106" s="1"/>
  <c r="AF48" i="106"/>
  <c r="AE48" i="106"/>
  <c r="AD48" i="106"/>
  <c r="AC48" i="106"/>
  <c r="AB48" i="106"/>
  <c r="AA48" i="106"/>
  <c r="X48" i="106"/>
  <c r="L48" i="106"/>
  <c r="E48" i="106"/>
  <c r="W45" i="106"/>
  <c r="V45" i="106"/>
  <c r="U45" i="106"/>
  <c r="T45" i="106"/>
  <c r="S45" i="106"/>
  <c r="R45" i="106"/>
  <c r="Q45" i="106"/>
  <c r="P45" i="106"/>
  <c r="K45" i="106"/>
  <c r="J45" i="106"/>
  <c r="I45" i="106"/>
  <c r="H45" i="106"/>
  <c r="G45" i="106"/>
  <c r="F45" i="106"/>
  <c r="AF44" i="106"/>
  <c r="AE44" i="106"/>
  <c r="AD44" i="106"/>
  <c r="AC44" i="106"/>
  <c r="AB44" i="106"/>
  <c r="AA44" i="106"/>
  <c r="X44" i="106"/>
  <c r="L44" i="106"/>
  <c r="AG44" i="106" s="1"/>
  <c r="E44" i="106"/>
  <c r="Z44" i="106" s="1"/>
  <c r="AF43" i="106"/>
  <c r="AE43" i="106"/>
  <c r="AD43" i="106"/>
  <c r="AC43" i="106"/>
  <c r="AB43" i="106"/>
  <c r="AA43" i="106"/>
  <c r="X43" i="106"/>
  <c r="L43" i="106"/>
  <c r="AG43" i="106" s="1"/>
  <c r="E43" i="106"/>
  <c r="Z43" i="106" s="1"/>
  <c r="AF42" i="106"/>
  <c r="AE42" i="106"/>
  <c r="AD42" i="106"/>
  <c r="AC42" i="106"/>
  <c r="AB42" i="106"/>
  <c r="AA42" i="106"/>
  <c r="X42" i="106"/>
  <c r="L42" i="106"/>
  <c r="AG42" i="106" s="1"/>
  <c r="E42" i="106"/>
  <c r="Z42" i="106" s="1"/>
  <c r="AF41" i="106"/>
  <c r="AE41" i="106"/>
  <c r="AD41" i="106"/>
  <c r="AC41" i="106"/>
  <c r="AB41" i="106"/>
  <c r="AA41" i="106"/>
  <c r="X41" i="106"/>
  <c r="L41" i="106"/>
  <c r="AG41" i="106" s="1"/>
  <c r="E41" i="106"/>
  <c r="Z41" i="106" s="1"/>
  <c r="AF40" i="106"/>
  <c r="AE40" i="106"/>
  <c r="AD40" i="106"/>
  <c r="AC40" i="106"/>
  <c r="AB40" i="106"/>
  <c r="AA40" i="106"/>
  <c r="X40" i="106"/>
  <c r="L40" i="106"/>
  <c r="AG40" i="106" s="1"/>
  <c r="E40" i="106"/>
  <c r="Z40" i="106" s="1"/>
  <c r="AF39" i="106"/>
  <c r="AE39" i="106"/>
  <c r="AD39" i="106"/>
  <c r="AC39" i="106"/>
  <c r="AB39" i="106"/>
  <c r="AA39" i="106"/>
  <c r="X39" i="106"/>
  <c r="L39" i="106"/>
  <c r="AG39" i="106" s="1"/>
  <c r="E39" i="106"/>
  <c r="Z39" i="106" s="1"/>
  <c r="AF38" i="106"/>
  <c r="AE38" i="106"/>
  <c r="AD38" i="106"/>
  <c r="AC38" i="106"/>
  <c r="AB38" i="106"/>
  <c r="AA38" i="106"/>
  <c r="X38" i="106"/>
  <c r="L38" i="106"/>
  <c r="AG38" i="106" s="1"/>
  <c r="E38" i="106"/>
  <c r="AF37" i="106"/>
  <c r="AE37" i="106"/>
  <c r="AD37" i="106"/>
  <c r="AC37" i="106"/>
  <c r="AB37" i="106"/>
  <c r="AA37" i="106"/>
  <c r="X37" i="106"/>
  <c r="L37" i="106"/>
  <c r="AG37" i="106" s="1"/>
  <c r="E37" i="106"/>
  <c r="AF35" i="106"/>
  <c r="AE35" i="106"/>
  <c r="AD35" i="106"/>
  <c r="AC35" i="106"/>
  <c r="AB35" i="106"/>
  <c r="AA35" i="106"/>
  <c r="X35" i="106"/>
  <c r="L35" i="106"/>
  <c r="AG35" i="106" s="1"/>
  <c r="E35" i="106"/>
  <c r="AF34" i="106"/>
  <c r="AE34" i="106"/>
  <c r="AD34" i="106"/>
  <c r="AC34" i="106"/>
  <c r="AB34" i="106"/>
  <c r="AA34" i="106"/>
  <c r="X34" i="106"/>
  <c r="L34" i="106"/>
  <c r="AG34" i="106" s="1"/>
  <c r="E34" i="106"/>
  <c r="AF33" i="106"/>
  <c r="AE33" i="106"/>
  <c r="AD33" i="106"/>
  <c r="AC33" i="106"/>
  <c r="AB33" i="106"/>
  <c r="AA33" i="106"/>
  <c r="X33" i="106"/>
  <c r="L33" i="106"/>
  <c r="AG33" i="106" s="1"/>
  <c r="E33" i="106"/>
  <c r="AF32" i="106"/>
  <c r="AE32" i="106"/>
  <c r="AD32" i="106"/>
  <c r="AC32" i="106"/>
  <c r="AB32" i="106"/>
  <c r="AA32" i="106"/>
  <c r="X32" i="106"/>
  <c r="L32" i="106"/>
  <c r="AG32" i="106" s="1"/>
  <c r="E32" i="106"/>
  <c r="Z32" i="106" s="1"/>
  <c r="AF31" i="106"/>
  <c r="AE31" i="106"/>
  <c r="AD31" i="106"/>
  <c r="AC31" i="106"/>
  <c r="AB31" i="106"/>
  <c r="AA31" i="106"/>
  <c r="X31" i="106"/>
  <c r="L31" i="106"/>
  <c r="AG31" i="106" s="1"/>
  <c r="E31" i="106"/>
  <c r="Z31" i="106" s="1"/>
  <c r="AF28" i="106"/>
  <c r="AE28" i="106"/>
  <c r="AD28" i="106"/>
  <c r="AC28" i="106"/>
  <c r="AB28" i="106"/>
  <c r="AA28" i="106"/>
  <c r="X28" i="106"/>
  <c r="L28" i="106"/>
  <c r="AG28" i="106" s="1"/>
  <c r="E28" i="106"/>
  <c r="Z28" i="106" s="1"/>
  <c r="AF27" i="106"/>
  <c r="AE27" i="106"/>
  <c r="AD27" i="106"/>
  <c r="AC27" i="106"/>
  <c r="AB27" i="106"/>
  <c r="AA27" i="106"/>
  <c r="X27" i="106"/>
  <c r="L27" i="106"/>
  <c r="AG27" i="106" s="1"/>
  <c r="E27" i="106"/>
  <c r="Z27" i="106" s="1"/>
  <c r="AF26" i="106"/>
  <c r="AE26" i="106"/>
  <c r="AD26" i="106"/>
  <c r="AC26" i="106"/>
  <c r="AB26" i="106"/>
  <c r="AA26" i="106"/>
  <c r="X26" i="106"/>
  <c r="L26" i="106"/>
  <c r="AG26" i="106" s="1"/>
  <c r="E26" i="106"/>
  <c r="Z26" i="106" s="1"/>
  <c r="AF25" i="106"/>
  <c r="AE25" i="106"/>
  <c r="AD25" i="106"/>
  <c r="AC25" i="106"/>
  <c r="AB25" i="106"/>
  <c r="AA25" i="106"/>
  <c r="X25" i="106"/>
  <c r="AG25" i="106"/>
  <c r="E25" i="106"/>
  <c r="Z25" i="106" s="1"/>
  <c r="AF24" i="106"/>
  <c r="AE24" i="106"/>
  <c r="AD24" i="106"/>
  <c r="AC24" i="106"/>
  <c r="AB24" i="106"/>
  <c r="AA24" i="106"/>
  <c r="X24" i="106"/>
  <c r="L24" i="106"/>
  <c r="AG24" i="106" s="1"/>
  <c r="E24" i="106"/>
  <c r="Z24" i="106" s="1"/>
  <c r="AF23" i="106"/>
  <c r="AE23" i="106"/>
  <c r="AD23" i="106"/>
  <c r="AC23" i="106"/>
  <c r="AB23" i="106"/>
  <c r="AA23" i="106"/>
  <c r="X23" i="106"/>
  <c r="L23" i="106"/>
  <c r="AG23" i="106" s="1"/>
  <c r="E23" i="106"/>
  <c r="W20" i="106"/>
  <c r="V20" i="106"/>
  <c r="U20" i="106"/>
  <c r="T20" i="106"/>
  <c r="S20" i="106"/>
  <c r="R20" i="106"/>
  <c r="Q20" i="106"/>
  <c r="P20" i="106"/>
  <c r="K20" i="106"/>
  <c r="J20" i="106"/>
  <c r="I20" i="106"/>
  <c r="H20" i="106"/>
  <c r="G20" i="106"/>
  <c r="AF19" i="106"/>
  <c r="AE19" i="106"/>
  <c r="AD19" i="106"/>
  <c r="AC19" i="106"/>
  <c r="AB19" i="106"/>
  <c r="AA19" i="106"/>
  <c r="X19" i="106"/>
  <c r="L19" i="106"/>
  <c r="AG19" i="106" s="1"/>
  <c r="E19" i="106"/>
  <c r="Z19" i="106" s="1"/>
  <c r="AF18" i="106"/>
  <c r="AE18" i="106"/>
  <c r="AD18" i="106"/>
  <c r="AC18" i="106"/>
  <c r="AB18" i="106"/>
  <c r="AA18" i="106"/>
  <c r="L18" i="106"/>
  <c r="AG18" i="106" s="1"/>
  <c r="E18" i="106"/>
  <c r="AF17" i="106"/>
  <c r="AE17" i="106"/>
  <c r="AD17" i="106"/>
  <c r="AC17" i="106"/>
  <c r="AB17" i="106"/>
  <c r="AA17" i="106"/>
  <c r="X17" i="106"/>
  <c r="L17" i="106"/>
  <c r="AG17" i="106" s="1"/>
  <c r="E17" i="106"/>
  <c r="Z17" i="106" s="1"/>
  <c r="AF16" i="106"/>
  <c r="AE16" i="106"/>
  <c r="AD16" i="106"/>
  <c r="AC16" i="106"/>
  <c r="AB16" i="106"/>
  <c r="AA16" i="106"/>
  <c r="X16" i="106"/>
  <c r="L16" i="106"/>
  <c r="AG16" i="106" s="1"/>
  <c r="E16" i="106"/>
  <c r="Z16" i="106" s="1"/>
  <c r="AF14" i="106"/>
  <c r="AE14" i="106"/>
  <c r="AD14" i="106"/>
  <c r="AC14" i="106"/>
  <c r="AB14" i="106"/>
  <c r="AA14" i="106"/>
  <c r="X14" i="106"/>
  <c r="L14" i="106"/>
  <c r="AG14" i="106" s="1"/>
  <c r="E14" i="106"/>
  <c r="AF13" i="106"/>
  <c r="AE13" i="106"/>
  <c r="AD13" i="106"/>
  <c r="AC13" i="106"/>
  <c r="AB13" i="106"/>
  <c r="AA13" i="106"/>
  <c r="X13" i="106"/>
  <c r="L13" i="106"/>
  <c r="AG13" i="106" s="1"/>
  <c r="E13" i="106"/>
  <c r="AF12" i="106"/>
  <c r="AE12" i="106"/>
  <c r="AD12" i="106"/>
  <c r="AC12" i="106"/>
  <c r="AB12" i="106"/>
  <c r="AA12" i="106"/>
  <c r="L12" i="106"/>
  <c r="AG12" i="106" s="1"/>
  <c r="E12" i="106"/>
  <c r="Z12" i="106" s="1"/>
  <c r="AF11" i="106"/>
  <c r="AE11" i="106"/>
  <c r="AD11" i="106"/>
  <c r="AC11" i="106"/>
  <c r="AB11" i="106"/>
  <c r="AA11" i="106"/>
  <c r="X11" i="106"/>
  <c r="L11" i="106"/>
  <c r="AG11" i="106" s="1"/>
  <c r="E11" i="106"/>
  <c r="Z11" i="106" s="1"/>
  <c r="AF10" i="106"/>
  <c r="AE10" i="106"/>
  <c r="AD10" i="106"/>
  <c r="AC10" i="106"/>
  <c r="AB10" i="106"/>
  <c r="AA10" i="106"/>
  <c r="X10" i="106"/>
  <c r="L10" i="106"/>
  <c r="AG10" i="106" s="1"/>
  <c r="E10" i="106"/>
  <c r="Z10" i="106" s="1"/>
  <c r="W7" i="106"/>
  <c r="V7" i="106"/>
  <c r="U7" i="106"/>
  <c r="T7" i="106"/>
  <c r="S7" i="106"/>
  <c r="R7" i="106"/>
  <c r="Q7" i="106"/>
  <c r="P7" i="106"/>
  <c r="K7" i="106"/>
  <c r="J7" i="106"/>
  <c r="I7" i="106"/>
  <c r="H7" i="106"/>
  <c r="G7" i="106"/>
  <c r="F7" i="106"/>
  <c r="AF6" i="106"/>
  <c r="AE6" i="106"/>
  <c r="AD6" i="106"/>
  <c r="AC6" i="106"/>
  <c r="AB6" i="106"/>
  <c r="AA6" i="106"/>
  <c r="X6" i="106"/>
  <c r="L6" i="106"/>
  <c r="AG6" i="106" s="1"/>
  <c r="E6" i="106"/>
  <c r="Z6" i="106" s="1"/>
  <c r="AF5" i="106"/>
  <c r="AE5" i="106"/>
  <c r="AD5" i="106"/>
  <c r="AC5" i="106"/>
  <c r="AB5" i="106"/>
  <c r="AA5" i="106"/>
  <c r="X5" i="106"/>
  <c r="L5" i="106"/>
  <c r="AG5" i="106" s="1"/>
  <c r="E5" i="106"/>
  <c r="Z5" i="106" s="1"/>
  <c r="AF4" i="106"/>
  <c r="AE4" i="106"/>
  <c r="AD4" i="106"/>
  <c r="AC4" i="106"/>
  <c r="AB4" i="106"/>
  <c r="AA4" i="106"/>
  <c r="X4" i="106"/>
  <c r="L4" i="106"/>
  <c r="AG4" i="106" s="1"/>
  <c r="E4" i="106"/>
  <c r="Z4" i="106" s="1"/>
  <c r="M74" i="106" l="1"/>
  <c r="M15" i="106"/>
  <c r="F20" i="106"/>
  <c r="F79" i="106" s="1"/>
  <c r="AA86" i="106" s="1"/>
  <c r="M36" i="106"/>
  <c r="M30" i="106"/>
  <c r="M58" i="106"/>
  <c r="M50" i="106"/>
  <c r="X78" i="106"/>
  <c r="AG50" i="106"/>
  <c r="M29" i="106"/>
  <c r="M35" i="106"/>
  <c r="M34" i="106"/>
  <c r="M14" i="106"/>
  <c r="M71" i="106"/>
  <c r="M75" i="106"/>
  <c r="AD7" i="106"/>
  <c r="M70" i="106"/>
  <c r="AF78" i="106"/>
  <c r="M69" i="106"/>
  <c r="M73" i="106"/>
  <c r="M18" i="106"/>
  <c r="AE78" i="106"/>
  <c r="AG73" i="106"/>
  <c r="M5" i="106"/>
  <c r="AF45" i="106"/>
  <c r="AC78" i="106"/>
  <c r="M57" i="106"/>
  <c r="M76" i="106"/>
  <c r="M72" i="106"/>
  <c r="AF63" i="106"/>
  <c r="AB63" i="106"/>
  <c r="M60" i="106"/>
  <c r="AA63" i="106"/>
  <c r="AG70" i="106"/>
  <c r="M13" i="106"/>
  <c r="Z14" i="106"/>
  <c r="M17" i="106"/>
  <c r="AC45" i="106"/>
  <c r="AE7" i="106"/>
  <c r="AB78" i="106"/>
  <c r="AG20" i="106"/>
  <c r="AA45" i="106"/>
  <c r="L7" i="106"/>
  <c r="AF20" i="106"/>
  <c r="P79" i="106"/>
  <c r="P98" i="106" s="1"/>
  <c r="V79" i="106"/>
  <c r="V98" i="106" s="1"/>
  <c r="M66" i="106"/>
  <c r="U79" i="106"/>
  <c r="U98" i="106" s="1"/>
  <c r="AF7" i="106"/>
  <c r="X7" i="106"/>
  <c r="AA20" i="106"/>
  <c r="Q79" i="106"/>
  <c r="Q98" i="106" s="1"/>
  <c r="W79" i="106"/>
  <c r="W98" i="106" s="1"/>
  <c r="M54" i="106"/>
  <c r="M56" i="106"/>
  <c r="AD78" i="106"/>
  <c r="X82" i="106"/>
  <c r="AE20" i="106"/>
  <c r="J79" i="106"/>
  <c r="AE86" i="106" s="1"/>
  <c r="AG45" i="106"/>
  <c r="M62" i="106"/>
  <c r="M77" i="106"/>
  <c r="K79" i="106"/>
  <c r="AF86" i="106" s="1"/>
  <c r="AA7" i="106"/>
  <c r="AB20" i="106"/>
  <c r="M16" i="106"/>
  <c r="X20" i="106"/>
  <c r="AB45" i="106"/>
  <c r="M33" i="106"/>
  <c r="Z35" i="106"/>
  <c r="M38" i="106"/>
  <c r="H79" i="106"/>
  <c r="AC86" i="106" s="1"/>
  <c r="AC63" i="106"/>
  <c r="M59" i="106"/>
  <c r="M61" i="106"/>
  <c r="L78" i="106"/>
  <c r="L87" i="106" s="1"/>
  <c r="AG66" i="106"/>
  <c r="AG77" i="106"/>
  <c r="G79" i="106"/>
  <c r="AB86" i="106" s="1"/>
  <c r="AB7" i="106"/>
  <c r="AC20" i="106"/>
  <c r="E45" i="106"/>
  <c r="AD45" i="106"/>
  <c r="Z34" i="106"/>
  <c r="I79" i="106"/>
  <c r="AD86" i="106" s="1"/>
  <c r="AD63" i="106"/>
  <c r="R79" i="106"/>
  <c r="R98" i="106" s="1"/>
  <c r="T79" i="106"/>
  <c r="T98" i="106" s="1"/>
  <c r="AC7" i="106"/>
  <c r="AD20" i="106"/>
  <c r="M19" i="106"/>
  <c r="L45" i="106"/>
  <c r="AE45" i="106"/>
  <c r="M37" i="106"/>
  <c r="AE63" i="106"/>
  <c r="X63" i="106"/>
  <c r="AA78" i="106"/>
  <c r="M68" i="106"/>
  <c r="S79" i="106"/>
  <c r="S98" i="106" s="1"/>
  <c r="M49" i="106"/>
  <c r="M52" i="106"/>
  <c r="M10" i="106"/>
  <c r="M11" i="106"/>
  <c r="M12" i="106"/>
  <c r="Z13" i="106"/>
  <c r="M23" i="106"/>
  <c r="M24" i="106"/>
  <c r="M25" i="106"/>
  <c r="M26" i="106"/>
  <c r="M27" i="106"/>
  <c r="M28" i="106"/>
  <c r="M31" i="106"/>
  <c r="M32" i="106"/>
  <c r="Z33" i="106"/>
  <c r="M39" i="106"/>
  <c r="M40" i="106"/>
  <c r="M41" i="106"/>
  <c r="M42" i="106"/>
  <c r="M43" i="106"/>
  <c r="M44" i="106"/>
  <c r="E7" i="106"/>
  <c r="M4" i="106"/>
  <c r="E63" i="106"/>
  <c r="Z7" i="106"/>
  <c r="M6" i="106"/>
  <c r="Z23" i="106"/>
  <c r="Z38" i="106"/>
  <c r="M48" i="106"/>
  <c r="M51" i="106"/>
  <c r="M53" i="106"/>
  <c r="M55" i="106"/>
  <c r="E78" i="106"/>
  <c r="E87" i="106" s="1"/>
  <c r="Z87" i="106" s="1"/>
  <c r="Z18" i="106"/>
  <c r="E20" i="106"/>
  <c r="Z37" i="106"/>
  <c r="L20" i="106"/>
  <c r="Z48" i="106"/>
  <c r="Z63" i="106" s="1"/>
  <c r="X45" i="106"/>
  <c r="AG48" i="106"/>
  <c r="AG49" i="106"/>
  <c r="AG51" i="106"/>
  <c r="AG52" i="106"/>
  <c r="AG53" i="106"/>
  <c r="AG54" i="106"/>
  <c r="AG55" i="106"/>
  <c r="AG56" i="106"/>
  <c r="AG57" i="106"/>
  <c r="AG59" i="106"/>
  <c r="AG60" i="106"/>
  <c r="AG61" i="106"/>
  <c r="AG62" i="106"/>
  <c r="Z76" i="106"/>
  <c r="L63" i="106"/>
  <c r="M87" i="106" l="1"/>
  <c r="AG87" i="106"/>
  <c r="AA85" i="106"/>
  <c r="F98" i="106"/>
  <c r="AF85" i="106"/>
  <c r="K98" i="106"/>
  <c r="AC85" i="106"/>
  <c r="H98" i="106"/>
  <c r="AE85" i="106"/>
  <c r="J98" i="106"/>
  <c r="AD85" i="106"/>
  <c r="I98" i="106"/>
  <c r="AB85" i="106"/>
  <c r="G98" i="106"/>
  <c r="AD83" i="106"/>
  <c r="AC83" i="106"/>
  <c r="AA83" i="106"/>
  <c r="M7" i="106"/>
  <c r="M78" i="106"/>
  <c r="AB79" i="106"/>
  <c r="X79" i="106"/>
  <c r="AC79" i="106"/>
  <c r="M45" i="106"/>
  <c r="AG78" i="106"/>
  <c r="AE79" i="106"/>
  <c r="AF83" i="106"/>
  <c r="AB83" i="106"/>
  <c r="AA79" i="106"/>
  <c r="AF79" i="106"/>
  <c r="M63" i="106"/>
  <c r="AD79" i="106"/>
  <c r="AG7" i="106"/>
  <c r="E79" i="106"/>
  <c r="H95" i="40" s="1"/>
  <c r="AE83" i="106"/>
  <c r="Z20" i="106"/>
  <c r="Z78" i="106"/>
  <c r="M20" i="106"/>
  <c r="Z45" i="106"/>
  <c r="L79" i="106"/>
  <c r="AG86" i="106" s="1"/>
  <c r="AG63" i="106"/>
  <c r="Z86" i="106" l="1"/>
  <c r="M86" i="106"/>
  <c r="I82" i="106"/>
  <c r="AA82" i="106"/>
  <c r="AE82" i="106"/>
  <c r="H82" i="106"/>
  <c r="F82" i="106"/>
  <c r="J82" i="106"/>
  <c r="AB82" i="106"/>
  <c r="G82" i="106"/>
  <c r="AF82" i="106"/>
  <c r="AC82" i="106"/>
  <c r="AD82" i="106"/>
  <c r="AG85" i="106"/>
  <c r="L98" i="106"/>
  <c r="Z83" i="106"/>
  <c r="Z85" i="106"/>
  <c r="K82" i="106"/>
  <c r="AG79" i="106"/>
  <c r="Z79" i="106"/>
  <c r="M79" i="106"/>
  <c r="M85" i="106" l="1"/>
  <c r="E82" i="106"/>
  <c r="Z82" i="106"/>
  <c r="L82" i="106"/>
  <c r="AG83" i="106"/>
  <c r="AG82" i="106" s="1"/>
  <c r="M83" i="106"/>
  <c r="K101" i="103" l="1"/>
  <c r="K100" i="103"/>
  <c r="K99" i="103"/>
  <c r="K98" i="103"/>
  <c r="K97" i="103"/>
  <c r="K96" i="103"/>
  <c r="K95" i="103"/>
  <c r="K94" i="103"/>
  <c r="K93" i="103"/>
  <c r="K92" i="103"/>
  <c r="K91" i="103"/>
  <c r="K90" i="103"/>
  <c r="K89" i="103"/>
  <c r="K85" i="103"/>
  <c r="K84" i="103"/>
  <c r="K83" i="103"/>
  <c r="K82" i="103"/>
  <c r="K81" i="103"/>
  <c r="K80" i="103"/>
  <c r="K79" i="103"/>
  <c r="K78" i="103"/>
  <c r="K77" i="103"/>
  <c r="K76" i="103"/>
  <c r="K75" i="103"/>
  <c r="J74" i="103"/>
  <c r="I74" i="103"/>
  <c r="H74" i="103"/>
  <c r="G74" i="103"/>
  <c r="F74" i="103"/>
  <c r="E74" i="103"/>
  <c r="D74" i="103"/>
  <c r="C74" i="103"/>
  <c r="K74" i="103" s="1"/>
  <c r="I71" i="103"/>
  <c r="H71" i="103"/>
  <c r="G71" i="103"/>
  <c r="F71" i="103"/>
  <c r="E71" i="103"/>
  <c r="D71" i="103"/>
  <c r="J70" i="103"/>
  <c r="J69" i="103"/>
  <c r="J68" i="103"/>
  <c r="K68" i="103" s="1"/>
  <c r="J67" i="103"/>
  <c r="J66" i="103"/>
  <c r="J65" i="103"/>
  <c r="J64" i="103"/>
  <c r="K64" i="103"/>
  <c r="J63" i="103"/>
  <c r="J62" i="103"/>
  <c r="J61" i="103"/>
  <c r="J60" i="103"/>
  <c r="K60" i="103"/>
  <c r="J59" i="103"/>
  <c r="J58" i="103"/>
  <c r="K58" i="103"/>
  <c r="J57" i="103"/>
  <c r="J56" i="103"/>
  <c r="J55" i="103"/>
  <c r="J54" i="103"/>
  <c r="K54" i="103"/>
  <c r="J53" i="103"/>
  <c r="J52" i="103"/>
  <c r="K52" i="103"/>
  <c r="J51" i="103"/>
  <c r="J50" i="103"/>
  <c r="J49" i="103"/>
  <c r="K49" i="103"/>
  <c r="J48" i="103"/>
  <c r="J47" i="103"/>
  <c r="J46" i="103"/>
  <c r="J45" i="103"/>
  <c r="J44" i="103"/>
  <c r="K44" i="103"/>
  <c r="J43" i="103"/>
  <c r="J42" i="103"/>
  <c r="J41" i="103"/>
  <c r="K41" i="103"/>
  <c r="J40" i="103"/>
  <c r="J39" i="103"/>
  <c r="J38" i="103"/>
  <c r="J37" i="103"/>
  <c r="J36" i="103"/>
  <c r="K36" i="103"/>
  <c r="J35" i="103"/>
  <c r="J34" i="103"/>
  <c r="J33" i="103"/>
  <c r="K33" i="103"/>
  <c r="J32" i="103"/>
  <c r="J31" i="103"/>
  <c r="J30" i="103"/>
  <c r="J29" i="103"/>
  <c r="K29" i="103"/>
  <c r="J28" i="103"/>
  <c r="J27" i="103"/>
  <c r="J26" i="103"/>
  <c r="J25" i="103"/>
  <c r="K25" i="103"/>
  <c r="J24" i="103"/>
  <c r="K24" i="103"/>
  <c r="J23" i="103"/>
  <c r="J22" i="103"/>
  <c r="J21" i="103"/>
  <c r="K21" i="103"/>
  <c r="J20" i="103"/>
  <c r="J19" i="103"/>
  <c r="J18" i="103"/>
  <c r="J17" i="103"/>
  <c r="K17" i="103"/>
  <c r="J16" i="103"/>
  <c r="K16" i="103"/>
  <c r="J15" i="103"/>
  <c r="J14" i="103"/>
  <c r="J13" i="103"/>
  <c r="K13" i="103"/>
  <c r="J12" i="103"/>
  <c r="J11" i="103"/>
  <c r="J10" i="103"/>
  <c r="J9" i="103"/>
  <c r="K9" i="103"/>
  <c r="J8" i="103"/>
  <c r="K8" i="103"/>
  <c r="J7" i="103"/>
  <c r="J6" i="103"/>
  <c r="J5" i="103"/>
  <c r="K5" i="103"/>
  <c r="J4" i="103"/>
  <c r="J3" i="103"/>
  <c r="J71" i="103" s="1"/>
  <c r="K28" i="103" l="1"/>
  <c r="K31" i="103"/>
  <c r="K34" i="103"/>
  <c r="K27" i="103"/>
  <c r="K47" i="103"/>
  <c r="K20" i="103"/>
  <c r="K39" i="103"/>
  <c r="K56" i="103"/>
  <c r="K12" i="103"/>
  <c r="K26" i="103"/>
  <c r="K40" i="103"/>
  <c r="K57" i="103"/>
  <c r="K65" i="103"/>
  <c r="K4" i="103"/>
  <c r="K18" i="103"/>
  <c r="K32" i="103"/>
  <c r="K10" i="103"/>
  <c r="K19" i="103"/>
  <c r="K61" i="103"/>
  <c r="K70" i="103"/>
  <c r="K11" i="103"/>
  <c r="C71" i="103"/>
  <c r="K37" i="103"/>
  <c r="K42" i="103"/>
  <c r="K45" i="103"/>
  <c r="K50" i="103"/>
  <c r="K55" i="103"/>
  <c r="K62" i="103"/>
  <c r="K67" i="103"/>
  <c r="K6" i="103"/>
  <c r="K43" i="103"/>
  <c r="K48" i="103"/>
  <c r="K53" i="103"/>
  <c r="K14" i="103"/>
  <c r="K22" i="103"/>
  <c r="K51" i="103"/>
  <c r="K30" i="103"/>
  <c r="K38" i="103"/>
  <c r="K46" i="103"/>
  <c r="K35" i="103"/>
  <c r="K63" i="103"/>
  <c r="K7" i="103"/>
  <c r="K15" i="103"/>
  <c r="K23" i="103"/>
  <c r="K59" i="103"/>
  <c r="K66" i="103"/>
  <c r="K69" i="103"/>
  <c r="K3" i="103"/>
  <c r="K71" i="103" l="1"/>
  <c r="C7" i="98" l="1"/>
  <c r="B7" i="98"/>
  <c r="F33" i="87" l="1"/>
  <c r="G33" i="87"/>
  <c r="H33" i="87"/>
  <c r="I33" i="87"/>
  <c r="J33" i="87"/>
  <c r="E33" i="87"/>
  <c r="C33" i="87"/>
  <c r="I19" i="87" l="1"/>
  <c r="D13" i="87"/>
  <c r="D12" i="87" l="1"/>
  <c r="K8" i="87" l="1"/>
  <c r="D8" i="87" s="1"/>
  <c r="K9" i="87"/>
  <c r="D9" i="87" s="1"/>
  <c r="K10" i="87"/>
  <c r="D10" i="87" s="1"/>
  <c r="K11" i="87"/>
  <c r="D11" i="87" s="1"/>
  <c r="K14" i="87"/>
  <c r="D14" i="87" s="1"/>
  <c r="K15" i="87"/>
  <c r="D15" i="87" s="1"/>
  <c r="K16" i="87"/>
  <c r="K17" i="87"/>
  <c r="K18" i="87"/>
  <c r="K25" i="87"/>
  <c r="D25" i="87" s="1"/>
  <c r="K26" i="87"/>
  <c r="D26" i="87" s="1"/>
  <c r="K27" i="87"/>
  <c r="K28" i="87"/>
  <c r="K29" i="87"/>
  <c r="D29" i="87" s="1"/>
  <c r="K30" i="87"/>
  <c r="D30" i="87" s="1"/>
  <c r="K31" i="87"/>
  <c r="D31" i="87" s="1"/>
  <c r="K32" i="87"/>
  <c r="D32" i="87" s="1"/>
  <c r="K34" i="87"/>
  <c r="K35" i="87"/>
  <c r="D35" i="87" s="1"/>
  <c r="K36" i="87"/>
  <c r="K24" i="87"/>
  <c r="J19" i="87"/>
  <c r="H19" i="87"/>
  <c r="G19" i="87"/>
  <c r="F19" i="87"/>
  <c r="E19" i="87"/>
  <c r="C19" i="87"/>
  <c r="C37" i="87"/>
  <c r="E37" i="87"/>
  <c r="F37" i="87"/>
  <c r="G37" i="87"/>
  <c r="H37" i="87"/>
  <c r="I37" i="87"/>
  <c r="J37" i="87"/>
  <c r="D36" i="87"/>
  <c r="D27" i="87"/>
  <c r="D28" i="87"/>
  <c r="D34" i="87"/>
  <c r="K7" i="87"/>
  <c r="D7" i="87" s="1"/>
  <c r="L34" i="87" l="1"/>
  <c r="K33" i="87"/>
  <c r="D33" i="87"/>
  <c r="L36" i="87"/>
  <c r="L29" i="87"/>
  <c r="L35" i="87"/>
  <c r="L30" i="87"/>
  <c r="L26" i="87"/>
  <c r="L31" i="87"/>
  <c r="L7" i="87"/>
  <c r="L27" i="87"/>
  <c r="L16" i="87"/>
  <c r="L11" i="87"/>
  <c r="L8" i="87"/>
  <c r="L15" i="87"/>
  <c r="L12" i="87"/>
  <c r="L32" i="87"/>
  <c r="L28" i="87"/>
  <c r="L25" i="87"/>
  <c r="L17" i="87"/>
  <c r="L13" i="87"/>
  <c r="L9" i="87"/>
  <c r="L18" i="87"/>
  <c r="L14" i="87"/>
  <c r="L10" i="87"/>
  <c r="K19" i="87"/>
  <c r="D19" i="87" s="1"/>
  <c r="D24" i="87"/>
  <c r="M8" i="87"/>
  <c r="M9" i="87"/>
  <c r="M10" i="87"/>
  <c r="M11" i="87"/>
  <c r="M12" i="87"/>
  <c r="M13" i="87"/>
  <c r="M14" i="87"/>
  <c r="M7" i="87"/>
  <c r="K37" i="87" l="1"/>
  <c r="D37" i="87" s="1"/>
  <c r="L46" i="51" l="1"/>
  <c r="K46" i="51"/>
  <c r="J46" i="51"/>
  <c r="I46" i="51"/>
  <c r="H46" i="51"/>
  <c r="G46" i="51"/>
  <c r="L45" i="51"/>
  <c r="K45" i="51"/>
  <c r="J45" i="51"/>
  <c r="I45" i="51"/>
  <c r="H45" i="51"/>
  <c r="G45" i="51"/>
  <c r="L44" i="51"/>
  <c r="K44" i="51"/>
  <c r="J44" i="51"/>
  <c r="I44" i="51"/>
  <c r="H44" i="51"/>
  <c r="G44" i="51"/>
  <c r="F43" i="51"/>
  <c r="E43" i="51"/>
  <c r="L41" i="51"/>
  <c r="L47" i="51" s="1"/>
  <c r="K41" i="51"/>
  <c r="K47" i="51" s="1"/>
  <c r="I41" i="51"/>
  <c r="I47" i="51" s="1"/>
  <c r="H41" i="51"/>
  <c r="H47" i="51" s="1"/>
  <c r="G41" i="51"/>
  <c r="G47" i="51" s="1"/>
  <c r="D41" i="51"/>
  <c r="D47" i="51" s="1"/>
  <c r="D43" i="51" s="1"/>
  <c r="M22" i="51"/>
  <c r="N22" i="51" s="1"/>
  <c r="F22" i="51"/>
  <c r="E22" i="51"/>
  <c r="C22" i="51"/>
  <c r="M10" i="51"/>
  <c r="N10" i="51" s="1"/>
  <c r="F10" i="51"/>
  <c r="E10" i="51"/>
  <c r="C10" i="51"/>
  <c r="M21" i="51"/>
  <c r="N21" i="51" s="1"/>
  <c r="F21" i="51"/>
  <c r="E21" i="51"/>
  <c r="C21" i="51"/>
  <c r="M15" i="51"/>
  <c r="N15" i="51" s="1"/>
  <c r="F15" i="51"/>
  <c r="E15" i="51"/>
  <c r="C15" i="51"/>
  <c r="M5" i="51"/>
  <c r="N5" i="51" s="1"/>
  <c r="M3" i="51"/>
  <c r="N3" i="51" s="1"/>
  <c r="F3" i="51"/>
  <c r="E3" i="51"/>
  <c r="C3" i="51"/>
  <c r="M9" i="51"/>
  <c r="N9" i="51" s="1"/>
  <c r="F9" i="51"/>
  <c r="E9" i="51"/>
  <c r="C9" i="51"/>
  <c r="M4" i="51"/>
  <c r="N4" i="51" s="1"/>
  <c r="F4" i="51"/>
  <c r="E4" i="51"/>
  <c r="C4" i="51"/>
  <c r="M18" i="51"/>
  <c r="N18" i="51" s="1"/>
  <c r="F18" i="51"/>
  <c r="E18" i="51"/>
  <c r="C18" i="51"/>
  <c r="M40" i="51"/>
  <c r="N40" i="51" s="1"/>
  <c r="F40" i="51"/>
  <c r="E40" i="51"/>
  <c r="C40" i="51"/>
  <c r="M7" i="51"/>
  <c r="N7" i="51" s="1"/>
  <c r="F7" i="51"/>
  <c r="E7" i="51"/>
  <c r="C7" i="51"/>
  <c r="M11" i="51"/>
  <c r="N11" i="51" s="1"/>
  <c r="F11" i="51"/>
  <c r="E11" i="51"/>
  <c r="C11" i="51"/>
  <c r="M37" i="51"/>
  <c r="N37" i="51" s="1"/>
  <c r="F37" i="51"/>
  <c r="E37" i="51"/>
  <c r="C37" i="51"/>
  <c r="M36" i="51"/>
  <c r="N36" i="51" s="1"/>
  <c r="F36" i="51"/>
  <c r="E36" i="51"/>
  <c r="C36" i="51"/>
  <c r="M6" i="51"/>
  <c r="N6" i="51" s="1"/>
  <c r="F6" i="51"/>
  <c r="E6" i="51"/>
  <c r="C6" i="51"/>
  <c r="M39" i="51"/>
  <c r="N39" i="51" s="1"/>
  <c r="F39" i="51"/>
  <c r="E39" i="51"/>
  <c r="C39" i="51"/>
  <c r="M27" i="51"/>
  <c r="N27" i="51" s="1"/>
  <c r="F27" i="51"/>
  <c r="E27" i="51"/>
  <c r="C27" i="51"/>
  <c r="M20" i="51"/>
  <c r="N20" i="51" s="1"/>
  <c r="F20" i="51"/>
  <c r="E20" i="51"/>
  <c r="C20" i="51"/>
  <c r="M34" i="51"/>
  <c r="N34" i="51" s="1"/>
  <c r="F34" i="51"/>
  <c r="E34" i="51"/>
  <c r="C34" i="51"/>
  <c r="M14" i="51"/>
  <c r="N14" i="51" s="1"/>
  <c r="F14" i="51"/>
  <c r="E14" i="51"/>
  <c r="C14" i="51"/>
  <c r="M13" i="51"/>
  <c r="N13" i="51" s="1"/>
  <c r="F13" i="51"/>
  <c r="E13" i="51"/>
  <c r="C13" i="51"/>
  <c r="M24" i="51"/>
  <c r="N24" i="51" s="1"/>
  <c r="F24" i="51"/>
  <c r="E24" i="51"/>
  <c r="C24" i="51"/>
  <c r="M17" i="51"/>
  <c r="N17" i="51" s="1"/>
  <c r="F17" i="51"/>
  <c r="E17" i="51"/>
  <c r="C17" i="51"/>
  <c r="M23" i="51"/>
  <c r="N23" i="51" s="1"/>
  <c r="F23" i="51"/>
  <c r="E23" i="51"/>
  <c r="C23" i="51"/>
  <c r="M25" i="51"/>
  <c r="N25" i="51" s="1"/>
  <c r="F25" i="51"/>
  <c r="E25" i="51"/>
  <c r="C25" i="51"/>
  <c r="M28" i="51"/>
  <c r="N28" i="51" s="1"/>
  <c r="F28" i="51"/>
  <c r="E28" i="51"/>
  <c r="C28" i="51"/>
  <c r="M26" i="51"/>
  <c r="N26" i="51" s="1"/>
  <c r="F26" i="51"/>
  <c r="E26" i="51"/>
  <c r="C26" i="51"/>
  <c r="M31" i="51"/>
  <c r="N31" i="51" s="1"/>
  <c r="J31" i="51"/>
  <c r="J41" i="51" s="1"/>
  <c r="J47" i="51" s="1"/>
  <c r="J43" i="51" s="1"/>
  <c r="F31" i="51"/>
  <c r="E31" i="51"/>
  <c r="C31" i="51"/>
  <c r="M12" i="51"/>
  <c r="N12" i="51" s="1"/>
  <c r="F12" i="51"/>
  <c r="E12" i="51"/>
  <c r="C12" i="51"/>
  <c r="M16" i="51"/>
  <c r="N16" i="51" s="1"/>
  <c r="F16" i="51"/>
  <c r="E16" i="51"/>
  <c r="C16" i="51"/>
  <c r="M32" i="51"/>
  <c r="N32" i="51" s="1"/>
  <c r="F32" i="51"/>
  <c r="E32" i="51"/>
  <c r="C32" i="51"/>
  <c r="M38" i="51"/>
  <c r="N38" i="51" s="1"/>
  <c r="F38" i="51"/>
  <c r="E38" i="51"/>
  <c r="C38" i="51"/>
  <c r="M33" i="51"/>
  <c r="N33" i="51" s="1"/>
  <c r="F33" i="51"/>
  <c r="E33" i="51"/>
  <c r="C33" i="51"/>
  <c r="M30" i="51"/>
  <c r="N30" i="51" s="1"/>
  <c r="F30" i="51"/>
  <c r="E30" i="51"/>
  <c r="C30" i="51"/>
  <c r="M8" i="51"/>
  <c r="N8" i="51" s="1"/>
  <c r="F8" i="51"/>
  <c r="E8" i="51"/>
  <c r="C8" i="51"/>
  <c r="M19" i="51"/>
  <c r="N19" i="51" s="1"/>
  <c r="F19" i="51"/>
  <c r="E19" i="51"/>
  <c r="C19" i="51"/>
  <c r="M29" i="51"/>
  <c r="N29" i="51" s="1"/>
  <c r="F29" i="51"/>
  <c r="E29" i="51"/>
  <c r="C29" i="51"/>
  <c r="M35" i="51"/>
  <c r="N35" i="51" s="1"/>
  <c r="F35" i="51"/>
  <c r="E35" i="51"/>
  <c r="C35" i="51"/>
  <c r="K43" i="51" l="1"/>
  <c r="M44" i="51"/>
  <c r="N44" i="51" s="1"/>
  <c r="M46" i="51"/>
  <c r="N46" i="51" s="1"/>
  <c r="H43" i="51"/>
  <c r="L43" i="51"/>
  <c r="M41" i="51"/>
  <c r="N41" i="51" s="1"/>
  <c r="I43" i="51"/>
  <c r="M45" i="51"/>
  <c r="N45" i="51" s="1"/>
  <c r="M47" i="51"/>
  <c r="N47" i="51" s="1"/>
  <c r="G43" i="51"/>
  <c r="M43" i="51" l="1"/>
  <c r="N43" i="51" s="1"/>
</calcChain>
</file>

<file path=xl/comments1.xml><?xml version="1.0" encoding="utf-8"?>
<comments xmlns="http://schemas.openxmlformats.org/spreadsheetml/2006/main">
  <authors>
    <author>mdhm</author>
  </authors>
  <commentList>
    <comment ref="D67" authorId="0" shapeId="0">
      <text>
        <r>
          <rPr>
            <sz val="9"/>
            <color indexed="81"/>
            <rFont val="돋움"/>
            <family val="3"/>
            <charset val="129"/>
          </rPr>
          <t>고객배송비는</t>
        </r>
        <r>
          <rPr>
            <sz val="9"/>
            <color indexed="81"/>
            <rFont val="Tahoma"/>
            <family val="2"/>
          </rPr>
          <t xml:space="preserve"> AMD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마감</t>
        </r>
      </text>
    </comment>
  </commentList>
</comments>
</file>

<file path=xl/sharedStrings.xml><?xml version="1.0" encoding="utf-8"?>
<sst xmlns="http://schemas.openxmlformats.org/spreadsheetml/2006/main" count="1320" uniqueCount="431">
  <si>
    <t>구 분</t>
    <phoneticPr fontId="3" type="noConversion"/>
  </si>
  <si>
    <t>경 비 내 역</t>
    <phoneticPr fontId="3" type="noConversion"/>
  </si>
  <si>
    <t xml:space="preserve"> 매장명</t>
    <phoneticPr fontId="3" type="noConversion"/>
  </si>
  <si>
    <t>고객배송 택배비</t>
    <phoneticPr fontId="3" type="noConversion"/>
  </si>
  <si>
    <t>매장 수평 택배비</t>
    <phoneticPr fontId="3" type="noConversion"/>
  </si>
  <si>
    <t>매장경비</t>
    <phoneticPr fontId="3" type="noConversion"/>
  </si>
  <si>
    <t>계</t>
    <phoneticPr fontId="4" type="noConversion"/>
  </si>
  <si>
    <t>확인</t>
    <phoneticPr fontId="3" type="noConversion"/>
  </si>
  <si>
    <t>롯데영등포점</t>
    <phoneticPr fontId="4" type="noConversion"/>
  </si>
  <si>
    <t>롯데포항점</t>
    <phoneticPr fontId="4" type="noConversion"/>
  </si>
  <si>
    <t>현대천호점</t>
    <phoneticPr fontId="4" type="noConversion"/>
  </si>
  <si>
    <t>신세계광주점</t>
  </si>
  <si>
    <t>신세계본점</t>
    <phoneticPr fontId="3" type="noConversion"/>
  </si>
  <si>
    <t>신세계충청점</t>
  </si>
  <si>
    <t>AK프라자분당점</t>
  </si>
  <si>
    <t>AK프라자원주점</t>
    <phoneticPr fontId="3" type="noConversion"/>
  </si>
  <si>
    <t>롯데아울렛광명점</t>
    <phoneticPr fontId="3" type="noConversion"/>
  </si>
  <si>
    <t>롯데아울렛김해점</t>
    <phoneticPr fontId="3" type="noConversion"/>
  </si>
  <si>
    <t>모다아울렛인천점</t>
    <phoneticPr fontId="3" type="noConversion"/>
  </si>
  <si>
    <t>롯데관악점</t>
    <phoneticPr fontId="3" type="noConversion"/>
  </si>
  <si>
    <t>롯데아울렛광교점</t>
    <phoneticPr fontId="3" type="noConversion"/>
  </si>
  <si>
    <t>신세계대구점</t>
    <phoneticPr fontId="3" type="noConversion"/>
  </si>
  <si>
    <t>현대대구점</t>
    <phoneticPr fontId="4" type="noConversion"/>
  </si>
  <si>
    <t>신세계센텀점</t>
    <phoneticPr fontId="3" type="noConversion"/>
  </si>
  <si>
    <t>롯데강남점</t>
    <phoneticPr fontId="3" type="noConversion"/>
  </si>
  <si>
    <t xml:space="preserve">                     </t>
    <phoneticPr fontId="3" type="noConversion"/>
  </si>
  <si>
    <t>현대동구점</t>
    <phoneticPr fontId="3" type="noConversion"/>
  </si>
  <si>
    <t>롯데구리점</t>
  </si>
  <si>
    <t>롯데본점</t>
  </si>
  <si>
    <t>롯데대구점</t>
  </si>
  <si>
    <t>롯데수원점</t>
  </si>
  <si>
    <t>롯데창원점</t>
  </si>
  <si>
    <t>롯데인천터미널점</t>
  </si>
  <si>
    <t>신세계마산점</t>
  </si>
  <si>
    <t>신세계스타필드고양점</t>
  </si>
  <si>
    <t>갤러리아천안점</t>
  </si>
  <si>
    <t>마리오아울렛금천점</t>
  </si>
  <si>
    <t>롯데아울렛고양점</t>
  </si>
  <si>
    <t>롯데아울렛군산점</t>
  </si>
  <si>
    <t>모다아울렛행담도점</t>
  </si>
  <si>
    <t>본사지급</t>
    <phoneticPr fontId="3" type="noConversion"/>
  </si>
  <si>
    <t>비고란</t>
    <phoneticPr fontId="3" type="noConversion"/>
  </si>
  <si>
    <t>건수</t>
    <phoneticPr fontId="3" type="noConversion"/>
  </si>
  <si>
    <t>현대울산점</t>
    <phoneticPr fontId="4" type="noConversion"/>
  </si>
  <si>
    <t>롯데상인점</t>
    <phoneticPr fontId="3" type="noConversion"/>
  </si>
  <si>
    <t>롯데미아점</t>
    <phoneticPr fontId="3" type="noConversion"/>
  </si>
  <si>
    <t>롯데센텀점</t>
    <phoneticPr fontId="3" type="noConversion"/>
  </si>
  <si>
    <t>롯데부산본점</t>
    <phoneticPr fontId="3" type="noConversion"/>
  </si>
  <si>
    <t>롯데노원점</t>
    <phoneticPr fontId="3" type="noConversion"/>
  </si>
  <si>
    <t>롯데광복점</t>
    <phoneticPr fontId="3" type="noConversion"/>
  </si>
  <si>
    <t>롯데분당점</t>
    <phoneticPr fontId="4" type="noConversion"/>
  </si>
  <si>
    <t>현대무역점</t>
    <phoneticPr fontId="3" type="noConversion"/>
  </si>
  <si>
    <t>현대중동점</t>
    <phoneticPr fontId="4" type="noConversion"/>
  </si>
  <si>
    <t>현대판교점</t>
    <phoneticPr fontId="3" type="noConversion"/>
  </si>
  <si>
    <t>신세계영등포점</t>
    <phoneticPr fontId="3" type="noConversion"/>
  </si>
  <si>
    <t>신세계김해점</t>
    <phoneticPr fontId="3" type="noConversion"/>
  </si>
  <si>
    <t>신세계스타필드하남점</t>
    <phoneticPr fontId="3" type="noConversion"/>
  </si>
  <si>
    <t>롯데동래점</t>
    <phoneticPr fontId="3" type="noConversion"/>
  </si>
  <si>
    <t>롯데안산점</t>
    <phoneticPr fontId="3" type="noConversion"/>
  </si>
  <si>
    <t>기본수수료</t>
    <phoneticPr fontId="3" type="noConversion"/>
  </si>
  <si>
    <t>2월 합 계</t>
    <phoneticPr fontId="3" type="noConversion"/>
  </si>
  <si>
    <t>2020년 연 간 누 적</t>
    <phoneticPr fontId="3" type="noConversion"/>
  </si>
  <si>
    <t>현대천호점</t>
  </si>
  <si>
    <t>LF스퀘어양주점</t>
  </si>
  <si>
    <t>롯데아울렛김해점</t>
  </si>
  <si>
    <t>롯데광주점</t>
  </si>
  <si>
    <t>신세계본점</t>
  </si>
  <si>
    <t>신세계센텀점</t>
  </si>
  <si>
    <t>롯데아울렛기흥점</t>
  </si>
  <si>
    <t>현대충청점</t>
  </si>
  <si>
    <t>롯데잠실점</t>
  </si>
  <si>
    <t>롯데포항점</t>
  </si>
  <si>
    <t>현대판교점</t>
  </si>
  <si>
    <t>롯데평촌점</t>
  </si>
  <si>
    <t>현대대구점</t>
  </si>
  <si>
    <t>롯데아울렛광명점</t>
  </si>
  <si>
    <t>롯데부산본점</t>
  </si>
  <si>
    <t>현대울산점</t>
  </si>
  <si>
    <t>신세계대구점</t>
  </si>
  <si>
    <t>신세계경기점</t>
  </si>
  <si>
    <t>현대중동점</t>
  </si>
  <si>
    <t>롯데광복점</t>
  </si>
  <si>
    <t>롯데노원점</t>
  </si>
  <si>
    <t>롯데영등포점</t>
  </si>
  <si>
    <t>롯데아울렛광교점</t>
  </si>
  <si>
    <t>롯데분당점</t>
  </si>
  <si>
    <t>롯데아울렛이천점</t>
  </si>
  <si>
    <t>현대미아점</t>
  </si>
  <si>
    <t>롯데안산점</t>
  </si>
  <si>
    <t>롯데전주점</t>
  </si>
  <si>
    <t>신세계김해점</t>
  </si>
  <si>
    <t>롯데강남점</t>
  </si>
  <si>
    <t>롯데동래점</t>
  </si>
  <si>
    <t>현대동구점</t>
  </si>
  <si>
    <t>롯데관악점</t>
  </si>
  <si>
    <t>롯데미아점</t>
  </si>
  <si>
    <t>현대디큐브시티점</t>
  </si>
  <si>
    <t>롯데상인점</t>
  </si>
  <si>
    <t>롯데센텀점</t>
  </si>
  <si>
    <t>오프라인</t>
    <phoneticPr fontId="3" type="noConversion"/>
  </si>
  <si>
    <t>온라인</t>
    <phoneticPr fontId="3" type="noConversion"/>
  </si>
  <si>
    <t>매출대비 전체비율</t>
    <phoneticPr fontId="3" type="noConversion"/>
  </si>
  <si>
    <t>1월매출</t>
    <phoneticPr fontId="3" type="noConversion"/>
  </si>
  <si>
    <t>근로계약서</t>
    <phoneticPr fontId="3" type="noConversion"/>
  </si>
  <si>
    <t>갤러리아광교점</t>
  </si>
  <si>
    <t>롯데아울렛동부산점</t>
  </si>
  <si>
    <t>롯데아울렛동부산점</t>
    <phoneticPr fontId="3" type="noConversion"/>
  </si>
  <si>
    <t>1월 합 계</t>
    <phoneticPr fontId="3" type="noConversion"/>
  </si>
  <si>
    <t>3월 합 계</t>
  </si>
  <si>
    <t>OK</t>
    <phoneticPr fontId="3" type="noConversion"/>
  </si>
  <si>
    <t>대명지류(끈,포장지) - 증빙처리 완료</t>
    <phoneticPr fontId="3" type="noConversion"/>
  </si>
  <si>
    <t>4월 매출</t>
    <phoneticPr fontId="3" type="noConversion"/>
  </si>
  <si>
    <t>대도지물,문구류 지출증빙 완료</t>
    <phoneticPr fontId="3" type="noConversion"/>
  </si>
  <si>
    <t>시니어명찰</t>
    <phoneticPr fontId="3" type="noConversion"/>
  </si>
  <si>
    <t>문구류, 약속장 (지출증빙 완료)</t>
    <phoneticPr fontId="3" type="noConversion"/>
  </si>
  <si>
    <t>A4 용지 5,000원 (지출증빙 완료)</t>
    <phoneticPr fontId="3" type="noConversion"/>
  </si>
  <si>
    <t>다이소, 커피,종이컵,청소포,문구류(지출증빙 완료)</t>
    <phoneticPr fontId="3" type="noConversion"/>
  </si>
  <si>
    <t>종이쇼핑백 : 2,000원 (지출증빙 완료)</t>
    <phoneticPr fontId="3" type="noConversion"/>
  </si>
  <si>
    <t xml:space="preserve"> </t>
    <phoneticPr fontId="3" type="noConversion"/>
  </si>
  <si>
    <t xml:space="preserve">대도지물 : 17,000원 </t>
    <phoneticPr fontId="3" type="noConversion"/>
  </si>
  <si>
    <t>4월 합 계</t>
    <phoneticPr fontId="3" type="noConversion"/>
  </si>
  <si>
    <t>4월 합 계</t>
    <phoneticPr fontId="3" type="noConversion"/>
  </si>
  <si>
    <t>약속대장 : 60,000원 (지출증빙 완료)</t>
    <phoneticPr fontId="3" type="noConversion"/>
  </si>
  <si>
    <t>고객배송
기본택배비</t>
    <phoneticPr fontId="3" type="noConversion"/>
  </si>
  <si>
    <t>고객배송
택배업체</t>
    <phoneticPr fontId="3" type="noConversion"/>
  </si>
  <si>
    <t>수평,고객배송
 과다체크</t>
    <phoneticPr fontId="3" type="noConversion"/>
  </si>
  <si>
    <t>비고</t>
    <phoneticPr fontId="3" type="noConversion"/>
  </si>
  <si>
    <t>매출대비 
전체비율</t>
    <phoneticPr fontId="3" type="noConversion"/>
  </si>
  <si>
    <t>롯데울산점</t>
    <phoneticPr fontId="3" type="noConversion"/>
  </si>
  <si>
    <t>신세계타임스퀘어점</t>
  </si>
  <si>
    <t>롯데울산점</t>
  </si>
  <si>
    <t>롯데잠실점</t>
    <phoneticPr fontId="3" type="noConversion"/>
  </si>
  <si>
    <t>현대아울렛남양주점</t>
  </si>
  <si>
    <t>현대서울점</t>
  </si>
  <si>
    <t>롯데아울렛여수점</t>
  </si>
  <si>
    <t>롯데동탄점</t>
  </si>
  <si>
    <t>갤러리아진주점</t>
  </si>
  <si>
    <t>신세계대전점</t>
  </si>
  <si>
    <t>신세계천안아산점</t>
  </si>
  <si>
    <t>매출</t>
  </si>
  <si>
    <t>계</t>
  </si>
  <si>
    <t>전월대비</t>
  </si>
  <si>
    <t xml:space="preserve"> 건수 </t>
  </si>
  <si>
    <t xml:space="preserve"> 매장경비 </t>
  </si>
  <si>
    <t xml:space="preserve"> 배송 택배비  </t>
  </si>
  <si>
    <t xml:space="preserve"> 수평 택배비  </t>
  </si>
  <si>
    <t>매출대비 전체비율</t>
  </si>
  <si>
    <r>
      <t>7</t>
    </r>
    <r>
      <rPr>
        <b/>
        <sz val="10"/>
        <color rgb="FF000000"/>
        <rFont val="Arial"/>
        <family val="2"/>
      </rPr>
      <t>월</t>
    </r>
  </si>
  <si>
    <r>
      <t>2</t>
    </r>
    <r>
      <rPr>
        <sz val="10"/>
        <color rgb="FF000000"/>
        <rFont val="Arial"/>
        <family val="2"/>
      </rPr>
      <t xml:space="preserve">월 </t>
    </r>
    <r>
      <rPr>
        <sz val="10"/>
        <color rgb="FF000000"/>
        <rFont val="맑은 고딕"/>
        <family val="3"/>
        <charset val="129"/>
      </rPr>
      <t xml:space="preserve"> </t>
    </r>
  </si>
  <si>
    <r>
      <t>4</t>
    </r>
    <r>
      <rPr>
        <sz val="10"/>
        <color rgb="FF000000"/>
        <rFont val="Arial"/>
        <family val="2"/>
      </rPr>
      <t>월</t>
    </r>
    <r>
      <rPr>
        <sz val="10"/>
        <color rgb="FF000000"/>
        <rFont val="맑은 고딕"/>
        <family val="3"/>
        <charset val="129"/>
      </rPr>
      <t xml:space="preserve"> </t>
    </r>
  </si>
  <si>
    <r>
      <t>5</t>
    </r>
    <r>
      <rPr>
        <sz val="10"/>
        <color rgb="FF000000"/>
        <rFont val="Arial"/>
        <family val="2"/>
      </rPr>
      <t>월</t>
    </r>
    <r>
      <rPr>
        <sz val="10"/>
        <color rgb="FF000000"/>
        <rFont val="맑은 고딕"/>
        <family val="3"/>
        <charset val="129"/>
      </rPr>
      <t xml:space="preserve"> </t>
    </r>
  </si>
  <si>
    <r>
      <t>6</t>
    </r>
    <r>
      <rPr>
        <b/>
        <sz val="10"/>
        <color rgb="FF000000"/>
        <rFont val="Arial"/>
        <family val="2"/>
      </rPr>
      <t>월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 </t>
    </r>
  </si>
  <si>
    <r>
      <t>7</t>
    </r>
    <r>
      <rPr>
        <b/>
        <sz val="10"/>
        <color rgb="FF000000"/>
        <rFont val="Arial"/>
        <family val="2"/>
      </rPr>
      <t>월</t>
    </r>
    <r>
      <rPr>
        <b/>
        <sz val="10"/>
        <color rgb="FF000000"/>
        <rFont val="맑은 고딕"/>
        <family val="3"/>
        <charset val="129"/>
      </rPr>
      <t xml:space="preserve"> </t>
    </r>
  </si>
  <si>
    <t>신세계강남점</t>
  </si>
  <si>
    <t>8월</t>
    <phoneticPr fontId="3" type="noConversion"/>
  </si>
  <si>
    <t>신세계강남점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</si>
  <si>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</si>
  <si>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</si>
  <si>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</si>
  <si>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신세계아울렛파주점</t>
  </si>
  <si>
    <t>12월</t>
    <phoneticPr fontId="3" type="noConversion"/>
  </si>
  <si>
    <t>신세계아울렛파주점</t>
    <phoneticPr fontId="3" type="noConversion"/>
  </si>
  <si>
    <t>12월</t>
    <phoneticPr fontId="3" type="noConversion"/>
  </si>
  <si>
    <r>
      <t>* 2022</t>
    </r>
    <r>
      <rPr>
        <b/>
        <sz val="9"/>
        <color rgb="FFFF0000"/>
        <rFont val="돋움"/>
        <family val="3"/>
        <charset val="129"/>
      </rPr>
      <t>년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돋움"/>
        <family val="3"/>
        <charset val="129"/>
      </rPr>
      <t>매장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돋움"/>
        <family val="3"/>
        <charset val="129"/>
      </rPr>
      <t>경비내역</t>
    </r>
    <phoneticPr fontId="3" type="noConversion"/>
  </si>
  <si>
    <r>
      <t>* 2023</t>
    </r>
    <r>
      <rPr>
        <b/>
        <sz val="9"/>
        <color rgb="FFFF0000"/>
        <rFont val="돋움"/>
        <family val="3"/>
        <charset val="129"/>
      </rPr>
      <t>년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돋움"/>
        <family val="3"/>
        <charset val="129"/>
      </rPr>
      <t>매장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돋움"/>
        <family val="3"/>
        <charset val="129"/>
      </rPr>
      <t>경비내역</t>
    </r>
    <phoneticPr fontId="3" type="noConversion"/>
  </si>
  <si>
    <r>
      <t>1</t>
    </r>
    <r>
      <rPr>
        <sz val="10"/>
        <color rgb="FF000000"/>
        <rFont val="Arial"/>
        <family val="2"/>
      </rPr>
      <t xml:space="preserve">월 </t>
    </r>
    <r>
      <rPr>
        <sz val="10"/>
        <color rgb="FF000000"/>
        <rFont val="맑은 고딕"/>
        <family val="3"/>
        <charset val="129"/>
      </rPr>
      <t xml:space="preserve"> </t>
    </r>
  </si>
  <si>
    <t>신세계의정부점</t>
  </si>
  <si>
    <r>
      <t>3</t>
    </r>
    <r>
      <rPr>
        <b/>
        <sz val="10"/>
        <color rgb="FF000000"/>
        <rFont val="Arial"/>
        <family val="2"/>
      </rPr>
      <t>월</t>
    </r>
    <r>
      <rPr>
        <b/>
        <sz val="10"/>
        <color rgb="FF000000"/>
        <rFont val="맑은 고딕"/>
        <family val="3"/>
        <charset val="129"/>
      </rPr>
      <t xml:space="preserve"> </t>
    </r>
  </si>
  <si>
    <t>신세계의정부점</t>
    <phoneticPr fontId="3" type="noConversion"/>
  </si>
  <si>
    <t>신세계타임스퀘어점</t>
    <phoneticPr fontId="4" type="noConversion"/>
  </si>
  <si>
    <t>갤러리아타임월드점</t>
  </si>
  <si>
    <t>현대아울렛대전점</t>
  </si>
  <si>
    <r>
      <t>6</t>
    </r>
    <r>
      <rPr>
        <sz val="10"/>
        <color rgb="FF000000"/>
        <rFont val="Arial"/>
        <family val="2"/>
      </rPr>
      <t>월</t>
    </r>
    <r>
      <rPr>
        <sz val="10"/>
        <color rgb="FF000000"/>
        <rFont val="맑은 고딕"/>
        <family val="3"/>
        <charset val="129"/>
      </rPr>
      <t xml:space="preserve"> </t>
    </r>
  </si>
  <si>
    <t>현대목동점</t>
  </si>
  <si>
    <t>8월</t>
    <phoneticPr fontId="3" type="noConversion"/>
  </si>
  <si>
    <t>9월</t>
    <phoneticPr fontId="3" type="noConversion"/>
  </si>
  <si>
    <t>총 매출</t>
  </si>
  <si>
    <t>고객배송 택배비</t>
  </si>
  <si>
    <t>건수</t>
  </si>
  <si>
    <t>매장 수평 택배비</t>
  </si>
  <si>
    <t>매장경비</t>
  </si>
  <si>
    <t>매출대비 
전체비율</t>
  </si>
  <si>
    <t>1월 합 계</t>
  </si>
  <si>
    <t>2월 합 계</t>
  </si>
  <si>
    <t>4월 합 계</t>
  </si>
  <si>
    <t>5월 합 계</t>
  </si>
  <si>
    <t>6월 합 계</t>
  </si>
  <si>
    <t>7월 합 계</t>
  </si>
  <si>
    <t>8월 합 계</t>
  </si>
  <si>
    <t>9월 합 계</t>
  </si>
  <si>
    <t>10월 합 계</t>
  </si>
  <si>
    <t>11월 합 계</t>
  </si>
  <si>
    <t>12월 합 계</t>
  </si>
  <si>
    <t>2022년 연 간 누 적</t>
  </si>
  <si>
    <t>전년 대비 경 비 내 역</t>
    <phoneticPr fontId="3" type="noConversion"/>
  </si>
  <si>
    <t>전년 대비 매출</t>
    <phoneticPr fontId="3" type="noConversion"/>
  </si>
  <si>
    <t>전년대비</t>
    <phoneticPr fontId="3" type="noConversion"/>
  </si>
  <si>
    <t>매장명</t>
  </si>
  <si>
    <t>수량</t>
    <phoneticPr fontId="4" type="noConversion"/>
  </si>
  <si>
    <t>운임비(v-)</t>
    <phoneticPr fontId="4" type="noConversion"/>
  </si>
  <si>
    <t>직택배
시행기간</t>
    <phoneticPr fontId="3" type="noConversion"/>
  </si>
  <si>
    <t>코지네스트일산점</t>
  </si>
  <si>
    <t>김경훈 팀장</t>
  </si>
  <si>
    <t>(온)롯데잠실</t>
  </si>
  <si>
    <t>(온)롯데창원</t>
  </si>
  <si>
    <t>(온)신세계마산</t>
  </si>
  <si>
    <t>(온)신세계강남</t>
  </si>
  <si>
    <t>(온)신세계김해</t>
  </si>
  <si>
    <t>(온)갤러리아천안</t>
  </si>
  <si>
    <t>(온)롯데아울렛김해</t>
  </si>
  <si>
    <t>(온)롯데아울렛광명</t>
  </si>
  <si>
    <t>코지네스트평택점</t>
  </si>
  <si>
    <t>조용운 부장</t>
  </si>
  <si>
    <t>현대울산에디터샵점</t>
  </si>
  <si>
    <t>(온)롯데울산</t>
  </si>
  <si>
    <t>(온)롯데동래</t>
  </si>
  <si>
    <t>(온)롯데센텀</t>
  </si>
  <si>
    <t>(온)롯데부산본점</t>
  </si>
  <si>
    <t>(온)롯데광복</t>
  </si>
  <si>
    <t>(온)롯데본점</t>
  </si>
  <si>
    <t>(온)현대울산</t>
  </si>
  <si>
    <t>(온)현대울산에디터</t>
  </si>
  <si>
    <t>(온)신세계센텀</t>
  </si>
  <si>
    <t>(온)신세계대전</t>
  </si>
  <si>
    <t>(온)갤러리아타임월드</t>
  </si>
  <si>
    <t>(온)롯데아울렛동부산</t>
  </si>
  <si>
    <t>(온)현대아울렛대전</t>
  </si>
  <si>
    <t>코지네스트도곡점</t>
  </si>
  <si>
    <t>원태윤 차장</t>
  </si>
  <si>
    <t>현대서울에디터샵점</t>
  </si>
  <si>
    <t>(온)롯데관악</t>
  </si>
  <si>
    <t>(온)롯데강남</t>
  </si>
  <si>
    <t>(온)롯데포항</t>
  </si>
  <si>
    <t>(온)롯데평촌</t>
  </si>
  <si>
    <t>(온)롯데노원</t>
  </si>
  <si>
    <t>(온)롯데수원</t>
  </si>
  <si>
    <t>(온)롯데전주</t>
  </si>
  <si>
    <t>(온)현대서울</t>
  </si>
  <si>
    <t>(온)현대서울에디터</t>
  </si>
  <si>
    <t>(온)갤러리아진주</t>
  </si>
  <si>
    <t>(온)롯데아울렛군산</t>
  </si>
  <si>
    <t>안정우 팀장</t>
  </si>
  <si>
    <t>김현우 주임</t>
  </si>
  <si>
    <t>유동혁 과장</t>
  </si>
  <si>
    <t>유정훈 대리</t>
  </si>
  <si>
    <t>신세계스타필드하남점</t>
  </si>
  <si>
    <t>담당자</t>
    <phoneticPr fontId="3" type="noConversion"/>
  </si>
  <si>
    <t>유동혁
과장</t>
    <phoneticPr fontId="3" type="noConversion"/>
  </si>
  <si>
    <t>안정우
팀장</t>
    <phoneticPr fontId="3" type="noConversion"/>
  </si>
  <si>
    <t>원태윤
차장</t>
    <phoneticPr fontId="3" type="noConversion"/>
  </si>
  <si>
    <t>4월 매출</t>
    <phoneticPr fontId="3" type="noConversion"/>
  </si>
  <si>
    <t>매출대비 
전체비율</t>
    <phoneticPr fontId="3" type="noConversion"/>
  </si>
  <si>
    <t>확인</t>
    <phoneticPr fontId="3" type="noConversion"/>
  </si>
  <si>
    <t>비고란</t>
    <phoneticPr fontId="3" type="noConversion"/>
  </si>
  <si>
    <t>근로계약서</t>
    <phoneticPr fontId="3" type="noConversion"/>
  </si>
  <si>
    <t>고객배송
기본택배비</t>
    <phoneticPr fontId="3" type="noConversion"/>
  </si>
  <si>
    <t>고객배송
택배업체</t>
    <phoneticPr fontId="3" type="noConversion"/>
  </si>
  <si>
    <t>비고</t>
    <phoneticPr fontId="3" type="noConversion"/>
  </si>
  <si>
    <t>수평,고객배송
 과다체크</t>
    <phoneticPr fontId="3" type="noConversion"/>
  </si>
  <si>
    <t>롯데잠실점</t>
    <phoneticPr fontId="3" type="noConversion"/>
  </si>
  <si>
    <t>쇼핑백 구입</t>
    <phoneticPr fontId="3" type="noConversion"/>
  </si>
  <si>
    <t>O</t>
    <phoneticPr fontId="3" type="noConversion"/>
  </si>
  <si>
    <t>한진</t>
    <phoneticPr fontId="3" type="noConversion"/>
  </si>
  <si>
    <t>롯데관악점</t>
    <phoneticPr fontId="3" type="noConversion"/>
  </si>
  <si>
    <t>쇼핑백 구입 등</t>
    <phoneticPr fontId="3" type="noConversion"/>
  </si>
  <si>
    <t>롯데</t>
    <phoneticPr fontId="3" type="noConversion"/>
  </si>
  <si>
    <t>롯데광주점</t>
    <phoneticPr fontId="4" type="noConversion"/>
  </si>
  <si>
    <t>롯데강남점</t>
    <phoneticPr fontId="3" type="noConversion"/>
  </si>
  <si>
    <t>롯데포항점</t>
    <phoneticPr fontId="4" type="noConversion"/>
  </si>
  <si>
    <t>롯데울산점</t>
    <phoneticPr fontId="3" type="noConversion"/>
  </si>
  <si>
    <t>예단 부직포 구입</t>
    <phoneticPr fontId="3" type="noConversion"/>
  </si>
  <si>
    <t>롯데동래점</t>
    <phoneticPr fontId="3" type="noConversion"/>
  </si>
  <si>
    <t xml:space="preserve">본사서류 </t>
    <phoneticPr fontId="3" type="noConversion"/>
  </si>
  <si>
    <t>롯데동탄점</t>
    <phoneticPr fontId="3" type="noConversion"/>
  </si>
  <si>
    <t>X</t>
    <phoneticPr fontId="3" type="noConversion"/>
  </si>
  <si>
    <t>로젠</t>
    <phoneticPr fontId="3" type="noConversion"/>
  </si>
  <si>
    <t>롯데상인점</t>
    <phoneticPr fontId="3" type="noConversion"/>
  </si>
  <si>
    <t>대림</t>
    <phoneticPr fontId="3" type="noConversion"/>
  </si>
  <si>
    <t>롯데미아점</t>
    <phoneticPr fontId="3" type="noConversion"/>
  </si>
  <si>
    <t>본사 서류 택배비</t>
    <phoneticPr fontId="3" type="noConversion"/>
  </si>
  <si>
    <t>롯데영등포점</t>
    <phoneticPr fontId="4" type="noConversion"/>
  </si>
  <si>
    <t>롯데센텀점</t>
    <phoneticPr fontId="3" type="noConversion"/>
  </si>
  <si>
    <t>롯데부산본점</t>
    <phoneticPr fontId="3" type="noConversion"/>
  </si>
  <si>
    <t>롯데평촌점</t>
    <phoneticPr fontId="4" type="noConversion"/>
  </si>
  <si>
    <t>롯데안산점</t>
    <phoneticPr fontId="3" type="noConversion"/>
  </si>
  <si>
    <t>롯데노원점</t>
    <phoneticPr fontId="3" type="noConversion"/>
  </si>
  <si>
    <t>본사 서류 택배</t>
    <phoneticPr fontId="3" type="noConversion"/>
  </si>
  <si>
    <t>롯데광복점</t>
    <phoneticPr fontId="3" type="noConversion"/>
  </si>
  <si>
    <t xml:space="preserve">                     </t>
    <phoneticPr fontId="3" type="noConversion"/>
  </si>
  <si>
    <t>롯데전주점</t>
    <phoneticPr fontId="3" type="noConversion"/>
  </si>
  <si>
    <t>물품 구입 등</t>
    <phoneticPr fontId="3" type="noConversion"/>
  </si>
  <si>
    <t>롯데분당점</t>
    <phoneticPr fontId="4" type="noConversion"/>
  </si>
  <si>
    <t>현대천호점</t>
    <phoneticPr fontId="4" type="noConversion"/>
  </si>
  <si>
    <t>현대울산점</t>
    <phoneticPr fontId="4" type="noConversion"/>
  </si>
  <si>
    <t>현대중동점</t>
    <phoneticPr fontId="4" type="noConversion"/>
  </si>
  <si>
    <t>현대미아점</t>
    <phoneticPr fontId="4" type="noConversion"/>
  </si>
  <si>
    <t>현대대구점</t>
    <phoneticPr fontId="4" type="noConversion"/>
  </si>
  <si>
    <t>현대충청점</t>
    <phoneticPr fontId="4" type="noConversion"/>
  </si>
  <si>
    <t>쇼핑백 구입 등 / 지출증빙 완료</t>
    <phoneticPr fontId="3" type="noConversion"/>
  </si>
  <si>
    <t>현대디큐브시티점</t>
    <phoneticPr fontId="3" type="noConversion"/>
  </si>
  <si>
    <t>현대동구점</t>
    <phoneticPr fontId="3" type="noConversion"/>
  </si>
  <si>
    <t>현대판교점</t>
    <phoneticPr fontId="3" type="noConversion"/>
  </si>
  <si>
    <t>현대서울점</t>
    <phoneticPr fontId="3" type="noConversion"/>
  </si>
  <si>
    <t>소모품 구입</t>
    <phoneticPr fontId="3" type="noConversion"/>
  </si>
  <si>
    <t>신세계의정부점</t>
    <phoneticPr fontId="3" type="noConversion"/>
  </si>
  <si>
    <t>소모품 구입 등 / 지출증빙 완료</t>
    <phoneticPr fontId="3" type="noConversion"/>
  </si>
  <si>
    <t>신세계강남점</t>
    <phoneticPr fontId="3" type="noConversion"/>
  </si>
  <si>
    <t>압축백 구입 외</t>
    <phoneticPr fontId="3" type="noConversion"/>
  </si>
  <si>
    <t>신세계경기점</t>
    <phoneticPr fontId="4" type="noConversion"/>
  </si>
  <si>
    <t>신세계센텀점</t>
    <phoneticPr fontId="3" type="noConversion"/>
  </si>
  <si>
    <t>신세계타임스퀘어점</t>
    <phoneticPr fontId="4" type="noConversion"/>
  </si>
  <si>
    <t>신세계천안아산점</t>
    <phoneticPr fontId="3" type="noConversion"/>
  </si>
  <si>
    <t>신세계김해점</t>
    <phoneticPr fontId="3" type="noConversion"/>
  </si>
  <si>
    <t>본사서류</t>
    <phoneticPr fontId="3" type="noConversion"/>
  </si>
  <si>
    <t>신세계스타필드하남점</t>
    <phoneticPr fontId="3" type="noConversion"/>
  </si>
  <si>
    <t>신세계대구점</t>
    <phoneticPr fontId="3" type="noConversion"/>
  </si>
  <si>
    <t>신세계대전점</t>
    <phoneticPr fontId="3" type="noConversion"/>
  </si>
  <si>
    <t>서연물류</t>
    <phoneticPr fontId="3" type="noConversion"/>
  </si>
  <si>
    <t>갤러리아광교점</t>
    <phoneticPr fontId="3" type="noConversion"/>
  </si>
  <si>
    <t>갤러리아진주점</t>
    <phoneticPr fontId="3" type="noConversion"/>
  </si>
  <si>
    <t>신세계본점</t>
    <phoneticPr fontId="3" type="noConversion"/>
  </si>
  <si>
    <t>본사 서류</t>
    <phoneticPr fontId="3" type="noConversion"/>
  </si>
  <si>
    <t>롯데아울렛김해점</t>
    <phoneticPr fontId="3" type="noConversion"/>
  </si>
  <si>
    <t>롯데아울렛이천점</t>
    <phoneticPr fontId="3" type="noConversion"/>
  </si>
  <si>
    <t>롯데아울렛광명점</t>
    <phoneticPr fontId="3" type="noConversion"/>
  </si>
  <si>
    <t>본사 서류 택배 외</t>
    <phoneticPr fontId="3" type="noConversion"/>
  </si>
  <si>
    <t>롯데아울렛광교점</t>
    <phoneticPr fontId="3" type="noConversion"/>
  </si>
  <si>
    <t>롯데아울렛동부산점</t>
    <phoneticPr fontId="3" type="noConversion"/>
  </si>
  <si>
    <t>심의건 등</t>
    <phoneticPr fontId="3" type="noConversion"/>
  </si>
  <si>
    <t>롯데아울렛기흥점</t>
    <phoneticPr fontId="4" type="noConversion"/>
  </si>
  <si>
    <t>롯데아울렛광주수완점</t>
    <phoneticPr fontId="3" type="noConversion"/>
  </si>
  <si>
    <t>롯데아울렛월드컵점</t>
    <phoneticPr fontId="3" type="noConversion"/>
  </si>
  <si>
    <t>롯데아울렛여수점</t>
    <phoneticPr fontId="3" type="noConversion"/>
  </si>
  <si>
    <t>LF스퀘어양주점</t>
    <phoneticPr fontId="4" type="noConversion"/>
  </si>
  <si>
    <t>현대아울렛대전점</t>
    <phoneticPr fontId="4" type="noConversion"/>
  </si>
  <si>
    <t>신세계아울렛파주점</t>
    <phoneticPr fontId="3" type="noConversion"/>
  </si>
  <si>
    <t>청소용품 구입</t>
    <phoneticPr fontId="3" type="noConversion"/>
  </si>
  <si>
    <t>현대아울렛남양주점</t>
    <phoneticPr fontId="4" type="noConversion"/>
  </si>
  <si>
    <t>4월 합 계</t>
    <phoneticPr fontId="3" type="noConversion"/>
  </si>
  <si>
    <t>총 매출</t>
    <phoneticPr fontId="3" type="noConversion"/>
  </si>
  <si>
    <t>고객배송 택배비</t>
    <phoneticPr fontId="3" type="noConversion"/>
  </si>
  <si>
    <t>건수</t>
    <phoneticPr fontId="3" type="noConversion"/>
  </si>
  <si>
    <t>매장 수평 택배비</t>
    <phoneticPr fontId="3" type="noConversion"/>
  </si>
  <si>
    <t>매장경비</t>
    <phoneticPr fontId="3" type="noConversion"/>
  </si>
  <si>
    <t>계</t>
    <phoneticPr fontId="4" type="noConversion"/>
  </si>
  <si>
    <t>매출대비 
전체비율</t>
    <phoneticPr fontId="3" type="noConversion"/>
  </si>
  <si>
    <t>2023년 연 간 누 적</t>
    <phoneticPr fontId="3" type="noConversion"/>
  </si>
  <si>
    <t>1월 합 계</t>
    <phoneticPr fontId="3" type="noConversion"/>
  </si>
  <si>
    <t>3월 합 계</t>
    <phoneticPr fontId="3" type="noConversion"/>
  </si>
  <si>
    <t>5월 합 계</t>
    <phoneticPr fontId="3" type="noConversion"/>
  </si>
  <si>
    <t>10월 합 계</t>
    <phoneticPr fontId="3" type="noConversion"/>
  </si>
  <si>
    <t xml:space="preserve"> </t>
    <phoneticPr fontId="3" type="noConversion"/>
  </si>
  <si>
    <t>6월 합 계</t>
    <phoneticPr fontId="3" type="noConversion"/>
  </si>
  <si>
    <t>7월 합 계</t>
    <phoneticPr fontId="3" type="noConversion"/>
  </si>
  <si>
    <t>NO.</t>
    <phoneticPr fontId="3" type="noConversion"/>
  </si>
  <si>
    <t>9월 합 계</t>
    <phoneticPr fontId="3" type="noConversion"/>
  </si>
  <si>
    <t>갤러리아진주점</t>
    <phoneticPr fontId="3" type="noConversion"/>
  </si>
  <si>
    <t>2024년 연 간 누 적</t>
    <phoneticPr fontId="3" type="noConversion"/>
  </si>
  <si>
    <t>No.</t>
  </si>
  <si>
    <t>매장코드</t>
  </si>
  <si>
    <t>카드매출</t>
  </si>
  <si>
    <t>현금매출</t>
  </si>
  <si>
    <t>전년대비진행률</t>
  </si>
  <si>
    <t>목표매출</t>
  </si>
  <si>
    <t>매출차트</t>
  </si>
  <si>
    <t>현대아울렛송도점</t>
  </si>
  <si>
    <t>ET_구성점</t>
  </si>
  <si>
    <t>ET_킨텍스점</t>
  </si>
  <si>
    <t>ET_송림점</t>
  </si>
  <si>
    <t>ET_월평점</t>
  </si>
  <si>
    <t>ET_군포점</t>
  </si>
  <si>
    <t>ET_천안점</t>
  </si>
  <si>
    <t>ET_부천점</t>
  </si>
  <si>
    <t>ET_안산점</t>
  </si>
  <si>
    <t>ET_월계점</t>
  </si>
  <si>
    <t>ET_안성점</t>
  </si>
  <si>
    <t>ET_수원점</t>
  </si>
  <si>
    <t>ET_동탄점</t>
  </si>
  <si>
    <t>ET_화서점</t>
  </si>
  <si>
    <t>신세계팩토리점</t>
  </si>
  <si>
    <t>Total</t>
  </si>
  <si>
    <t>현대신촌점</t>
  </si>
  <si>
    <t>현대신촌점</t>
    <phoneticPr fontId="3" type="noConversion"/>
  </si>
  <si>
    <t>AK프라자수원점</t>
  </si>
  <si>
    <t>AK프라자수원점</t>
    <phoneticPr fontId="3" type="noConversion"/>
  </si>
  <si>
    <t>현대킨텍스점</t>
  </si>
  <si>
    <t>현대킨텍스점</t>
    <phoneticPr fontId="3" type="noConversion"/>
  </si>
  <si>
    <t>현대압구정본점</t>
  </si>
  <si>
    <t>CJ오쇼핑(홈쇼핑2)</t>
  </si>
  <si>
    <t>ET_하남점</t>
  </si>
  <si>
    <t>현대아울렛청주점</t>
  </si>
  <si>
    <t>26년 경 비 내 역</t>
    <phoneticPr fontId="3" type="noConversion"/>
  </si>
  <si>
    <t>25년 경 비 내 역</t>
    <phoneticPr fontId="3" type="noConversion"/>
  </si>
  <si>
    <t>대도지물 예단포장지 구매</t>
    <phoneticPr fontId="3" type="noConversion"/>
  </si>
  <si>
    <t>2026년 연 간 누 적</t>
    <phoneticPr fontId="3" type="noConversion"/>
  </si>
  <si>
    <t>전년 동월대비진행률</t>
  </si>
  <si>
    <t>전년누적 매출25년 01월~12월</t>
  </si>
  <si>
    <t>지급안함</t>
  </si>
  <si>
    <t>중간관리</t>
  </si>
  <si>
    <t>근로소득매장</t>
  </si>
  <si>
    <t>경비 미입력매장</t>
    <phoneticPr fontId="3" type="noConversion"/>
  </si>
  <si>
    <t>김영완과장</t>
  </si>
  <si>
    <t>원태윤차장</t>
  </si>
  <si>
    <t>유동혁과장</t>
  </si>
  <si>
    <t>김경훈팀장</t>
  </si>
  <si>
    <t>안정우팀장</t>
  </si>
  <si>
    <t>신세계아울렛부산점</t>
  </si>
  <si>
    <t>폐점-현대아울렛가든</t>
  </si>
  <si>
    <t>담 당 자</t>
  </si>
  <si>
    <t>매    장    명</t>
  </si>
  <si>
    <t>비 고 1</t>
  </si>
  <si>
    <t>비 고 2</t>
  </si>
  <si>
    <t>도착</t>
  </si>
  <si>
    <t>비고</t>
  </si>
  <si>
    <t>본사지급</t>
  </si>
  <si>
    <t>롯데잠실캐슬프라자점</t>
  </si>
  <si>
    <t>폐점-현대목동점</t>
  </si>
  <si>
    <t>26년 5월 매출</t>
  </si>
  <si>
    <t>25년 5월 매출</t>
  </si>
  <si>
    <t>26년  5월</t>
  </si>
  <si>
    <t>근로소득매장및직영점</t>
  </si>
  <si>
    <t>SUM</t>
  </si>
  <si>
    <t>김영완과장</t>
    <phoneticPr fontId="3" type="noConversion"/>
  </si>
  <si>
    <t>유동혁과장</t>
    <phoneticPr fontId="3" type="noConversion"/>
  </si>
  <si>
    <t>일매출26-05-31</t>
  </si>
  <si>
    <t>기간매출26-05-01 ~ 26-05-31</t>
  </si>
  <si>
    <t>월 누적 매출26-05-01~ 26-05-31</t>
  </si>
  <si>
    <t>년 누적 매출26-01-01~ 26-05-31</t>
  </si>
  <si>
    <t>전년 동월매출25-05-31</t>
  </si>
  <si>
    <t>김영완
과장</t>
    <phoneticPr fontId="3" type="noConversion"/>
  </si>
  <si>
    <t>김경훈
팀장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</si>
</sst>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0.0%"/>
    <numFmt numFmtId="177" formatCode="\###0;[Red]\-\###0"/>
    <numFmt numFmtId="178" formatCode="#,##0_ "/>
    <numFmt numFmtId="179" formatCode="0_ "/>
    <numFmt numFmtId="180" formatCode="mm&quot;월&quot;\ dd&quot;일&quot;"/>
    <numFmt numFmtId="181" formatCode="#,##0_ ;[Red]\-#,##0\ "/>
  </numFmts>
  <fonts count="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돋움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6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8"/>
      <color rgb="FF000000"/>
      <name val="Arial"/>
      <family val="2"/>
    </font>
    <font>
      <sz val="10"/>
      <color rgb="FF000000"/>
      <name val="돋움"/>
      <family val="3"/>
      <charset val="129"/>
    </font>
    <font>
      <sz val="10"/>
      <name val="Arial"/>
      <family val="2"/>
    </font>
    <font>
      <b/>
      <sz val="9"/>
      <color rgb="FFFF0000"/>
      <name val="맑은 고딕"/>
      <family val="3"/>
      <charset val="129"/>
    </font>
    <font>
      <b/>
      <sz val="9"/>
      <color rgb="FFFF0000"/>
      <name val="돋움"/>
      <family val="3"/>
      <charset val="129"/>
    </font>
    <font>
      <b/>
      <sz val="9"/>
      <color rgb="FFFF0000"/>
      <name val="Arial"/>
      <family val="2"/>
    </font>
    <font>
      <b/>
      <sz val="1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0"/>
      <color indexed="8"/>
      <name val="돋움"/>
      <family val="3"/>
      <charset val="129"/>
    </font>
    <font>
      <b/>
      <sz val="11"/>
      <color indexed="8"/>
      <name val="맑은고딕"/>
      <family val="3"/>
      <charset val="129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b/>
      <sz val="11"/>
      <name val="Calibri"/>
      <family val="2"/>
    </font>
    <font>
      <b/>
      <sz val="11"/>
      <name val="돋움"/>
      <family val="3"/>
      <charset val="129"/>
    </font>
    <font>
      <sz val="9"/>
      <color rgb="FF006100"/>
      <name val="돋움체"/>
      <family val="2"/>
      <charset val="129"/>
    </font>
    <font>
      <b/>
      <sz val="11"/>
      <color rgb="FFC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C0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9DF99D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/>
    <xf numFmtId="177" fontId="17" fillId="0" borderId="0" applyFont="0" applyFill="0" applyProtection="0"/>
    <xf numFmtId="0" fontId="32" fillId="15" borderId="0" applyNumberFormat="0" applyBorder="0" applyAlignment="0" applyProtection="0">
      <alignment vertical="center"/>
    </xf>
  </cellStyleXfs>
  <cellXfs count="282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41" fontId="2" fillId="0" borderId="0" xfId="1" applyFont="1" applyAlignment="1">
      <alignment horizontal="right" wrapText="1"/>
    </xf>
    <xf numFmtId="41" fontId="2" fillId="0" borderId="0" xfId="1" applyFont="1" applyAlignment="1">
      <alignment wrapText="1"/>
    </xf>
    <xf numFmtId="41" fontId="2" fillId="4" borderId="7" xfId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/>
    </xf>
    <xf numFmtId="0" fontId="5" fillId="2" borderId="8" xfId="0" applyFont="1" applyFill="1" applyBorder="1">
      <alignment vertical="center"/>
    </xf>
    <xf numFmtId="41" fontId="5" fillId="3" borderId="1" xfId="1" applyFont="1" applyFill="1" applyBorder="1" applyAlignment="1">
      <alignment horizontal="right" vertical="center"/>
    </xf>
    <xf numFmtId="41" fontId="5" fillId="3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0" xfId="0" applyNumberFormat="1" applyFont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41" fontId="2" fillId="5" borderId="7" xfId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 wrapText="1"/>
    </xf>
    <xf numFmtId="9" fontId="5" fillId="0" borderId="0" xfId="2" applyFont="1" applyAlignment="1">
      <alignment horizontal="center" wrapText="1"/>
    </xf>
    <xf numFmtId="41" fontId="6" fillId="3" borderId="4" xfId="1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 wrapText="1"/>
    </xf>
    <xf numFmtId="41" fontId="6" fillId="3" borderId="3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41" fontId="5" fillId="3" borderId="10" xfId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5" fillId="0" borderId="10" xfId="1" applyFont="1" applyFill="1" applyBorder="1" applyAlignment="1">
      <alignment horizontal="center" vertical="center"/>
    </xf>
    <xf numFmtId="41" fontId="5" fillId="0" borderId="1" xfId="1" applyFont="1" applyFill="1" applyBorder="1" applyAlignment="1">
      <alignment horizontal="right" vertical="center"/>
    </xf>
    <xf numFmtId="41" fontId="5" fillId="0" borderId="1" xfId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41" fontId="5" fillId="6" borderId="5" xfId="1" applyFont="1" applyFill="1" applyBorder="1" applyAlignment="1">
      <alignment horizontal="center" vertical="center"/>
    </xf>
    <xf numFmtId="41" fontId="5" fillId="0" borderId="2" xfId="1" applyFont="1" applyFill="1" applyBorder="1" applyAlignment="1">
      <alignment horizontal="center" vertical="center"/>
    </xf>
    <xf numFmtId="41" fontId="5" fillId="0" borderId="1" xfId="1" applyFont="1" applyFill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41" fontId="5" fillId="0" borderId="3" xfId="1" applyFont="1" applyFill="1" applyBorder="1" applyAlignment="1">
      <alignment horizontal="right" vertical="center"/>
    </xf>
    <xf numFmtId="41" fontId="5" fillId="0" borderId="3" xfId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1" fontId="5" fillId="0" borderId="4" xfId="1" applyFont="1" applyFill="1" applyBorder="1" applyAlignment="1">
      <alignment horizontal="center" vertical="center"/>
    </xf>
    <xf numFmtId="0" fontId="5" fillId="0" borderId="8" xfId="0" applyFont="1" applyBorder="1">
      <alignment vertical="center"/>
    </xf>
    <xf numFmtId="41" fontId="2" fillId="3" borderId="9" xfId="0" applyNumberFormat="1" applyFont="1" applyFill="1" applyBorder="1" applyAlignment="1">
      <alignment horizontal="center" vertical="center"/>
    </xf>
    <xf numFmtId="176" fontId="5" fillId="6" borderId="13" xfId="2" applyNumberFormat="1" applyFont="1" applyFill="1" applyBorder="1" applyAlignment="1">
      <alignment horizontal="center" vertical="center"/>
    </xf>
    <xf numFmtId="41" fontId="6" fillId="3" borderId="4" xfId="1" applyFont="1" applyFill="1" applyBorder="1" applyAlignment="1">
      <alignment horizontal="center" vertical="center" wrapText="1"/>
    </xf>
    <xf numFmtId="41" fontId="5" fillId="5" borderId="10" xfId="1" applyFont="1" applyFill="1" applyBorder="1" applyAlignment="1">
      <alignment horizontal="center" vertical="center"/>
    </xf>
    <xf numFmtId="41" fontId="2" fillId="2" borderId="9" xfId="1" applyFont="1" applyFill="1" applyBorder="1" applyAlignment="1">
      <alignment horizontal="center" vertical="center"/>
    </xf>
    <xf numFmtId="41" fontId="2" fillId="6" borderId="9" xfId="1" applyFont="1" applyFill="1" applyBorder="1" applyAlignment="1">
      <alignment horizontal="center" vertical="center"/>
    </xf>
    <xf numFmtId="176" fontId="2" fillId="4" borderId="14" xfId="2" applyNumberFormat="1" applyFont="1" applyFill="1" applyBorder="1" applyAlignment="1">
      <alignment horizontal="right" vertical="center"/>
    </xf>
    <xf numFmtId="176" fontId="2" fillId="6" borderId="14" xfId="2" applyNumberFormat="1" applyFont="1" applyFill="1" applyBorder="1" applyAlignment="1">
      <alignment horizontal="center" vertical="center"/>
    </xf>
    <xf numFmtId="0" fontId="5" fillId="7" borderId="8" xfId="0" applyFont="1" applyFill="1" applyBorder="1">
      <alignment vertical="center"/>
    </xf>
    <xf numFmtId="0" fontId="2" fillId="7" borderId="9" xfId="0" applyFont="1" applyFill="1" applyBorder="1" applyAlignment="1">
      <alignment horizontal="center" vertical="center"/>
    </xf>
    <xf numFmtId="41" fontId="2" fillId="7" borderId="9" xfId="1" applyFont="1" applyFill="1" applyBorder="1" applyAlignment="1">
      <alignment horizontal="center" vertical="center"/>
    </xf>
    <xf numFmtId="176" fontId="2" fillId="7" borderId="14" xfId="2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41" fontId="5" fillId="10" borderId="2" xfId="1" applyFont="1" applyFill="1" applyBorder="1" applyAlignment="1">
      <alignment horizontal="center" vertical="center"/>
    </xf>
    <xf numFmtId="9" fontId="5" fillId="0" borderId="0" xfId="2" applyFont="1" applyBorder="1" applyAlignment="1">
      <alignment horizontal="center" wrapText="1"/>
    </xf>
    <xf numFmtId="41" fontId="2" fillId="0" borderId="0" xfId="1" applyFont="1" applyFill="1" applyBorder="1" applyAlignment="1">
      <alignment horizontal="center" vertical="center"/>
    </xf>
    <xf numFmtId="41" fontId="2" fillId="0" borderId="0" xfId="1" applyFont="1" applyFill="1" applyBorder="1" applyAlignment="1">
      <alignment horizontal="right" vertical="center"/>
    </xf>
    <xf numFmtId="176" fontId="2" fillId="0" borderId="0" xfId="2" applyNumberFormat="1" applyFont="1" applyFill="1" applyBorder="1" applyAlignment="1">
      <alignment horizontal="right" vertical="center"/>
    </xf>
    <xf numFmtId="0" fontId="8" fillId="0" borderId="0" xfId="0" applyFont="1">
      <alignment vertical="center"/>
    </xf>
    <xf numFmtId="0" fontId="13" fillId="0" borderId="18" xfId="0" applyFont="1" applyBorder="1" applyAlignment="1">
      <alignment horizontal="left" vertical="center" wrapText="1" readingOrder="1"/>
    </xf>
    <xf numFmtId="0" fontId="13" fillId="0" borderId="16" xfId="0" applyFont="1" applyBorder="1" applyAlignment="1">
      <alignment horizontal="center" vertical="center" wrapText="1" readingOrder="1"/>
    </xf>
    <xf numFmtId="0" fontId="14" fillId="0" borderId="16" xfId="0" applyFont="1" applyBorder="1" applyAlignment="1">
      <alignment horizontal="center" vertical="center" wrapText="1" readingOrder="1"/>
    </xf>
    <xf numFmtId="3" fontId="14" fillId="0" borderId="16" xfId="0" applyNumberFormat="1" applyFont="1" applyBorder="1" applyAlignment="1">
      <alignment horizontal="center" vertical="center" wrapText="1" readingOrder="1"/>
    </xf>
    <xf numFmtId="10" fontId="14" fillId="0" borderId="16" xfId="0" applyNumberFormat="1" applyFont="1" applyBorder="1" applyAlignment="1">
      <alignment horizontal="center" vertical="center" wrapText="1" readingOrder="1"/>
    </xf>
    <xf numFmtId="9" fontId="14" fillId="0" borderId="16" xfId="0" applyNumberFormat="1" applyFont="1" applyBorder="1" applyAlignment="1">
      <alignment horizontal="center" vertical="center" wrapText="1" readingOrder="1"/>
    </xf>
    <xf numFmtId="0" fontId="13" fillId="0" borderId="19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3" fillId="0" borderId="18" xfId="0" applyFont="1" applyBorder="1" applyAlignment="1">
      <alignment horizontal="center" vertical="center" wrapText="1" readingOrder="1"/>
    </xf>
    <xf numFmtId="0" fontId="15" fillId="0" borderId="16" xfId="0" applyFont="1" applyBorder="1" applyAlignment="1">
      <alignment horizontal="center" vertical="center" wrapText="1" readingOrder="1"/>
    </xf>
    <xf numFmtId="10" fontId="9" fillId="0" borderId="17" xfId="2" applyNumberFormat="1" applyFont="1" applyFill="1" applyBorder="1" applyAlignment="1">
      <alignment horizontal="center" vertical="center" wrapText="1" readingOrder="1"/>
    </xf>
    <xf numFmtId="3" fontId="12" fillId="11" borderId="16" xfId="0" applyNumberFormat="1" applyFont="1" applyFill="1" applyBorder="1" applyAlignment="1">
      <alignment horizontal="center" vertical="center" wrapText="1" readingOrder="1"/>
    </xf>
    <xf numFmtId="10" fontId="12" fillId="11" borderId="16" xfId="0" applyNumberFormat="1" applyFont="1" applyFill="1" applyBorder="1" applyAlignment="1">
      <alignment horizontal="center" vertical="center" wrapText="1" readingOrder="1"/>
    </xf>
    <xf numFmtId="0" fontId="12" fillId="11" borderId="16" xfId="0" applyFont="1" applyFill="1" applyBorder="1" applyAlignment="1">
      <alignment horizontal="center" vertical="center" wrapText="1" readingOrder="1"/>
    </xf>
    <xf numFmtId="9" fontId="12" fillId="11" borderId="16" xfId="0" applyNumberFormat="1" applyFont="1" applyFill="1" applyBorder="1" applyAlignment="1">
      <alignment horizontal="center" vertical="center" wrapText="1" readingOrder="1"/>
    </xf>
    <xf numFmtId="0" fontId="16" fillId="0" borderId="16" xfId="0" applyFont="1" applyBorder="1" applyAlignment="1">
      <alignment horizontal="center" vertical="center" wrapText="1" readingOrder="1"/>
    </xf>
    <xf numFmtId="0" fontId="14" fillId="0" borderId="16" xfId="0" applyFont="1" applyBorder="1" applyAlignment="1">
      <alignment horizontal="center" vertical="center" readingOrder="1"/>
    </xf>
    <xf numFmtId="3" fontId="12" fillId="0" borderId="16" xfId="0" applyNumberFormat="1" applyFont="1" applyBorder="1" applyAlignment="1">
      <alignment horizontal="center" vertical="center" wrapText="1" readingOrder="1"/>
    </xf>
    <xf numFmtId="0" fontId="12" fillId="0" borderId="16" xfId="0" applyFont="1" applyBorder="1" applyAlignment="1">
      <alignment horizontal="center" vertical="center" wrapText="1" readingOrder="1"/>
    </xf>
    <xf numFmtId="0" fontId="10" fillId="0" borderId="16" xfId="0" applyFont="1" applyBorder="1" applyAlignment="1">
      <alignment horizontal="center" vertical="center" wrapText="1" readingOrder="1"/>
    </xf>
    <xf numFmtId="10" fontId="12" fillId="0" borderId="16" xfId="0" applyNumberFormat="1" applyFont="1" applyBorder="1" applyAlignment="1">
      <alignment horizontal="center" vertical="center" wrapText="1" readingOrder="1"/>
    </xf>
    <xf numFmtId="9" fontId="12" fillId="0" borderId="16" xfId="0" applyNumberFormat="1" applyFont="1" applyBorder="1" applyAlignment="1">
      <alignment horizontal="center" vertical="center" wrapText="1" readingOrder="1"/>
    </xf>
    <xf numFmtId="10" fontId="12" fillId="12" borderId="16" xfId="0" applyNumberFormat="1" applyFont="1" applyFill="1" applyBorder="1" applyAlignment="1">
      <alignment horizontal="center" vertical="center" wrapText="1" readingOrder="1"/>
    </xf>
    <xf numFmtId="0" fontId="10" fillId="12" borderId="16" xfId="0" applyFont="1" applyFill="1" applyBorder="1" applyAlignment="1">
      <alignment horizontal="center" vertical="center" wrapText="1" readingOrder="1"/>
    </xf>
    <xf numFmtId="3" fontId="12" fillId="12" borderId="16" xfId="0" applyNumberFormat="1" applyFont="1" applyFill="1" applyBorder="1" applyAlignment="1">
      <alignment horizontal="center" vertical="center" wrapText="1" readingOrder="1"/>
    </xf>
    <xf numFmtId="0" fontId="12" fillId="12" borderId="16" xfId="0" applyFont="1" applyFill="1" applyBorder="1" applyAlignment="1">
      <alignment horizontal="center" vertical="center" wrapText="1" readingOrder="1"/>
    </xf>
    <xf numFmtId="9" fontId="12" fillId="12" borderId="16" xfId="0" applyNumberFormat="1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/>
    </xf>
    <xf numFmtId="41" fontId="2" fillId="2" borderId="3" xfId="1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41" fontId="2" fillId="7" borderId="1" xfId="1" applyFont="1" applyFill="1" applyBorder="1" applyAlignment="1">
      <alignment horizontal="center" vertical="center"/>
    </xf>
    <xf numFmtId="176" fontId="2" fillId="4" borderId="1" xfId="2" applyNumberFormat="1" applyFont="1" applyFill="1" applyBorder="1" applyAlignment="1">
      <alignment horizontal="right" vertical="center"/>
    </xf>
    <xf numFmtId="41" fontId="2" fillId="4" borderId="1" xfId="1" applyFont="1" applyFill="1" applyBorder="1" applyAlignment="1">
      <alignment horizontal="right" vertical="center"/>
    </xf>
    <xf numFmtId="41" fontId="2" fillId="5" borderId="1" xfId="1" applyFont="1" applyFill="1" applyBorder="1" applyAlignment="1">
      <alignment horizontal="right" vertical="center"/>
    </xf>
    <xf numFmtId="41" fontId="5" fillId="9" borderId="1" xfId="1" applyFont="1" applyFill="1" applyBorder="1" applyAlignment="1">
      <alignment horizontal="right" vertical="center"/>
    </xf>
    <xf numFmtId="41" fontId="5" fillId="9" borderId="1" xfId="1" applyFont="1" applyFill="1" applyBorder="1" applyAlignment="1">
      <alignment horizontal="center" vertical="center"/>
    </xf>
    <xf numFmtId="41" fontId="5" fillId="9" borderId="4" xfId="1" applyFont="1" applyFill="1" applyBorder="1" applyAlignment="1">
      <alignment horizontal="center" vertical="center"/>
    </xf>
    <xf numFmtId="41" fontId="5" fillId="3" borderId="4" xfId="1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 wrapText="1"/>
    </xf>
    <xf numFmtId="41" fontId="5" fillId="10" borderId="1" xfId="1" applyFont="1" applyFill="1" applyBorder="1" applyAlignment="1">
      <alignment horizontal="right" vertical="center"/>
    </xf>
    <xf numFmtId="41" fontId="6" fillId="0" borderId="1" xfId="1" applyFont="1" applyFill="1" applyBorder="1" applyAlignment="1">
      <alignment horizontal="center" vertical="center" wrapText="1"/>
    </xf>
    <xf numFmtId="41" fontId="6" fillId="0" borderId="1" xfId="1" applyFont="1" applyFill="1" applyBorder="1" applyAlignment="1">
      <alignment horizontal="center" vertical="center"/>
    </xf>
    <xf numFmtId="41" fontId="5" fillId="6" borderId="1" xfId="1" applyFont="1" applyFill="1" applyBorder="1" applyAlignment="1">
      <alignment horizontal="center" vertical="center"/>
    </xf>
    <xf numFmtId="41" fontId="5" fillId="0" borderId="0" xfId="1" applyFont="1" applyAlignment="1">
      <alignment horizontal="center" vertical="center"/>
    </xf>
    <xf numFmtId="41" fontId="5" fillId="3" borderId="4" xfId="1" applyFont="1" applyFill="1" applyBorder="1" applyAlignment="1">
      <alignment horizontal="center" vertical="center" wrapText="1"/>
    </xf>
    <xf numFmtId="41" fontId="5" fillId="9" borderId="3" xfId="1" applyFont="1" applyFill="1" applyBorder="1" applyAlignment="1">
      <alignment horizontal="right" vertical="center"/>
    </xf>
    <xf numFmtId="41" fontId="5" fillId="9" borderId="3" xfId="1" applyFont="1" applyFill="1" applyBorder="1" applyAlignment="1">
      <alignment horizontal="center" vertical="center"/>
    </xf>
    <xf numFmtId="41" fontId="5" fillId="7" borderId="3" xfId="1" applyFont="1" applyFill="1" applyBorder="1" applyAlignment="1">
      <alignment horizontal="right" vertical="center"/>
    </xf>
    <xf numFmtId="9" fontId="5" fillId="0" borderId="0" xfId="2" applyFont="1" applyAlignment="1"/>
    <xf numFmtId="0" fontId="24" fillId="0" borderId="31" xfId="3" applyFont="1" applyBorder="1" applyAlignment="1">
      <alignment horizontal="center"/>
    </xf>
    <xf numFmtId="0" fontId="25" fillId="0" borderId="31" xfId="3" applyFont="1" applyBorder="1" applyAlignment="1">
      <alignment horizontal="center"/>
    </xf>
    <xf numFmtId="178" fontId="24" fillId="0" borderId="31" xfId="3" applyNumberFormat="1" applyFont="1" applyBorder="1" applyAlignment="1">
      <alignment horizontal="center"/>
    </xf>
    <xf numFmtId="0" fontId="26" fillId="13" borderId="31" xfId="3" applyFont="1" applyFill="1" applyBorder="1" applyAlignment="1">
      <alignment horizontal="center"/>
    </xf>
    <xf numFmtId="178" fontId="26" fillId="13" borderId="31" xfId="3" applyNumberFormat="1" applyFont="1" applyFill="1" applyBorder="1" applyAlignment="1">
      <alignment horizontal="center"/>
    </xf>
    <xf numFmtId="179" fontId="0" fillId="0" borderId="0" xfId="0" applyNumberFormat="1">
      <alignment vertical="center"/>
    </xf>
    <xf numFmtId="0" fontId="28" fillId="0" borderId="0" xfId="0" applyFont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1" fontId="28" fillId="0" borderId="0" xfId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/>
    </xf>
    <xf numFmtId="41" fontId="28" fillId="2" borderId="1" xfId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/>
    </xf>
    <xf numFmtId="41" fontId="28" fillId="14" borderId="1" xfId="1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/>
    </xf>
    <xf numFmtId="41" fontId="28" fillId="11" borderId="1" xfId="1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8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1" fontId="27" fillId="2" borderId="1" xfId="1" applyFont="1" applyFill="1" applyBorder="1" applyAlignment="1">
      <alignment horizontal="center" vertical="center"/>
    </xf>
    <xf numFmtId="41" fontId="27" fillId="0" borderId="1" xfId="1" applyFont="1" applyFill="1" applyBorder="1" applyAlignment="1">
      <alignment horizontal="center" vertical="center"/>
    </xf>
    <xf numFmtId="176" fontId="27" fillId="0" borderId="1" xfId="2" applyNumberFormat="1" applyFont="1" applyFill="1" applyBorder="1" applyAlignment="1">
      <alignment horizontal="center" vertical="center"/>
    </xf>
    <xf numFmtId="176" fontId="27" fillId="0" borderId="0" xfId="2" applyNumberFormat="1" applyFont="1" applyFill="1" applyBorder="1" applyAlignment="1">
      <alignment horizontal="center" vertical="center"/>
    </xf>
    <xf numFmtId="41" fontId="27" fillId="14" borderId="1" xfId="1" applyFont="1" applyFill="1" applyBorder="1" applyAlignment="1">
      <alignment horizontal="center" vertical="center"/>
    </xf>
    <xf numFmtId="41" fontId="27" fillId="11" borderId="1" xfId="1" applyFont="1" applyFill="1" applyBorder="1" applyAlignment="1">
      <alignment horizontal="center" vertical="center"/>
    </xf>
    <xf numFmtId="41" fontId="27" fillId="0" borderId="5" xfId="1" applyFont="1" applyFill="1" applyBorder="1" applyAlignment="1">
      <alignment horizontal="center" vertical="center"/>
    </xf>
    <xf numFmtId="41" fontId="27" fillId="3" borderId="1" xfId="1" applyFont="1" applyFill="1" applyBorder="1" applyAlignment="1">
      <alignment horizontal="center" vertical="center"/>
    </xf>
    <xf numFmtId="41" fontId="27" fillId="3" borderId="4" xfId="1" applyFont="1" applyFill="1" applyBorder="1" applyAlignment="1">
      <alignment horizontal="center" vertical="center"/>
    </xf>
    <xf numFmtId="41" fontId="27" fillId="0" borderId="13" xfId="1" applyFont="1" applyFill="1" applyBorder="1" applyAlignment="1">
      <alignment horizontal="center" vertical="center"/>
    </xf>
    <xf numFmtId="180" fontId="27" fillId="0" borderId="1" xfId="0" applyNumberFormat="1" applyFont="1" applyBorder="1" applyAlignment="1">
      <alignment horizontal="center" vertical="center"/>
    </xf>
    <xf numFmtId="41" fontId="27" fillId="3" borderId="1" xfId="1" applyFont="1" applyFill="1" applyBorder="1" applyAlignment="1">
      <alignment horizontal="center" vertical="center" wrapText="1"/>
    </xf>
    <xf numFmtId="41" fontId="27" fillId="0" borderId="15" xfId="1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180" fontId="28" fillId="10" borderId="1" xfId="0" applyNumberFormat="1" applyFont="1" applyFill="1" applyBorder="1" applyAlignment="1">
      <alignment horizontal="center" vertical="center"/>
    </xf>
    <xf numFmtId="41" fontId="28" fillId="10" borderId="1" xfId="1" applyFont="1" applyFill="1" applyBorder="1" applyAlignment="1">
      <alignment horizontal="center" vertical="center"/>
    </xf>
    <xf numFmtId="176" fontId="28" fillId="10" borderId="1" xfId="2" applyNumberFormat="1" applyFont="1" applyFill="1" applyBorder="1" applyAlignment="1">
      <alignment horizontal="center" vertical="center"/>
    </xf>
    <xf numFmtId="176" fontId="28" fillId="0" borderId="0" xfId="2" applyNumberFormat="1" applyFont="1" applyFill="1" applyBorder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41" fontId="28" fillId="0" borderId="1" xfId="1" applyFont="1" applyFill="1" applyBorder="1" applyAlignment="1">
      <alignment horizontal="center" vertical="center"/>
    </xf>
    <xf numFmtId="41" fontId="27" fillId="0" borderId="4" xfId="1" applyFont="1" applyFill="1" applyBorder="1" applyAlignment="1">
      <alignment horizontal="center" vertical="center"/>
    </xf>
    <xf numFmtId="41" fontId="28" fillId="10" borderId="5" xfId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41" fontId="27" fillId="3" borderId="4" xfId="1" applyFont="1" applyFill="1" applyBorder="1" applyAlignment="1">
      <alignment horizontal="center" vertical="center" wrapText="1"/>
    </xf>
    <xf numFmtId="41" fontId="28" fillId="3" borderId="1" xfId="0" applyNumberFormat="1" applyFont="1" applyFill="1" applyBorder="1" applyAlignment="1">
      <alignment horizontal="center" vertical="center"/>
    </xf>
    <xf numFmtId="176" fontId="28" fillId="6" borderId="1" xfId="2" applyNumberFormat="1" applyFont="1" applyFill="1" applyBorder="1" applyAlignment="1">
      <alignment horizontal="center" vertical="center"/>
    </xf>
    <xf numFmtId="9" fontId="27" fillId="0" borderId="0" xfId="2" applyFont="1" applyBorder="1" applyAlignment="1">
      <alignment horizontal="center" vertical="center" wrapText="1"/>
    </xf>
    <xf numFmtId="41" fontId="28" fillId="0" borderId="0" xfId="1" applyFont="1" applyAlignment="1">
      <alignment horizontal="center" vertical="center" wrapText="1"/>
    </xf>
    <xf numFmtId="41" fontId="27" fillId="0" borderId="0" xfId="0" applyNumberFormat="1" applyFont="1" applyAlignment="1">
      <alignment horizontal="center" vertical="center" wrapText="1"/>
    </xf>
    <xf numFmtId="9" fontId="27" fillId="0" borderId="0" xfId="2" applyFont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41" fontId="28" fillId="2" borderId="23" xfId="1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center" vertical="center"/>
    </xf>
    <xf numFmtId="0" fontId="28" fillId="6" borderId="25" xfId="0" applyFont="1" applyFill="1" applyBorder="1" applyAlignment="1">
      <alignment horizontal="center" vertical="center" wrapText="1"/>
    </xf>
    <xf numFmtId="0" fontId="28" fillId="7" borderId="20" xfId="0" applyFont="1" applyFill="1" applyBorder="1" applyAlignment="1">
      <alignment horizontal="center" vertical="center"/>
    </xf>
    <xf numFmtId="41" fontId="28" fillId="7" borderId="1" xfId="1" applyFont="1" applyFill="1" applyBorder="1" applyAlignment="1">
      <alignment horizontal="center" vertical="center"/>
    </xf>
    <xf numFmtId="176" fontId="28" fillId="4" borderId="26" xfId="2" applyNumberFormat="1" applyFont="1" applyFill="1" applyBorder="1" applyAlignment="1">
      <alignment horizontal="center" vertical="center"/>
    </xf>
    <xf numFmtId="41" fontId="28" fillId="7" borderId="20" xfId="1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41" fontId="28" fillId="4" borderId="1" xfId="1" applyFont="1" applyFill="1" applyBorder="1" applyAlignment="1">
      <alignment horizontal="center" vertical="center"/>
    </xf>
    <xf numFmtId="41" fontId="28" fillId="5" borderId="1" xfId="1" applyFont="1" applyFill="1" applyBorder="1" applyAlignment="1">
      <alignment horizontal="center" vertical="center"/>
    </xf>
    <xf numFmtId="41" fontId="28" fillId="2" borderId="20" xfId="1" applyFont="1" applyFill="1" applyBorder="1" applyAlignment="1">
      <alignment horizontal="center" vertical="center"/>
    </xf>
    <xf numFmtId="0" fontId="28" fillId="2" borderId="27" xfId="0" applyFont="1" applyFill="1" applyBorder="1" applyAlignment="1">
      <alignment horizontal="center" vertical="center"/>
    </xf>
    <xf numFmtId="41" fontId="28" fillId="2" borderId="28" xfId="1" applyFont="1" applyFill="1" applyBorder="1" applyAlignment="1">
      <alignment horizontal="center" vertical="center"/>
    </xf>
    <xf numFmtId="41" fontId="28" fillId="4" borderId="28" xfId="1" applyFont="1" applyFill="1" applyBorder="1" applyAlignment="1">
      <alignment horizontal="center" vertical="center"/>
    </xf>
    <xf numFmtId="41" fontId="28" fillId="5" borderId="28" xfId="1" applyFont="1" applyFill="1" applyBorder="1" applyAlignment="1">
      <alignment horizontal="center" vertical="center"/>
    </xf>
    <xf numFmtId="176" fontId="28" fillId="4" borderId="29" xfId="2" applyNumberFormat="1" applyFont="1" applyFill="1" applyBorder="1" applyAlignment="1">
      <alignment horizontal="center" vertical="center"/>
    </xf>
    <xf numFmtId="41" fontId="28" fillId="2" borderId="27" xfId="1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5" fillId="7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1" fontId="0" fillId="0" borderId="0" xfId="0" applyNumberFormat="1">
      <alignment vertical="center"/>
    </xf>
    <xf numFmtId="41" fontId="28" fillId="5" borderId="26" xfId="1" applyFont="1" applyFill="1" applyBorder="1" applyAlignment="1">
      <alignment horizontal="center" vertical="center"/>
    </xf>
    <xf numFmtId="41" fontId="28" fillId="5" borderId="29" xfId="1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center" vertical="center"/>
    </xf>
    <xf numFmtId="0" fontId="28" fillId="6" borderId="36" xfId="0" applyFont="1" applyFill="1" applyBorder="1" applyAlignment="1">
      <alignment horizontal="center" vertical="center"/>
    </xf>
    <xf numFmtId="41" fontId="28" fillId="7" borderId="26" xfId="1" applyFont="1" applyFill="1" applyBorder="1" applyAlignment="1">
      <alignment horizontal="center" vertical="center"/>
    </xf>
    <xf numFmtId="3" fontId="28" fillId="7" borderId="20" xfId="1" applyNumberFormat="1" applyFont="1" applyFill="1" applyBorder="1" applyAlignment="1">
      <alignment horizontal="center" vertical="center" shrinkToFit="1"/>
    </xf>
    <xf numFmtId="0" fontId="28" fillId="0" borderId="30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41" fontId="28" fillId="0" borderId="30" xfId="1" applyFont="1" applyBorder="1" applyAlignment="1">
      <alignment horizontal="center" vertical="center" wrapText="1"/>
    </xf>
    <xf numFmtId="41" fontId="27" fillId="3" borderId="1" xfId="1" applyFont="1" applyFill="1" applyBorder="1" applyAlignment="1">
      <alignment horizontal="center" vertical="center" shrinkToFit="1"/>
    </xf>
    <xf numFmtId="41" fontId="27" fillId="0" borderId="1" xfId="1" applyFont="1" applyFill="1" applyBorder="1" applyAlignment="1">
      <alignment horizontal="center" vertical="center" shrinkToFit="1"/>
    </xf>
    <xf numFmtId="41" fontId="27" fillId="3" borderId="4" xfId="1" applyFont="1" applyFill="1" applyBorder="1" applyAlignment="1">
      <alignment horizontal="center" vertical="center" shrinkToFit="1"/>
    </xf>
    <xf numFmtId="41" fontId="28" fillId="10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shrinkToFit="1"/>
    </xf>
    <xf numFmtId="41" fontId="29" fillId="3" borderId="1" xfId="1" applyFont="1" applyFill="1" applyBorder="1" applyAlignment="1">
      <alignment horizontal="center" vertical="center" shrinkToFit="1"/>
    </xf>
    <xf numFmtId="41" fontId="27" fillId="0" borderId="4" xfId="1" applyFont="1" applyFill="1" applyBorder="1" applyAlignment="1">
      <alignment horizontal="center" vertical="center" shrinkToFit="1"/>
    </xf>
    <xf numFmtId="41" fontId="27" fillId="0" borderId="1" xfId="1" applyFont="1" applyFill="1" applyBorder="1" applyAlignment="1">
      <alignment vertical="center" shrinkToFit="1"/>
    </xf>
    <xf numFmtId="41" fontId="5" fillId="3" borderId="4" xfId="1" applyFont="1" applyFill="1" applyBorder="1" applyAlignment="1">
      <alignment horizontal="center" vertical="center" wrapText="1" shrinkToFit="1"/>
    </xf>
    <xf numFmtId="0" fontId="30" fillId="0" borderId="0" xfId="0" applyFont="1" applyFill="1" applyBorder="1" applyAlignment="1"/>
    <xf numFmtId="0" fontId="0" fillId="0" borderId="0" xfId="0" applyFont="1" applyFill="1" applyBorder="1" applyAlignment="1"/>
    <xf numFmtId="1" fontId="0" fillId="0" borderId="0" xfId="0" applyNumberFormat="1" applyFont="1" applyFill="1" applyBorder="1" applyAlignment="1"/>
    <xf numFmtId="3" fontId="0" fillId="0" borderId="0" xfId="0" applyNumberFormat="1" applyFont="1" applyFill="1" applyBorder="1" applyAlignment="1"/>
    <xf numFmtId="176" fontId="0" fillId="0" borderId="0" xfId="0" applyNumberFormat="1" applyFont="1" applyFill="1" applyBorder="1" applyAlignment="1"/>
    <xf numFmtId="9" fontId="0" fillId="0" borderId="0" xfId="0" applyNumberFormat="1" applyFont="1" applyFill="1" applyBorder="1" applyAlignment="1"/>
    <xf numFmtId="41" fontId="28" fillId="2" borderId="1" xfId="1" applyFont="1" applyFill="1" applyBorder="1" applyAlignment="1">
      <alignment horizontal="center" vertical="center" wrapText="1"/>
    </xf>
    <xf numFmtId="176" fontId="28" fillId="0" borderId="1" xfId="2" applyNumberFormat="1" applyFont="1" applyFill="1" applyBorder="1" applyAlignment="1">
      <alignment horizontal="center" vertical="center"/>
    </xf>
    <xf numFmtId="0" fontId="31" fillId="0" borderId="0" xfId="0" applyFont="1" applyFill="1" applyBorder="1" applyAlignment="1"/>
    <xf numFmtId="41" fontId="0" fillId="14" borderId="0" xfId="1" applyFont="1" applyFill="1">
      <alignment vertical="center"/>
    </xf>
    <xf numFmtId="41" fontId="31" fillId="14" borderId="0" xfId="1" applyFont="1" applyFill="1" applyBorder="1" applyAlignment="1"/>
    <xf numFmtId="41" fontId="0" fillId="14" borderId="0" xfId="1" applyFont="1" applyFill="1" applyBorder="1" applyAlignment="1"/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181" fontId="35" fillId="0" borderId="0" xfId="0" applyNumberFormat="1" applyFont="1" applyAlignment="1">
      <alignment horizontal="center" vertical="center"/>
    </xf>
    <xf numFmtId="181" fontId="36" fillId="7" borderId="0" xfId="0" applyNumberFormat="1" applyFont="1" applyFill="1" applyAlignment="1">
      <alignment horizontal="center" vertical="center"/>
    </xf>
    <xf numFmtId="41" fontId="37" fillId="16" borderId="1" xfId="1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181" fontId="33" fillId="5" borderId="1" xfId="0" applyNumberFormat="1" applyFont="1" applyFill="1" applyBorder="1" applyAlignment="1">
      <alignment horizontal="center" vertical="center"/>
    </xf>
    <xf numFmtId="41" fontId="37" fillId="5" borderId="1" xfId="1" applyFont="1" applyFill="1" applyBorder="1" applyAlignment="1">
      <alignment horizontal="center" vertical="center"/>
    </xf>
    <xf numFmtId="181" fontId="34" fillId="0" borderId="0" xfId="0" applyNumberFormat="1" applyFont="1">
      <alignment vertical="center"/>
    </xf>
    <xf numFmtId="181" fontId="33" fillId="5" borderId="1" xfId="0" applyNumberFormat="1" applyFont="1" applyFill="1" applyBorder="1">
      <alignment vertical="center"/>
    </xf>
    <xf numFmtId="0" fontId="34" fillId="0" borderId="0" xfId="0" applyFont="1" applyAlignment="1">
      <alignment horizontal="right" vertical="center"/>
    </xf>
    <xf numFmtId="0" fontId="37" fillId="2" borderId="1" xfId="0" applyFont="1" applyFill="1" applyBorder="1" applyAlignment="1">
      <alignment horizontal="center" vertical="center"/>
    </xf>
    <xf numFmtId="181" fontId="37" fillId="2" borderId="1" xfId="1" applyNumberFormat="1" applyFont="1" applyFill="1" applyBorder="1" applyAlignment="1">
      <alignment horizontal="center" vertical="center"/>
    </xf>
    <xf numFmtId="181" fontId="37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7" fillId="17" borderId="1" xfId="0" applyFont="1" applyFill="1" applyBorder="1" applyAlignment="1">
      <alignment horizontal="left" vertical="center"/>
    </xf>
    <xf numFmtId="41" fontId="36" fillId="17" borderId="1" xfId="1" applyFont="1" applyFill="1" applyBorder="1" applyAlignment="1">
      <alignment horizontal="center" vertical="center" wrapText="1"/>
    </xf>
    <xf numFmtId="38" fontId="37" fillId="17" borderId="1" xfId="1" applyNumberFormat="1" applyFont="1" applyFill="1" applyBorder="1" applyAlignment="1">
      <alignment horizontal="center" vertical="center"/>
    </xf>
    <xf numFmtId="181" fontId="34" fillId="17" borderId="1" xfId="0" applyNumberFormat="1" applyFont="1" applyFill="1" applyBorder="1">
      <alignment vertical="center"/>
    </xf>
    <xf numFmtId="181" fontId="39" fillId="2" borderId="1" xfId="0" applyNumberFormat="1" applyFont="1" applyFill="1" applyBorder="1">
      <alignment vertical="center"/>
    </xf>
    <xf numFmtId="0" fontId="37" fillId="0" borderId="1" xfId="0" applyFont="1" applyBorder="1" applyAlignment="1">
      <alignment horizontal="left" vertical="center"/>
    </xf>
    <xf numFmtId="41" fontId="37" fillId="0" borderId="1" xfId="1" applyFont="1" applyFill="1" applyBorder="1" applyAlignment="1">
      <alignment horizontal="center" vertical="center"/>
    </xf>
    <xf numFmtId="38" fontId="37" fillId="0" borderId="1" xfId="1" applyNumberFormat="1" applyFont="1" applyFill="1" applyBorder="1" applyAlignment="1">
      <alignment horizontal="center" vertical="center"/>
    </xf>
    <xf numFmtId="181" fontId="34" fillId="0" borderId="1" xfId="0" applyNumberFormat="1" applyFont="1" applyBorder="1">
      <alignment vertical="center"/>
    </xf>
    <xf numFmtId="41" fontId="36" fillId="17" borderId="1" xfId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left" vertical="center"/>
    </xf>
    <xf numFmtId="41" fontId="36" fillId="0" borderId="1" xfId="1" applyFont="1" applyFill="1" applyBorder="1" applyAlignment="1">
      <alignment horizontal="center" vertical="center"/>
    </xf>
    <xf numFmtId="181" fontId="34" fillId="0" borderId="1" xfId="0" applyNumberFormat="1" applyFont="1" applyFill="1" applyBorder="1">
      <alignment vertical="center"/>
    </xf>
    <xf numFmtId="181" fontId="32" fillId="17" borderId="1" xfId="5" applyNumberFormat="1" applyFill="1" applyBorder="1">
      <alignment vertical="center"/>
    </xf>
    <xf numFmtId="181" fontId="40" fillId="17" borderId="1" xfId="0" applyNumberFormat="1" applyFont="1" applyFill="1" applyBorder="1">
      <alignment vertical="center"/>
    </xf>
    <xf numFmtId="181" fontId="41" fillId="17" borderId="1" xfId="0" applyNumberFormat="1" applyFont="1" applyFill="1" applyBorder="1">
      <alignment vertical="center"/>
    </xf>
    <xf numFmtId="181" fontId="37" fillId="2" borderId="34" xfId="0" applyNumberFormat="1" applyFont="1" applyFill="1" applyBorder="1" applyAlignment="1">
      <alignment horizontal="center" vertical="center"/>
    </xf>
    <xf numFmtId="0" fontId="34" fillId="0" borderId="0" xfId="0" applyFont="1" applyFill="1" applyBorder="1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  <xf numFmtId="3" fontId="0" fillId="5" borderId="0" xfId="0" applyNumberFormat="1" applyFont="1" applyFill="1" applyBorder="1" applyAlignment="1"/>
    <xf numFmtId="41" fontId="2" fillId="2" borderId="10" xfId="1" applyFont="1" applyFill="1" applyBorder="1" applyAlignment="1">
      <alignment horizontal="center" vertical="center" wrapText="1"/>
    </xf>
    <xf numFmtId="41" fontId="2" fillId="2" borderId="11" xfId="1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 wrapText="1" readingOrder="1"/>
    </xf>
    <xf numFmtId="178" fontId="26" fillId="13" borderId="32" xfId="3" applyNumberFormat="1" applyFont="1" applyFill="1" applyBorder="1" applyAlignment="1">
      <alignment horizontal="center"/>
    </xf>
    <xf numFmtId="178" fontId="26" fillId="13" borderId="33" xfId="3" applyNumberFormat="1" applyFont="1" applyFill="1" applyBorder="1" applyAlignment="1">
      <alignment horizontal="center"/>
    </xf>
    <xf numFmtId="0" fontId="25" fillId="0" borderId="31" xfId="3" applyFont="1" applyBorder="1" applyAlignment="1">
      <alignment horizontal="center"/>
    </xf>
    <xf numFmtId="0" fontId="24" fillId="0" borderId="31" xfId="3" applyFont="1" applyBorder="1" applyAlignment="1">
      <alignment horizontal="center"/>
    </xf>
    <xf numFmtId="178" fontId="24" fillId="0" borderId="31" xfId="3" applyNumberFormat="1" applyFont="1" applyBorder="1" applyAlignment="1">
      <alignment horizontal="center"/>
    </xf>
    <xf numFmtId="0" fontId="28" fillId="0" borderId="3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41" fontId="28" fillId="2" borderId="1" xfId="1" applyFont="1" applyFill="1" applyBorder="1" applyAlignment="1">
      <alignment horizontal="center" vertical="center" wrapText="1"/>
    </xf>
    <xf numFmtId="41" fontId="28" fillId="14" borderId="1" xfId="1" applyFont="1" applyFill="1" applyBorder="1" applyAlignment="1">
      <alignment horizontal="center" vertical="center" wrapText="1"/>
    </xf>
    <xf numFmtId="41" fontId="28" fillId="11" borderId="1" xfId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/>
    </xf>
  </cellXfs>
  <cellStyles count="6">
    <cellStyle name="백분율" xfId="2" builtinId="5"/>
    <cellStyle name="쉼표 [0]" xfId="1" builtinId="6"/>
    <cellStyle name="쉼표 [0] 2" xfId="4"/>
    <cellStyle name="좋음" xfId="5" builtinId="26"/>
    <cellStyle name="표준" xfId="0" builtinId="0"/>
    <cellStyle name="표준 2" xfId="3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00"/>
      <color rgb="FFFFCCCC"/>
      <color rgb="FF66FF99"/>
      <color rgb="FFF5C1E7"/>
      <color rgb="FF99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7588;&#51109;&#50629;&#47924;/&#47588;&#51109;%20&#44221;&#48708;&#45236;&#50669;&#49436;/2025&#45380;/&#9733;25&#45380;%2005&#50900;%20&#44221;&#48708;&#45236;&#50669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 (3)"/>
      <sheetName val="Sheet1"/>
      <sheetName val="Sheet4"/>
      <sheetName val="25년 5월경비 (2)"/>
      <sheetName val="25년 5월경비"/>
      <sheetName val="매출"/>
      <sheetName val="23년 4월"/>
    </sheetNames>
    <sheetDataSet>
      <sheetData sheetId="0"/>
      <sheetData sheetId="1"/>
      <sheetData sheetId="2"/>
      <sheetData sheetId="3"/>
      <sheetData sheetId="4">
        <row r="1"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</row>
        <row r="2">
          <cell r="D2" t="str">
            <v>구 분</v>
          </cell>
          <cell r="E2" t="str">
            <v>25년 경 비 내 역</v>
          </cell>
        </row>
        <row r="3">
          <cell r="D3" t="str">
            <v xml:space="preserve"> 매장명</v>
          </cell>
          <cell r="E3" t="str">
            <v>25년 5월 매출</v>
          </cell>
          <cell r="F3" t="str">
            <v>고객배송 택배비</v>
          </cell>
          <cell r="G3" t="str">
            <v>건수</v>
          </cell>
          <cell r="H3" t="str">
            <v>매장 수평 택배비</v>
          </cell>
          <cell r="I3" t="str">
            <v>건수</v>
          </cell>
          <cell r="J3" t="str">
            <v>매장경비</v>
          </cell>
          <cell r="K3" t="str">
            <v>건수</v>
          </cell>
          <cell r="L3" t="str">
            <v>계</v>
          </cell>
          <cell r="M3" t="str">
            <v>매출대비 
전체비율</v>
          </cell>
        </row>
        <row r="4">
          <cell r="D4" t="str">
            <v>롯데잠실점</v>
          </cell>
          <cell r="E4">
            <v>63247500</v>
          </cell>
          <cell r="F4">
            <v>67500</v>
          </cell>
          <cell r="G4">
            <v>8</v>
          </cell>
          <cell r="H4">
            <v>101500</v>
          </cell>
          <cell r="I4">
            <v>20</v>
          </cell>
          <cell r="J4">
            <v>0</v>
          </cell>
          <cell r="K4">
            <v>0</v>
          </cell>
          <cell r="L4">
            <v>169000</v>
          </cell>
          <cell r="M4">
            <v>2.6720423732163327E-3</v>
          </cell>
        </row>
        <row r="5">
          <cell r="D5" t="str">
            <v>신세계김해점</v>
          </cell>
          <cell r="E5">
            <v>45572690</v>
          </cell>
          <cell r="F5">
            <v>19800</v>
          </cell>
          <cell r="G5">
            <v>4</v>
          </cell>
          <cell r="H5">
            <v>101000</v>
          </cell>
          <cell r="I5">
            <v>24</v>
          </cell>
          <cell r="J5">
            <v>3500</v>
          </cell>
          <cell r="K5">
            <v>1</v>
          </cell>
          <cell r="L5">
            <v>124300</v>
          </cell>
          <cell r="M5">
            <v>2.727510708716119E-3</v>
          </cell>
        </row>
        <row r="6">
          <cell r="D6" t="str">
            <v>롯데아울렛광명점</v>
          </cell>
          <cell r="E6">
            <v>41370060</v>
          </cell>
          <cell r="F6">
            <v>140000</v>
          </cell>
          <cell r="G6">
            <v>31</v>
          </cell>
          <cell r="H6">
            <v>42300</v>
          </cell>
          <cell r="I6">
            <v>11</v>
          </cell>
          <cell r="J6">
            <v>62000</v>
          </cell>
          <cell r="K6">
            <v>3</v>
          </cell>
          <cell r="L6">
            <v>244300</v>
          </cell>
          <cell r="M6">
            <v>5.905236782349361E-3</v>
          </cell>
        </row>
        <row r="7">
          <cell r="D7" t="str">
            <v>롯데창원점</v>
          </cell>
          <cell r="E7">
            <v>64459740</v>
          </cell>
          <cell r="F7">
            <v>257500</v>
          </cell>
          <cell r="G7">
            <v>56</v>
          </cell>
          <cell r="H7">
            <v>18500</v>
          </cell>
          <cell r="I7">
            <v>4</v>
          </cell>
          <cell r="J7">
            <v>0</v>
          </cell>
          <cell r="K7">
            <v>0</v>
          </cell>
          <cell r="L7">
            <v>276000</v>
          </cell>
          <cell r="M7">
            <v>4.2817423712847736E-3</v>
          </cell>
        </row>
        <row r="8">
          <cell r="D8" t="str">
            <v>신세계마산점</v>
          </cell>
          <cell r="E8">
            <v>60001130</v>
          </cell>
          <cell r="F8">
            <v>0</v>
          </cell>
          <cell r="G8">
            <v>0</v>
          </cell>
          <cell r="H8">
            <v>55670</v>
          </cell>
          <cell r="I8">
            <v>14</v>
          </cell>
          <cell r="J8">
            <v>0</v>
          </cell>
          <cell r="K8">
            <v>0</v>
          </cell>
          <cell r="L8">
            <v>55670</v>
          </cell>
          <cell r="M8">
            <v>9.2781585946797999E-4</v>
          </cell>
        </row>
        <row r="9">
          <cell r="D9" t="str">
            <v>롯데울산점</v>
          </cell>
          <cell r="E9">
            <v>32635190</v>
          </cell>
          <cell r="F9">
            <v>103200</v>
          </cell>
          <cell r="G9">
            <v>26</v>
          </cell>
          <cell r="H9">
            <v>30500</v>
          </cell>
          <cell r="I9">
            <v>7</v>
          </cell>
          <cell r="J9">
            <v>0</v>
          </cell>
          <cell r="K9">
            <v>0</v>
          </cell>
          <cell r="L9">
            <v>133700</v>
          </cell>
          <cell r="M9">
            <v>4.0968047068210729E-3</v>
          </cell>
        </row>
        <row r="10">
          <cell r="D10" t="str">
            <v>현대울산점</v>
          </cell>
          <cell r="E10">
            <v>86437610</v>
          </cell>
          <cell r="F10">
            <v>204000</v>
          </cell>
          <cell r="G10">
            <v>39</v>
          </cell>
          <cell r="H10">
            <v>147700</v>
          </cell>
          <cell r="I10">
            <v>26</v>
          </cell>
          <cell r="J10">
            <v>0</v>
          </cell>
          <cell r="K10">
            <v>0</v>
          </cell>
          <cell r="L10">
            <v>351700</v>
          </cell>
          <cell r="M10">
            <v>4.0688306860867628E-3</v>
          </cell>
        </row>
        <row r="11">
          <cell r="D11" t="str">
            <v>현대동구점</v>
          </cell>
          <cell r="E11">
            <v>26130790</v>
          </cell>
          <cell r="F11">
            <v>314500</v>
          </cell>
          <cell r="G11">
            <v>74</v>
          </cell>
          <cell r="H11">
            <v>28500</v>
          </cell>
          <cell r="I11">
            <v>7</v>
          </cell>
          <cell r="J11">
            <v>0</v>
          </cell>
          <cell r="K11">
            <v>0</v>
          </cell>
          <cell r="L11">
            <v>343000</v>
          </cell>
          <cell r="M11">
            <v>1.3126277468075018E-2</v>
          </cell>
        </row>
        <row r="12">
          <cell r="D12" t="str">
            <v>롯데포항점</v>
          </cell>
          <cell r="E12">
            <v>66528480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D13" t="str">
            <v>롯데아울렛김해점</v>
          </cell>
          <cell r="E13">
            <v>76085360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D14" t="str">
            <v>갤러리아진주점</v>
          </cell>
          <cell r="E14">
            <v>24241030</v>
          </cell>
          <cell r="F14">
            <v>0</v>
          </cell>
          <cell r="G14">
            <v>0</v>
          </cell>
          <cell r="H14">
            <v>83900</v>
          </cell>
          <cell r="I14">
            <v>19</v>
          </cell>
          <cell r="J14">
            <v>0</v>
          </cell>
          <cell r="K14">
            <v>0</v>
          </cell>
          <cell r="L14">
            <v>83900</v>
          </cell>
          <cell r="M14">
            <v>3.4610740550215895E-3</v>
          </cell>
        </row>
        <row r="15">
          <cell r="E15">
            <v>586709580</v>
          </cell>
          <cell r="F15">
            <v>1106500</v>
          </cell>
          <cell r="G15">
            <v>238</v>
          </cell>
          <cell r="H15">
            <v>609570</v>
          </cell>
          <cell r="I15">
            <v>132</v>
          </cell>
          <cell r="J15">
            <v>65500</v>
          </cell>
          <cell r="K15">
            <v>4</v>
          </cell>
          <cell r="L15">
            <v>1781570</v>
          </cell>
          <cell r="M15">
            <v>3.0365449290942208E-3</v>
          </cell>
        </row>
        <row r="17">
          <cell r="D17" t="str">
            <v xml:space="preserve"> 매장명</v>
          </cell>
          <cell r="E17" t="str">
            <v>25년 5월 매출</v>
          </cell>
          <cell r="F17" t="str">
            <v>고객배송 택배비</v>
          </cell>
          <cell r="G17" t="str">
            <v>건수</v>
          </cell>
          <cell r="H17" t="str">
            <v>매장 수평 택배비</v>
          </cell>
          <cell r="I17" t="str">
            <v>건수</v>
          </cell>
          <cell r="J17" t="str">
            <v>매장경비</v>
          </cell>
          <cell r="K17" t="str">
            <v>건수</v>
          </cell>
          <cell r="L17" t="str">
            <v>계</v>
          </cell>
          <cell r="M17" t="str">
            <v>매출대비 
전체비율</v>
          </cell>
        </row>
        <row r="18">
          <cell r="D18" t="str">
            <v>롯데수원점</v>
          </cell>
          <cell r="E18">
            <v>44165350</v>
          </cell>
          <cell r="F18">
            <v>80000</v>
          </cell>
          <cell r="G18">
            <v>20</v>
          </cell>
          <cell r="H18">
            <v>152100</v>
          </cell>
          <cell r="I18">
            <v>38</v>
          </cell>
          <cell r="J18">
            <v>0</v>
          </cell>
          <cell r="K18">
            <v>0</v>
          </cell>
          <cell r="L18">
            <v>232100</v>
          </cell>
          <cell r="M18">
            <v>5.2552510055960157E-3</v>
          </cell>
        </row>
        <row r="19">
          <cell r="D19" t="str">
            <v>갤러리아천안점</v>
          </cell>
          <cell r="E19">
            <v>55817820</v>
          </cell>
          <cell r="F19">
            <v>98000</v>
          </cell>
          <cell r="G19">
            <v>19</v>
          </cell>
          <cell r="H19">
            <v>101650</v>
          </cell>
          <cell r="I19">
            <v>25</v>
          </cell>
          <cell r="J19">
            <v>0</v>
          </cell>
          <cell r="K19">
            <v>0</v>
          </cell>
          <cell r="L19">
            <v>199650</v>
          </cell>
          <cell r="M19">
            <v>3.5768147161605378E-3</v>
          </cell>
        </row>
        <row r="20">
          <cell r="D20" t="str">
            <v>신세계천안아산점</v>
          </cell>
          <cell r="E20">
            <v>25106730</v>
          </cell>
          <cell r="F20">
            <v>129000</v>
          </cell>
          <cell r="G20">
            <v>28</v>
          </cell>
          <cell r="H20">
            <v>41500</v>
          </cell>
          <cell r="I20">
            <v>10</v>
          </cell>
          <cell r="J20">
            <v>4000</v>
          </cell>
          <cell r="K20">
            <v>1</v>
          </cell>
          <cell r="L20">
            <v>174500</v>
          </cell>
          <cell r="M20">
            <v>6.9503276611490227E-3</v>
          </cell>
        </row>
        <row r="21">
          <cell r="D21" t="str">
            <v>신세계대전점</v>
          </cell>
          <cell r="E21">
            <v>52541860</v>
          </cell>
          <cell r="F21">
            <v>152000</v>
          </cell>
          <cell r="G21">
            <v>14</v>
          </cell>
          <cell r="H21">
            <v>70900</v>
          </cell>
          <cell r="I21">
            <v>17</v>
          </cell>
          <cell r="J21">
            <v>0</v>
          </cell>
          <cell r="K21">
            <v>0</v>
          </cell>
          <cell r="L21">
            <v>222900</v>
          </cell>
          <cell r="M21">
            <v>4.2423317332123374E-3</v>
          </cell>
        </row>
        <row r="22">
          <cell r="D22" t="str">
            <v>갤러리아타임월드점</v>
          </cell>
          <cell r="E22">
            <v>40317340</v>
          </cell>
          <cell r="F22">
            <v>100265</v>
          </cell>
          <cell r="G22">
            <v>22</v>
          </cell>
          <cell r="H22">
            <v>47020</v>
          </cell>
          <cell r="I22">
            <v>12</v>
          </cell>
          <cell r="J22">
            <v>44000</v>
          </cell>
          <cell r="K22">
            <v>2</v>
          </cell>
          <cell r="L22">
            <v>191285</v>
          </cell>
          <cell r="M22">
            <v>4.7444846311785454E-3</v>
          </cell>
        </row>
        <row r="23">
          <cell r="D23" t="str">
            <v>롯데전주점</v>
          </cell>
          <cell r="E23">
            <v>42165390</v>
          </cell>
          <cell r="F23">
            <v>88000</v>
          </cell>
          <cell r="G23">
            <v>22</v>
          </cell>
          <cell r="H23">
            <v>102670</v>
          </cell>
          <cell r="I23">
            <v>24</v>
          </cell>
          <cell r="J23">
            <v>0</v>
          </cell>
          <cell r="K23">
            <v>0</v>
          </cell>
          <cell r="L23">
            <v>190670</v>
          </cell>
          <cell r="M23">
            <v>4.5219550916047501E-3</v>
          </cell>
        </row>
        <row r="24">
          <cell r="D24" t="str">
            <v>롯데아울렛군산점</v>
          </cell>
          <cell r="E24">
            <v>29381510</v>
          </cell>
          <cell r="F24">
            <v>132600</v>
          </cell>
          <cell r="G24">
            <v>37</v>
          </cell>
          <cell r="H24">
            <v>86400</v>
          </cell>
          <cell r="I24">
            <v>21</v>
          </cell>
          <cell r="J24">
            <v>0</v>
          </cell>
          <cell r="K24">
            <v>0</v>
          </cell>
          <cell r="L24">
            <v>219000</v>
          </cell>
          <cell r="M24">
            <v>7.4536672893939079E-3</v>
          </cell>
        </row>
        <row r="25">
          <cell r="D25" t="str">
            <v>롯데안산점</v>
          </cell>
          <cell r="E25">
            <v>34977600</v>
          </cell>
          <cell r="F25">
            <v>48000</v>
          </cell>
          <cell r="G25">
            <v>8</v>
          </cell>
          <cell r="H25">
            <v>63270</v>
          </cell>
          <cell r="I25">
            <v>16</v>
          </cell>
          <cell r="J25">
            <v>54500</v>
          </cell>
          <cell r="K25">
            <v>2</v>
          </cell>
          <cell r="L25">
            <v>165770</v>
          </cell>
          <cell r="M25">
            <v>4.7393188783678699E-3</v>
          </cell>
        </row>
        <row r="26">
          <cell r="D26" t="str">
            <v>LF스퀘어양주점</v>
          </cell>
          <cell r="E26">
            <v>62599320</v>
          </cell>
          <cell r="F26">
            <v>322150</v>
          </cell>
          <cell r="G26">
            <v>78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322150</v>
          </cell>
          <cell r="M26">
            <v>5.1462220356387261E-3</v>
          </cell>
        </row>
        <row r="27">
          <cell r="D27" t="str">
            <v>현대아울렛대전점</v>
          </cell>
          <cell r="E27">
            <v>96500780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D28" t="str">
            <v>롯데평촌점</v>
          </cell>
          <cell r="E28">
            <v>62783580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E29">
            <v>546357280</v>
          </cell>
          <cell r="F29">
            <v>1150015</v>
          </cell>
          <cell r="G29">
            <v>248</v>
          </cell>
          <cell r="H29">
            <v>665510</v>
          </cell>
          <cell r="I29">
            <v>163</v>
          </cell>
          <cell r="J29">
            <v>102500</v>
          </cell>
          <cell r="K29">
            <v>5</v>
          </cell>
          <cell r="L29">
            <v>1918025</v>
          </cell>
          <cell r="M29">
            <v>3.5105691279523174E-3</v>
          </cell>
        </row>
        <row r="31">
          <cell r="D31" t="str">
            <v xml:space="preserve"> 매장명</v>
          </cell>
          <cell r="E31" t="str">
            <v>25년 5월 매출</v>
          </cell>
          <cell r="F31" t="str">
            <v>고객배송 택배비</v>
          </cell>
          <cell r="G31" t="str">
            <v>건수</v>
          </cell>
          <cell r="H31" t="str">
            <v>매장 수평 택배비</v>
          </cell>
          <cell r="I31" t="str">
            <v>건수</v>
          </cell>
          <cell r="J31" t="str">
            <v>매장경비</v>
          </cell>
          <cell r="K31" t="str">
            <v>건수</v>
          </cell>
          <cell r="L31" t="str">
            <v>계</v>
          </cell>
          <cell r="M31" t="str">
            <v>매출대비 
전체비율</v>
          </cell>
        </row>
        <row r="32">
          <cell r="D32" t="str">
            <v>롯데상인점</v>
          </cell>
          <cell r="E32">
            <v>25730830</v>
          </cell>
          <cell r="F32">
            <v>24000</v>
          </cell>
          <cell r="G32">
            <v>3</v>
          </cell>
          <cell r="H32">
            <v>54000</v>
          </cell>
          <cell r="I32">
            <v>14</v>
          </cell>
          <cell r="J32">
            <v>0</v>
          </cell>
          <cell r="K32">
            <v>0</v>
          </cell>
          <cell r="L32">
            <v>78000</v>
          </cell>
          <cell r="M32">
            <v>3.031382975209117E-3</v>
          </cell>
        </row>
        <row r="33">
          <cell r="D33" t="str">
            <v>롯데대구점</v>
          </cell>
          <cell r="E33">
            <v>35200670</v>
          </cell>
          <cell r="F33">
            <v>80000</v>
          </cell>
          <cell r="G33">
            <v>12</v>
          </cell>
          <cell r="H33">
            <v>40670</v>
          </cell>
          <cell r="I33">
            <v>10</v>
          </cell>
          <cell r="J33">
            <v>0</v>
          </cell>
          <cell r="K33">
            <v>0</v>
          </cell>
          <cell r="L33">
            <v>120670</v>
          </cell>
          <cell r="M33">
            <v>3.4280597499990765E-3</v>
          </cell>
        </row>
        <row r="34">
          <cell r="D34" t="str">
            <v>롯데인천터미널점</v>
          </cell>
          <cell r="E34">
            <v>117971560</v>
          </cell>
          <cell r="F34">
            <v>94400</v>
          </cell>
          <cell r="G34">
            <v>15</v>
          </cell>
          <cell r="H34">
            <v>113600</v>
          </cell>
          <cell r="I34">
            <v>28</v>
          </cell>
          <cell r="J34">
            <v>0</v>
          </cell>
          <cell r="K34">
            <v>0</v>
          </cell>
          <cell r="L34">
            <v>208000</v>
          </cell>
          <cell r="M34">
            <v>1.7631368102617275E-3</v>
          </cell>
        </row>
        <row r="35">
          <cell r="D35" t="str">
            <v>현대디큐브시티점</v>
          </cell>
          <cell r="E35">
            <v>11976700</v>
          </cell>
          <cell r="F35">
            <v>60000</v>
          </cell>
          <cell r="G35">
            <v>16</v>
          </cell>
          <cell r="H35">
            <v>4000</v>
          </cell>
          <cell r="I35">
            <v>1</v>
          </cell>
          <cell r="J35">
            <v>0</v>
          </cell>
          <cell r="K35">
            <v>0</v>
          </cell>
          <cell r="L35">
            <v>64000</v>
          </cell>
          <cell r="M35">
            <v>5.3437090350430417E-3</v>
          </cell>
        </row>
        <row r="36">
          <cell r="D36" t="str">
            <v>롯데동래점</v>
          </cell>
          <cell r="E36">
            <v>27641950</v>
          </cell>
          <cell r="F36">
            <v>177000</v>
          </cell>
          <cell r="G36">
            <v>32</v>
          </cell>
          <cell r="H36">
            <v>54500</v>
          </cell>
          <cell r="I36">
            <v>13</v>
          </cell>
          <cell r="J36">
            <v>0</v>
          </cell>
          <cell r="K36">
            <v>0</v>
          </cell>
          <cell r="L36">
            <v>231500</v>
          </cell>
          <cell r="M36">
            <v>8.3749518395048114E-3</v>
          </cell>
        </row>
        <row r="37">
          <cell r="D37" t="str">
            <v>롯데부산본점</v>
          </cell>
          <cell r="E37">
            <v>101004360</v>
          </cell>
          <cell r="F37">
            <v>166000</v>
          </cell>
          <cell r="G37">
            <v>29</v>
          </cell>
          <cell r="H37">
            <v>150100</v>
          </cell>
          <cell r="I37">
            <v>38</v>
          </cell>
          <cell r="J37">
            <v>62700</v>
          </cell>
          <cell r="K37">
            <v>4</v>
          </cell>
          <cell r="L37">
            <v>378800</v>
          </cell>
          <cell r="M37">
            <v>3.750333153935137E-3</v>
          </cell>
        </row>
        <row r="38">
          <cell r="D38" t="str">
            <v>롯데광복점</v>
          </cell>
          <cell r="E38">
            <v>41503950</v>
          </cell>
          <cell r="F38">
            <v>85050</v>
          </cell>
          <cell r="G38">
            <v>22</v>
          </cell>
          <cell r="H38">
            <v>96500</v>
          </cell>
          <cell r="I38">
            <v>19</v>
          </cell>
          <cell r="J38">
            <v>0</v>
          </cell>
          <cell r="K38">
            <v>0</v>
          </cell>
          <cell r="L38">
            <v>181550</v>
          </cell>
          <cell r="M38">
            <v>4.3742824478152078E-3</v>
          </cell>
        </row>
        <row r="39">
          <cell r="D39" t="str">
            <v>신세계대구점</v>
          </cell>
          <cell r="E39">
            <v>104992240</v>
          </cell>
          <cell r="F39">
            <v>60500</v>
          </cell>
          <cell r="G39">
            <v>13</v>
          </cell>
          <cell r="H39">
            <v>66000</v>
          </cell>
          <cell r="I39">
            <v>15</v>
          </cell>
          <cell r="J39">
            <v>0</v>
          </cell>
          <cell r="K39">
            <v>0</v>
          </cell>
          <cell r="L39">
            <v>126500</v>
          </cell>
          <cell r="M39">
            <v>1.2048509489844203E-3</v>
          </cell>
        </row>
        <row r="40">
          <cell r="D40" t="str">
            <v>현대천호점</v>
          </cell>
          <cell r="E40">
            <v>80394050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D41" t="str">
            <v>현대목동점</v>
          </cell>
          <cell r="E41">
            <v>46041150</v>
          </cell>
          <cell r="F41">
            <v>171000</v>
          </cell>
          <cell r="G41">
            <v>36</v>
          </cell>
          <cell r="H41">
            <v>105400</v>
          </cell>
          <cell r="I41">
            <v>26</v>
          </cell>
          <cell r="J41">
            <v>0</v>
          </cell>
          <cell r="K41">
            <v>0</v>
          </cell>
          <cell r="L41">
            <v>276400</v>
          </cell>
          <cell r="M41">
            <v>6.0033252861842069E-3</v>
          </cell>
        </row>
        <row r="42">
          <cell r="D42" t="str">
            <v>현대대구점</v>
          </cell>
          <cell r="E42">
            <v>120767583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D43" t="str">
            <v>현대판교점</v>
          </cell>
          <cell r="E43">
            <v>91924790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D44" t="str">
            <v>현대중동점</v>
          </cell>
          <cell r="E44">
            <v>41384350</v>
          </cell>
          <cell r="F44">
            <v>183400</v>
          </cell>
          <cell r="G44">
            <v>39</v>
          </cell>
          <cell r="H44">
            <v>79000</v>
          </cell>
          <cell r="I44">
            <v>19</v>
          </cell>
          <cell r="J44">
            <v>6000</v>
          </cell>
          <cell r="K44">
            <v>1</v>
          </cell>
          <cell r="L44">
            <v>268400</v>
          </cell>
          <cell r="M44">
            <v>6.4855434481875399E-3</v>
          </cell>
        </row>
        <row r="45">
          <cell r="D45" t="str">
            <v>현대신촌점</v>
          </cell>
          <cell r="E45">
            <v>28330030</v>
          </cell>
          <cell r="F45">
            <v>54000</v>
          </cell>
          <cell r="G45">
            <v>13</v>
          </cell>
          <cell r="H45">
            <v>138800</v>
          </cell>
          <cell r="I45">
            <v>31</v>
          </cell>
          <cell r="J45">
            <v>22900</v>
          </cell>
          <cell r="K45">
            <v>2</v>
          </cell>
          <cell r="L45">
            <v>215700</v>
          </cell>
          <cell r="M45">
            <v>7.6138288593411299E-3</v>
          </cell>
        </row>
        <row r="46">
          <cell r="D46" t="str">
            <v>롯데아울렛동부산점</v>
          </cell>
          <cell r="E46">
            <v>47166320</v>
          </cell>
          <cell r="F46">
            <v>437000</v>
          </cell>
          <cell r="G46">
            <v>73</v>
          </cell>
          <cell r="H46">
            <v>95000</v>
          </cell>
          <cell r="I46">
            <v>23</v>
          </cell>
          <cell r="J46">
            <v>0</v>
          </cell>
          <cell r="K46">
            <v>0</v>
          </cell>
          <cell r="L46">
            <v>532000</v>
          </cell>
          <cell r="M46">
            <v>1.1279234843846202E-2</v>
          </cell>
        </row>
        <row r="47">
          <cell r="D47" t="str">
            <v>롯데노원점</v>
          </cell>
          <cell r="E47">
            <v>34423650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D48" t="str">
            <v>신세계센텀점</v>
          </cell>
          <cell r="E48">
            <v>134501410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D49" t="str">
            <v>신세계강남점</v>
          </cell>
          <cell r="E49">
            <v>103625400</v>
          </cell>
          <cell r="F49">
            <v>85300</v>
          </cell>
          <cell r="G49">
            <v>12</v>
          </cell>
          <cell r="H49">
            <v>194500</v>
          </cell>
          <cell r="I49">
            <v>48</v>
          </cell>
          <cell r="J49">
            <v>10000</v>
          </cell>
          <cell r="K49">
            <v>1</v>
          </cell>
          <cell r="L49">
            <v>289800</v>
          </cell>
          <cell r="M49">
            <v>2.7966116415473427E-3</v>
          </cell>
        </row>
        <row r="50">
          <cell r="D50" t="str">
            <v>신세계의정부점</v>
          </cell>
          <cell r="E50">
            <v>47372530</v>
          </cell>
          <cell r="F50">
            <v>0</v>
          </cell>
          <cell r="G50">
            <v>0</v>
          </cell>
          <cell r="H50">
            <v>63500</v>
          </cell>
          <cell r="I50">
            <v>16</v>
          </cell>
          <cell r="J50">
            <v>29100</v>
          </cell>
          <cell r="K50">
            <v>2</v>
          </cell>
          <cell r="L50">
            <v>92600</v>
          </cell>
          <cell r="M50">
            <v>1.9547193278467499E-3</v>
          </cell>
        </row>
        <row r="51">
          <cell r="D51" t="str">
            <v>롯데영등포점</v>
          </cell>
          <cell r="E51">
            <v>36369300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D52" t="str">
            <v>신세계타임스퀘어점</v>
          </cell>
          <cell r="E52">
            <v>51802400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D53" t="str">
            <v>신세계본점</v>
          </cell>
          <cell r="E53">
            <v>90570540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E54">
            <v>1420695763</v>
          </cell>
          <cell r="F54">
            <v>1677650</v>
          </cell>
          <cell r="G54">
            <v>315</v>
          </cell>
          <cell r="H54">
            <v>1255570</v>
          </cell>
          <cell r="I54">
            <v>301</v>
          </cell>
          <cell r="J54">
            <v>130700</v>
          </cell>
          <cell r="K54">
            <v>10</v>
          </cell>
          <cell r="L54">
            <v>3063920</v>
          </cell>
          <cell r="M54">
            <v>2.1566334466501819E-3</v>
          </cell>
        </row>
        <row r="56">
          <cell r="D56" t="str">
            <v xml:space="preserve"> 매장명</v>
          </cell>
          <cell r="E56" t="str">
            <v>25년 5월 매출</v>
          </cell>
          <cell r="F56" t="str">
            <v>고객배송 택배비</v>
          </cell>
          <cell r="G56" t="str">
            <v>건수</v>
          </cell>
          <cell r="H56" t="str">
            <v>매장 수평 택배비</v>
          </cell>
          <cell r="I56" t="str">
            <v>건수</v>
          </cell>
          <cell r="J56" t="str">
            <v>매장경비</v>
          </cell>
          <cell r="K56" t="str">
            <v>건수</v>
          </cell>
          <cell r="L56" t="str">
            <v>계</v>
          </cell>
          <cell r="M56" t="str">
            <v>매출대비 
전체비율</v>
          </cell>
        </row>
        <row r="57">
          <cell r="D57" t="str">
            <v>현대충청점</v>
          </cell>
          <cell r="E57">
            <v>45744570</v>
          </cell>
          <cell r="F57">
            <v>142500</v>
          </cell>
          <cell r="G57">
            <v>32</v>
          </cell>
          <cell r="H57">
            <v>119400</v>
          </cell>
          <cell r="I57">
            <v>26</v>
          </cell>
          <cell r="J57">
            <v>10000</v>
          </cell>
          <cell r="K57">
            <v>1</v>
          </cell>
          <cell r="L57">
            <v>271900</v>
          </cell>
          <cell r="M57">
            <v>5.9438748686456121E-3</v>
          </cell>
        </row>
        <row r="58">
          <cell r="D58" t="str">
            <v>롯데동탄점</v>
          </cell>
          <cell r="E58">
            <v>57999990</v>
          </cell>
          <cell r="F58">
            <v>129000</v>
          </cell>
          <cell r="G58">
            <v>26</v>
          </cell>
          <cell r="H58">
            <v>81500</v>
          </cell>
          <cell r="I58">
            <v>19</v>
          </cell>
          <cell r="J58">
            <v>5000</v>
          </cell>
          <cell r="K58">
            <v>1</v>
          </cell>
          <cell r="L58">
            <v>215500</v>
          </cell>
          <cell r="M58">
            <v>3.7155178819858418E-3</v>
          </cell>
        </row>
        <row r="59">
          <cell r="D59" t="str">
            <v>롯데아울렛광교점</v>
          </cell>
          <cell r="E59">
            <v>48585120</v>
          </cell>
          <cell r="F59">
            <v>132000</v>
          </cell>
          <cell r="G59">
            <v>23</v>
          </cell>
          <cell r="H59">
            <v>48000</v>
          </cell>
          <cell r="I59">
            <v>12</v>
          </cell>
          <cell r="J59">
            <v>0</v>
          </cell>
          <cell r="K59">
            <v>0</v>
          </cell>
          <cell r="L59">
            <v>180000</v>
          </cell>
          <cell r="M59">
            <v>3.7048380244815698E-3</v>
          </cell>
        </row>
        <row r="60">
          <cell r="D60" t="str">
            <v>롯데광주점</v>
          </cell>
          <cell r="E60">
            <v>50358830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D61" t="str">
            <v>신세계광주점</v>
          </cell>
          <cell r="E61">
            <v>110837850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D62" t="str">
            <v>갤러리아광교점</v>
          </cell>
          <cell r="E62">
            <v>104027390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D63" t="str">
            <v>롯데구리점</v>
          </cell>
          <cell r="E63">
            <v>35185850</v>
          </cell>
          <cell r="F63">
            <v>54000</v>
          </cell>
          <cell r="G63">
            <v>13</v>
          </cell>
          <cell r="H63">
            <v>111170</v>
          </cell>
          <cell r="I63">
            <v>28</v>
          </cell>
          <cell r="J63">
            <v>0</v>
          </cell>
          <cell r="K63">
            <v>0</v>
          </cell>
          <cell r="L63">
            <v>165170</v>
          </cell>
          <cell r="M63">
            <v>4.6942165671711783E-3</v>
          </cell>
        </row>
        <row r="64">
          <cell r="D64" t="str">
            <v>신세계경기점</v>
          </cell>
          <cell r="E64">
            <v>89934950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D65" t="str">
            <v>현대아울렛남양주점</v>
          </cell>
          <cell r="E65">
            <v>104625940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D66" t="str">
            <v>롯데미아점</v>
          </cell>
          <cell r="E66">
            <v>24860060</v>
          </cell>
          <cell r="F66">
            <v>4200</v>
          </cell>
          <cell r="G66">
            <v>1</v>
          </cell>
          <cell r="H66">
            <v>66100</v>
          </cell>
          <cell r="I66">
            <v>16</v>
          </cell>
          <cell r="J66">
            <v>3700</v>
          </cell>
          <cell r="K66">
            <v>1</v>
          </cell>
          <cell r="L66">
            <v>74000</v>
          </cell>
          <cell r="M66">
            <v>2.9766621641299337E-3</v>
          </cell>
        </row>
        <row r="67">
          <cell r="D67" t="str">
            <v>현대미아점</v>
          </cell>
          <cell r="E67">
            <v>32426830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D68" t="str">
            <v>롯데아울렛이천점</v>
          </cell>
          <cell r="E68">
            <v>58837250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D69" t="str">
            <v>신세계스타필드하남점</v>
          </cell>
          <cell r="E69">
            <v>33434150</v>
          </cell>
          <cell r="F69">
            <v>0</v>
          </cell>
          <cell r="G69">
            <v>0</v>
          </cell>
          <cell r="H69">
            <v>26000</v>
          </cell>
          <cell r="I69">
            <v>6</v>
          </cell>
          <cell r="J69">
            <v>18000</v>
          </cell>
          <cell r="K69">
            <v>2</v>
          </cell>
          <cell r="L69">
            <v>44000</v>
          </cell>
          <cell r="M69">
            <v>1.3160196984221223E-3</v>
          </cell>
        </row>
        <row r="70">
          <cell r="E70">
            <v>796858780</v>
          </cell>
          <cell r="F70">
            <v>461700</v>
          </cell>
          <cell r="G70">
            <v>95</v>
          </cell>
          <cell r="H70">
            <v>452170</v>
          </cell>
          <cell r="I70">
            <v>107</v>
          </cell>
          <cell r="J70">
            <v>36700</v>
          </cell>
          <cell r="K70">
            <v>5</v>
          </cell>
          <cell r="L70">
            <v>950570</v>
          </cell>
          <cell r="M70">
            <v>1.1928964376849811E-3</v>
          </cell>
        </row>
        <row r="72">
          <cell r="D72" t="str">
            <v xml:space="preserve"> 매장명</v>
          </cell>
          <cell r="E72" t="str">
            <v>25년 5월 매출</v>
          </cell>
          <cell r="F72" t="str">
            <v>고객배송 택배비</v>
          </cell>
          <cell r="G72" t="str">
            <v>건수</v>
          </cell>
          <cell r="H72" t="str">
            <v>매장 수평 택배비</v>
          </cell>
          <cell r="I72" t="str">
            <v>건수</v>
          </cell>
          <cell r="J72" t="str">
            <v>매장경비</v>
          </cell>
          <cell r="K72" t="str">
            <v>건수</v>
          </cell>
          <cell r="L72" t="str">
            <v>계</v>
          </cell>
          <cell r="M72" t="str">
            <v>매출대비 
전체비율</v>
          </cell>
        </row>
        <row r="73">
          <cell r="D73" t="str">
            <v>롯데분당점</v>
          </cell>
          <cell r="E73">
            <v>50026680</v>
          </cell>
          <cell r="F73">
            <v>179000</v>
          </cell>
          <cell r="G73">
            <v>27</v>
          </cell>
          <cell r="H73">
            <v>74000</v>
          </cell>
          <cell r="I73">
            <v>18</v>
          </cell>
          <cell r="J73">
            <v>0</v>
          </cell>
          <cell r="K73">
            <v>0</v>
          </cell>
          <cell r="L73">
            <v>253000</v>
          </cell>
          <cell r="M73">
            <v>5.0573014239601753E-3</v>
          </cell>
        </row>
        <row r="74">
          <cell r="D74" t="str">
            <v>롯데강남점</v>
          </cell>
          <cell r="E74">
            <v>39779970</v>
          </cell>
          <cell r="F74">
            <v>24000</v>
          </cell>
          <cell r="G74">
            <v>6</v>
          </cell>
          <cell r="H74">
            <v>75500</v>
          </cell>
          <cell r="I74">
            <v>19</v>
          </cell>
          <cell r="J74">
            <v>0</v>
          </cell>
          <cell r="K74">
            <v>0</v>
          </cell>
          <cell r="L74">
            <v>99500</v>
          </cell>
          <cell r="M74">
            <v>2.501258799340472E-3</v>
          </cell>
        </row>
        <row r="75">
          <cell r="D75" t="str">
            <v>롯데관악점</v>
          </cell>
          <cell r="E75">
            <v>28347300</v>
          </cell>
          <cell r="F75">
            <v>20000</v>
          </cell>
          <cell r="G75">
            <v>3</v>
          </cell>
          <cell r="H75">
            <v>12000</v>
          </cell>
          <cell r="I75">
            <v>3</v>
          </cell>
          <cell r="J75">
            <v>45300</v>
          </cell>
          <cell r="K75">
            <v>3</v>
          </cell>
          <cell r="L75">
            <v>77300</v>
          </cell>
          <cell r="M75">
            <v>2.7268910972120803E-3</v>
          </cell>
        </row>
        <row r="76">
          <cell r="D76" t="str">
            <v>롯데아울렛고양점</v>
          </cell>
          <cell r="E76">
            <v>27051170</v>
          </cell>
          <cell r="F76">
            <v>102600</v>
          </cell>
          <cell r="G76">
            <v>22</v>
          </cell>
          <cell r="H76">
            <v>24000</v>
          </cell>
          <cell r="I76">
            <v>6</v>
          </cell>
          <cell r="J76">
            <v>0</v>
          </cell>
          <cell r="K76">
            <v>0</v>
          </cell>
          <cell r="L76">
            <v>126600</v>
          </cell>
          <cell r="M76">
            <v>4.6800193854831416E-3</v>
          </cell>
        </row>
        <row r="77">
          <cell r="D77" t="str">
            <v>신세계아울렛파주점</v>
          </cell>
          <cell r="E77">
            <v>24955450</v>
          </cell>
          <cell r="F77">
            <v>131000</v>
          </cell>
          <cell r="G77">
            <v>34</v>
          </cell>
          <cell r="H77">
            <v>40500</v>
          </cell>
          <cell r="I77">
            <v>10</v>
          </cell>
          <cell r="J77">
            <v>0</v>
          </cell>
          <cell r="K77">
            <v>0</v>
          </cell>
          <cell r="L77">
            <v>171500</v>
          </cell>
          <cell r="M77">
            <v>6.8722463429831959E-3</v>
          </cell>
        </row>
        <row r="78">
          <cell r="D78" t="str">
            <v>AK프라자분당점</v>
          </cell>
          <cell r="E78">
            <v>32059540</v>
          </cell>
          <cell r="F78">
            <v>206000</v>
          </cell>
          <cell r="G78">
            <v>43</v>
          </cell>
          <cell r="H78">
            <v>47200</v>
          </cell>
          <cell r="I78">
            <v>12</v>
          </cell>
          <cell r="J78">
            <v>0</v>
          </cell>
          <cell r="K78">
            <v>0</v>
          </cell>
          <cell r="L78">
            <v>253200</v>
          </cell>
          <cell r="M78">
            <v>7.8978051462996659E-3</v>
          </cell>
        </row>
        <row r="79">
          <cell r="E79">
            <v>202220110</v>
          </cell>
          <cell r="F79">
            <v>662600</v>
          </cell>
          <cell r="G79">
            <v>135</v>
          </cell>
          <cell r="H79">
            <v>273200</v>
          </cell>
          <cell r="I79">
            <v>68</v>
          </cell>
          <cell r="J79">
            <v>45300</v>
          </cell>
          <cell r="K79">
            <v>3</v>
          </cell>
          <cell r="L79">
            <v>981100</v>
          </cell>
          <cell r="M79">
            <v>4.85164408228242E-3</v>
          </cell>
        </row>
        <row r="80">
          <cell r="D80" t="str">
            <v>5월 합 계</v>
          </cell>
          <cell r="E80">
            <v>3552841513</v>
          </cell>
          <cell r="F80">
            <v>5058465</v>
          </cell>
          <cell r="G80">
            <v>1031</v>
          </cell>
          <cell r="H80">
            <v>3256020</v>
          </cell>
          <cell r="I80">
            <v>771</v>
          </cell>
          <cell r="J80">
            <v>380700</v>
          </cell>
          <cell r="K80">
            <v>27</v>
          </cell>
          <cell r="L80">
            <v>8695185</v>
          </cell>
          <cell r="M80">
            <v>2.4473889331071887E-3</v>
          </cell>
        </row>
        <row r="82">
          <cell r="D82" t="str">
            <v>2025년 연 간 누 적</v>
          </cell>
          <cell r="E82" t="str">
            <v>총 매출</v>
          </cell>
          <cell r="F82" t="str">
            <v>고객배송 택배비</v>
          </cell>
          <cell r="G82" t="str">
            <v>건수</v>
          </cell>
          <cell r="H82" t="str">
            <v>매장 수평 택배비</v>
          </cell>
          <cell r="I82" t="str">
            <v>건수</v>
          </cell>
          <cell r="J82" t="str">
            <v>매장경비</v>
          </cell>
          <cell r="K82" t="str">
            <v>건수</v>
          </cell>
          <cell r="L82" t="str">
            <v>계</v>
          </cell>
          <cell r="M82" t="str">
            <v>매출대비 
전체비율</v>
          </cell>
        </row>
        <row r="83">
          <cell r="E83">
            <v>14892573834</v>
          </cell>
          <cell r="F83">
            <v>23535145</v>
          </cell>
          <cell r="G83">
            <v>4707</v>
          </cell>
          <cell r="H83">
            <v>16813350</v>
          </cell>
          <cell r="I83">
            <v>4048</v>
          </cell>
          <cell r="J83">
            <v>2031890</v>
          </cell>
          <cell r="K83">
            <v>141</v>
          </cell>
          <cell r="L83">
            <v>42380385</v>
          </cell>
          <cell r="M83">
            <v>6.0037522578948645E-3</v>
          </cell>
        </row>
        <row r="84">
          <cell r="D84" t="str">
            <v>1월 합 계</v>
          </cell>
          <cell r="E84">
            <v>2489987720</v>
          </cell>
          <cell r="F84">
            <v>4511145</v>
          </cell>
          <cell r="G84">
            <v>869</v>
          </cell>
          <cell r="H84">
            <v>3481210</v>
          </cell>
          <cell r="I84">
            <v>839</v>
          </cell>
          <cell r="J84">
            <v>188400</v>
          </cell>
          <cell r="K84">
            <v>17</v>
          </cell>
          <cell r="L84">
            <v>8180755</v>
          </cell>
          <cell r="M84">
            <v>3.2854599780917796E-3</v>
          </cell>
        </row>
        <row r="85">
          <cell r="D85" t="str">
            <v>2월 합 계</v>
          </cell>
          <cell r="E85">
            <v>2579486460</v>
          </cell>
          <cell r="F85">
            <v>4408050</v>
          </cell>
          <cell r="G85">
            <v>887</v>
          </cell>
          <cell r="H85">
            <v>3876320</v>
          </cell>
          <cell r="I85">
            <v>931</v>
          </cell>
          <cell r="J85">
            <v>350550</v>
          </cell>
          <cell r="K85">
            <v>20</v>
          </cell>
          <cell r="L85">
            <v>8634920</v>
          </cell>
          <cell r="M85">
            <v>3.3475345321254371E-3</v>
          </cell>
        </row>
        <row r="86">
          <cell r="D86" t="str">
            <v>3월 합 계</v>
          </cell>
          <cell r="E86">
            <v>2971797680</v>
          </cell>
          <cell r="F86">
            <v>4749545</v>
          </cell>
          <cell r="G86">
            <v>962</v>
          </cell>
          <cell r="H86">
            <v>3610660</v>
          </cell>
          <cell r="I86">
            <v>881</v>
          </cell>
          <cell r="J86">
            <v>673530</v>
          </cell>
          <cell r="K86">
            <v>30</v>
          </cell>
          <cell r="L86">
            <v>9033735</v>
          </cell>
          <cell r="M86">
            <v>3.0398216745360675E-3</v>
          </cell>
        </row>
        <row r="87">
          <cell r="D87" t="str">
            <v>4월 합 계</v>
          </cell>
          <cell r="E87">
            <v>3298460461</v>
          </cell>
          <cell r="F87">
            <v>4807940</v>
          </cell>
          <cell r="G87">
            <v>958</v>
          </cell>
          <cell r="H87">
            <v>2589140</v>
          </cell>
          <cell r="I87">
            <v>626</v>
          </cell>
          <cell r="J87">
            <v>438710</v>
          </cell>
          <cell r="K87">
            <v>47</v>
          </cell>
          <cell r="L87">
            <v>7835790</v>
          </cell>
          <cell r="M87">
            <v>2.3755900950300948E-3</v>
          </cell>
        </row>
        <row r="88">
          <cell r="D88" t="str">
            <v>5월 합 계</v>
          </cell>
          <cell r="E88">
            <v>3552841513</v>
          </cell>
          <cell r="F88">
            <v>5058465</v>
          </cell>
          <cell r="G88">
            <v>1031</v>
          </cell>
          <cell r="H88">
            <v>3256020</v>
          </cell>
          <cell r="I88">
            <v>771</v>
          </cell>
          <cell r="J88">
            <v>380700</v>
          </cell>
          <cell r="K88">
            <v>27</v>
          </cell>
          <cell r="L88">
            <v>8695185</v>
          </cell>
          <cell r="M88">
            <v>2.4473889331071887E-3</v>
          </cell>
        </row>
        <row r="89">
          <cell r="D89" t="str">
            <v>6월 합 계</v>
          </cell>
          <cell r="M89" t="e">
            <v>#DIV/0!</v>
          </cell>
        </row>
        <row r="90">
          <cell r="D90" t="str">
            <v>7월 합 계</v>
          </cell>
          <cell r="M90" t="e">
            <v>#DIV/0!</v>
          </cell>
        </row>
        <row r="91">
          <cell r="D91" t="str">
            <v>8월 합 계</v>
          </cell>
          <cell r="M91" t="e">
            <v>#DIV/0!</v>
          </cell>
        </row>
        <row r="92">
          <cell r="D92" t="str">
            <v>9월 합 계</v>
          </cell>
          <cell r="M92" t="e">
            <v>#DIV/0!</v>
          </cell>
        </row>
        <row r="93">
          <cell r="D93" t="str">
            <v>10월 합 계</v>
          </cell>
          <cell r="M93" t="e">
            <v>#DIV/0!</v>
          </cell>
        </row>
        <row r="94">
          <cell r="D94" t="str">
            <v>11월 합 계</v>
          </cell>
          <cell r="M94" t="e">
            <v>#DIV/0!</v>
          </cell>
        </row>
        <row r="95">
          <cell r="D95" t="str">
            <v>12월 합 계</v>
          </cell>
          <cell r="M95" t="e">
            <v>#DIV/0!</v>
          </cell>
        </row>
        <row r="98">
          <cell r="E98" t="str">
            <v>SUM</v>
          </cell>
          <cell r="F98">
            <v>5058465</v>
          </cell>
          <cell r="G98">
            <v>1031</v>
          </cell>
          <cell r="H98">
            <v>3256020</v>
          </cell>
          <cell r="I98">
            <v>771</v>
          </cell>
          <cell r="J98">
            <v>380700</v>
          </cell>
          <cell r="K98">
            <v>27</v>
          </cell>
          <cell r="L98">
            <v>8695185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53"/>
  <sheetViews>
    <sheetView zoomScale="85" zoomScaleNormal="85" zoomScaleSheetLayoutView="85" workbookViewId="0">
      <pane xSplit="2" ySplit="2" topLeftCell="D3" activePane="bottomRight" state="frozen"/>
      <selection activeCell="B2" sqref="B2:L62"/>
      <selection pane="topRight" activeCell="B2" sqref="B2:L62"/>
      <selection pane="bottomLeft" activeCell="B2" sqref="B2:L62"/>
      <selection pane="bottomRight" activeCell="B2" sqref="B2:L62"/>
    </sheetView>
  </sheetViews>
  <sheetFormatPr defaultColWidth="10" defaultRowHeight="16.5" customHeight="1"/>
  <cols>
    <col min="1" max="1" width="5.125" style="7" customWidth="1"/>
    <col min="2" max="2" width="21" style="7" customWidth="1"/>
    <col min="3" max="3" width="12.625" style="7" hidden="1" customWidth="1"/>
    <col min="4" max="4" width="16.875" style="7" bestFit="1" customWidth="1"/>
    <col min="5" max="6" width="19.625" style="7" hidden="1" customWidth="1"/>
    <col min="7" max="7" width="17.75" style="8" customWidth="1"/>
    <col min="8" max="8" width="8.25" style="8" customWidth="1"/>
    <col min="9" max="9" width="18.375" style="9" customWidth="1"/>
    <col min="10" max="10" width="10.875" style="9" bestFit="1" customWidth="1"/>
    <col min="11" max="11" width="13.75" style="9" customWidth="1"/>
    <col min="12" max="12" width="8.375" style="9" customWidth="1"/>
    <col min="13" max="13" width="15" style="6" customWidth="1"/>
    <col min="14" max="14" width="18.375" style="6" bestFit="1" customWidth="1"/>
    <col min="15" max="15" width="16.625" style="7" customWidth="1"/>
    <col min="16" max="16" width="42.75" style="18" bestFit="1" customWidth="1"/>
    <col min="17" max="17" width="11.375" style="18" bestFit="1" customWidth="1"/>
    <col min="18" max="18" width="9.875" style="6" bestFit="1" customWidth="1"/>
    <col min="19" max="19" width="8.75" style="6" bestFit="1" customWidth="1"/>
    <col min="20" max="20" width="7.75" style="6" bestFit="1" customWidth="1"/>
    <col min="21" max="21" width="9.875" style="6" bestFit="1" customWidth="1"/>
    <col min="22" max="16384" width="10" style="6"/>
  </cols>
  <sheetData>
    <row r="1" spans="1:17" ht="28.5" customHeight="1">
      <c r="A1" s="4"/>
      <c r="B1" s="5" t="s">
        <v>0</v>
      </c>
      <c r="C1" s="20"/>
      <c r="D1" s="20"/>
      <c r="E1" s="20"/>
      <c r="F1" s="20"/>
      <c r="G1" s="266" t="s">
        <v>1</v>
      </c>
      <c r="H1" s="267"/>
      <c r="I1" s="267"/>
      <c r="J1" s="267"/>
      <c r="K1" s="267"/>
      <c r="L1" s="267"/>
      <c r="M1" s="267"/>
      <c r="N1" s="267"/>
      <c r="O1" s="267"/>
      <c r="P1" s="267"/>
      <c r="Q1" s="2"/>
    </row>
    <row r="2" spans="1:17" s="3" customFormat="1" ht="21.75" customHeight="1">
      <c r="A2" s="1"/>
      <c r="B2" s="17" t="s">
        <v>2</v>
      </c>
      <c r="C2" s="17" t="s">
        <v>102</v>
      </c>
      <c r="D2" s="17" t="s">
        <v>111</v>
      </c>
      <c r="E2" s="17" t="s">
        <v>99</v>
      </c>
      <c r="F2" s="17" t="s">
        <v>100</v>
      </c>
      <c r="G2" s="28" t="s">
        <v>3</v>
      </c>
      <c r="H2" s="28" t="s">
        <v>42</v>
      </c>
      <c r="I2" s="28" t="s">
        <v>4</v>
      </c>
      <c r="J2" s="28" t="s">
        <v>42</v>
      </c>
      <c r="K2" s="28" t="s">
        <v>5</v>
      </c>
      <c r="L2" s="28" t="s">
        <v>42</v>
      </c>
      <c r="M2" s="33" t="s">
        <v>6</v>
      </c>
      <c r="N2" s="33" t="s">
        <v>101</v>
      </c>
      <c r="O2" s="2" t="s">
        <v>7</v>
      </c>
      <c r="P2" s="2" t="s">
        <v>41</v>
      </c>
      <c r="Q2" s="2" t="s">
        <v>103</v>
      </c>
    </row>
    <row r="3" spans="1:17" s="3" customFormat="1" ht="24" customHeight="1">
      <c r="A3" s="15">
        <v>53</v>
      </c>
      <c r="B3" s="40" t="s">
        <v>20</v>
      </c>
      <c r="C3" s="30" t="e">
        <f>VLOOKUP(B3,#REF!,2,0)</f>
        <v>#REF!</v>
      </c>
      <c r="D3" s="46">
        <v>39065500</v>
      </c>
      <c r="E3" s="27" t="e">
        <f>VLOOKUP(B3,#REF!,5,0)</f>
        <v>#REF!</v>
      </c>
      <c r="F3" s="27" t="e">
        <f>VLOOKUP(B3,#REF!,9,0)</f>
        <v>#REF!</v>
      </c>
      <c r="G3" s="31">
        <v>429000</v>
      </c>
      <c r="H3" s="31">
        <v>88</v>
      </c>
      <c r="I3" s="31">
        <v>31000</v>
      </c>
      <c r="J3" s="31">
        <v>8</v>
      </c>
      <c r="K3" s="31">
        <v>0</v>
      </c>
      <c r="L3" s="31">
        <v>0</v>
      </c>
      <c r="M3" s="34">
        <f t="shared" ref="M3:M40" si="0">G3+I3+K3</f>
        <v>460000</v>
      </c>
      <c r="N3" s="44">
        <f t="shared" ref="N3:N41" si="1">M3/D3</f>
        <v>1.1775095672652341E-2</v>
      </c>
      <c r="O3" s="41" t="s">
        <v>40</v>
      </c>
      <c r="P3" s="22"/>
      <c r="Q3" s="22"/>
    </row>
    <row r="4" spans="1:17" s="3" customFormat="1" ht="24" customHeight="1">
      <c r="A4" s="15">
        <v>51</v>
      </c>
      <c r="B4" s="29" t="s">
        <v>16</v>
      </c>
      <c r="C4" s="30" t="e">
        <f>VLOOKUP(B4,#REF!,2,0)</f>
        <v>#REF!</v>
      </c>
      <c r="D4" s="46">
        <v>41360480</v>
      </c>
      <c r="E4" s="27" t="e">
        <f>VLOOKUP(B4,#REF!,5,0)</f>
        <v>#REF!</v>
      </c>
      <c r="F4" s="27" t="e">
        <f>VLOOKUP(B4,#REF!,9,0)</f>
        <v>#REF!</v>
      </c>
      <c r="G4" s="31">
        <v>394500</v>
      </c>
      <c r="H4" s="31">
        <v>95</v>
      </c>
      <c r="I4" s="32">
        <v>88000</v>
      </c>
      <c r="J4" s="32">
        <v>23</v>
      </c>
      <c r="K4" s="32">
        <v>8000</v>
      </c>
      <c r="L4" s="32">
        <v>2</v>
      </c>
      <c r="M4" s="34">
        <f t="shared" si="0"/>
        <v>490500</v>
      </c>
      <c r="N4" s="44">
        <f t="shared" si="1"/>
        <v>1.1859146702359354E-2</v>
      </c>
      <c r="O4" s="32" t="s">
        <v>40</v>
      </c>
      <c r="P4" s="23"/>
      <c r="Q4" s="22" t="s">
        <v>109</v>
      </c>
    </row>
    <row r="5" spans="1:17" s="3" customFormat="1" ht="24" customHeight="1">
      <c r="A5" s="15">
        <v>54</v>
      </c>
      <c r="B5" s="40" t="s">
        <v>106</v>
      </c>
      <c r="C5" s="30"/>
      <c r="D5" s="46">
        <v>45443550</v>
      </c>
      <c r="E5" s="27"/>
      <c r="F5" s="27"/>
      <c r="G5" s="31">
        <v>282000</v>
      </c>
      <c r="H5" s="31">
        <v>73</v>
      </c>
      <c r="I5" s="32">
        <v>128000</v>
      </c>
      <c r="J5" s="32">
        <v>35</v>
      </c>
      <c r="K5" s="32">
        <v>86400</v>
      </c>
      <c r="L5" s="32">
        <v>2</v>
      </c>
      <c r="M5" s="34">
        <f t="shared" si="0"/>
        <v>496400</v>
      </c>
      <c r="N5" s="44">
        <f t="shared" si="1"/>
        <v>1.0923442380711895E-2</v>
      </c>
      <c r="O5" s="41" t="s">
        <v>40</v>
      </c>
      <c r="P5" s="22" t="s">
        <v>114</v>
      </c>
      <c r="Q5" s="22"/>
    </row>
    <row r="6" spans="1:17" s="3" customFormat="1" ht="24.75" customHeight="1">
      <c r="A6" s="15">
        <v>39</v>
      </c>
      <c r="B6" s="29" t="s">
        <v>13</v>
      </c>
      <c r="C6" s="30" t="e">
        <f>VLOOKUP(B6,#REF!,2,0)</f>
        <v>#REF!</v>
      </c>
      <c r="D6" s="46">
        <v>20260450</v>
      </c>
      <c r="E6" s="27" t="e">
        <f>VLOOKUP(B6,#REF!,5,0)</f>
        <v>#REF!</v>
      </c>
      <c r="F6" s="27" t="e">
        <f>VLOOKUP(B6,#REF!,9,0)</f>
        <v>#REF!</v>
      </c>
      <c r="G6" s="31">
        <v>241000</v>
      </c>
      <c r="H6" s="31">
        <v>58</v>
      </c>
      <c r="I6" s="32">
        <v>24000</v>
      </c>
      <c r="J6" s="32">
        <v>6</v>
      </c>
      <c r="K6" s="32">
        <v>8000</v>
      </c>
      <c r="L6" s="32">
        <v>2</v>
      </c>
      <c r="M6" s="34">
        <f t="shared" si="0"/>
        <v>273000</v>
      </c>
      <c r="N6" s="44">
        <f t="shared" si="1"/>
        <v>1.3474527959645516E-2</v>
      </c>
      <c r="O6" s="32" t="s">
        <v>40</v>
      </c>
      <c r="P6" s="23"/>
      <c r="Q6" s="23"/>
    </row>
    <row r="7" spans="1:17" s="3" customFormat="1" ht="24" customHeight="1">
      <c r="A7" s="15">
        <v>45</v>
      </c>
      <c r="B7" s="40" t="s">
        <v>14</v>
      </c>
      <c r="C7" s="30" t="e">
        <f>VLOOKUP(B7,#REF!,2,0)</f>
        <v>#REF!</v>
      </c>
      <c r="D7" s="46">
        <v>44617050</v>
      </c>
      <c r="E7" s="27" t="e">
        <f>VLOOKUP(B7,#REF!,5,0)</f>
        <v>#REF!</v>
      </c>
      <c r="F7" s="27" t="e">
        <f>VLOOKUP(B7,#REF!,9,0)</f>
        <v>#REF!</v>
      </c>
      <c r="G7" s="31">
        <v>171000</v>
      </c>
      <c r="H7" s="31">
        <v>41</v>
      </c>
      <c r="I7" s="31">
        <v>35000</v>
      </c>
      <c r="J7" s="31">
        <v>9</v>
      </c>
      <c r="K7" s="32">
        <v>0</v>
      </c>
      <c r="L7" s="32">
        <v>0</v>
      </c>
      <c r="M7" s="34">
        <f t="shared" si="0"/>
        <v>206000</v>
      </c>
      <c r="N7" s="44">
        <f t="shared" si="1"/>
        <v>4.6170690352679081E-3</v>
      </c>
      <c r="O7" s="41" t="s">
        <v>40</v>
      </c>
      <c r="P7" s="22"/>
      <c r="Q7" s="22" t="s">
        <v>109</v>
      </c>
    </row>
    <row r="8" spans="1:17" s="3" customFormat="1" ht="24" customHeight="1">
      <c r="A8" s="15">
        <v>7</v>
      </c>
      <c r="B8" s="29" t="s">
        <v>31</v>
      </c>
      <c r="C8" s="30" t="e">
        <f>VLOOKUP(B8,#REF!,2,0)</f>
        <v>#REF!</v>
      </c>
      <c r="D8" s="46">
        <v>57623150</v>
      </c>
      <c r="E8" s="27" t="e">
        <f>VLOOKUP(B8,#REF!,5,0)</f>
        <v>#REF!</v>
      </c>
      <c r="F8" s="27" t="e">
        <f>VLOOKUP(B8,#REF!,9,0)</f>
        <v>#REF!</v>
      </c>
      <c r="G8" s="32">
        <v>169000</v>
      </c>
      <c r="H8" s="32">
        <v>49</v>
      </c>
      <c r="I8" s="32">
        <v>72500</v>
      </c>
      <c r="J8" s="32">
        <v>18</v>
      </c>
      <c r="K8" s="32">
        <v>0</v>
      </c>
      <c r="L8" s="32">
        <v>0</v>
      </c>
      <c r="M8" s="34">
        <f t="shared" si="0"/>
        <v>241500</v>
      </c>
      <c r="N8" s="44">
        <f t="shared" si="1"/>
        <v>4.19102392007379E-3</v>
      </c>
      <c r="O8" s="32" t="s">
        <v>40</v>
      </c>
      <c r="P8" s="23"/>
      <c r="Q8" s="23" t="s">
        <v>109</v>
      </c>
    </row>
    <row r="9" spans="1:17" s="3" customFormat="1" ht="24" customHeight="1">
      <c r="A9" s="15">
        <v>52</v>
      </c>
      <c r="B9" s="29" t="s">
        <v>37</v>
      </c>
      <c r="C9" s="30" t="e">
        <f>VLOOKUP(B9,#REF!,2,0)</f>
        <v>#REF!</v>
      </c>
      <c r="D9" s="46">
        <v>18920070</v>
      </c>
      <c r="E9" s="27" t="e">
        <f>VLOOKUP(B9,#REF!,5,0)</f>
        <v>#REF!</v>
      </c>
      <c r="F9" s="27" t="e">
        <f>VLOOKUP(B9,#REF!,9,0)</f>
        <v>#REF!</v>
      </c>
      <c r="G9" s="31">
        <v>155000</v>
      </c>
      <c r="H9" s="31">
        <v>44</v>
      </c>
      <c r="I9" s="32">
        <v>48000</v>
      </c>
      <c r="J9" s="32">
        <v>13</v>
      </c>
      <c r="K9" s="32">
        <v>3000</v>
      </c>
      <c r="L9" s="32">
        <v>1</v>
      </c>
      <c r="M9" s="34">
        <f t="shared" si="0"/>
        <v>206000</v>
      </c>
      <c r="N9" s="44">
        <f t="shared" si="1"/>
        <v>1.0887908977080951E-2</v>
      </c>
      <c r="O9" s="32" t="s">
        <v>40</v>
      </c>
      <c r="P9" s="23"/>
      <c r="Q9" s="23"/>
    </row>
    <row r="10" spans="1:17" s="3" customFormat="1" ht="24" customHeight="1">
      <c r="A10" s="15">
        <v>58</v>
      </c>
      <c r="B10" s="29" t="s">
        <v>18</v>
      </c>
      <c r="C10" s="30" t="e">
        <f>VLOOKUP(B10,#REF!,2,0)</f>
        <v>#REF!</v>
      </c>
      <c r="D10" s="46">
        <v>31103840</v>
      </c>
      <c r="E10" s="27" t="e">
        <f>VLOOKUP(B10,#REF!,5,0)</f>
        <v>#REF!</v>
      </c>
      <c r="F10" s="27" t="e">
        <f>VLOOKUP(B10,#REF!,9,0)</f>
        <v>#REF!</v>
      </c>
      <c r="G10" s="31">
        <v>150500</v>
      </c>
      <c r="H10" s="31">
        <v>47</v>
      </c>
      <c r="I10" s="32">
        <v>40500</v>
      </c>
      <c r="J10" s="32">
        <v>10</v>
      </c>
      <c r="K10" s="32">
        <v>23000</v>
      </c>
      <c r="L10" s="32">
        <v>3</v>
      </c>
      <c r="M10" s="34">
        <f t="shared" si="0"/>
        <v>214000</v>
      </c>
      <c r="N10" s="44">
        <f t="shared" si="1"/>
        <v>6.8801794247912796E-3</v>
      </c>
      <c r="O10" s="32" t="s">
        <v>40</v>
      </c>
      <c r="P10" s="23" t="s">
        <v>119</v>
      </c>
      <c r="Q10" s="22"/>
    </row>
    <row r="11" spans="1:17" s="3" customFormat="1" ht="24" customHeight="1">
      <c r="A11" s="15">
        <v>43</v>
      </c>
      <c r="B11" s="29" t="s">
        <v>35</v>
      </c>
      <c r="C11" s="30" t="e">
        <f>VLOOKUP(B11,#REF!,2,0)</f>
        <v>#REF!</v>
      </c>
      <c r="D11" s="46">
        <v>56376440</v>
      </c>
      <c r="E11" s="27" t="e">
        <f>VLOOKUP(B11,#REF!,5,0)</f>
        <v>#REF!</v>
      </c>
      <c r="F11" s="27" t="e">
        <f>VLOOKUP(B11,#REF!,9,0)</f>
        <v>#REF!</v>
      </c>
      <c r="G11" s="31">
        <v>146500</v>
      </c>
      <c r="H11" s="31">
        <v>31</v>
      </c>
      <c r="I11" s="31">
        <v>68000</v>
      </c>
      <c r="J11" s="31">
        <v>18</v>
      </c>
      <c r="K11" s="32">
        <v>0</v>
      </c>
      <c r="L11" s="32">
        <v>0</v>
      </c>
      <c r="M11" s="34">
        <f t="shared" si="0"/>
        <v>214500</v>
      </c>
      <c r="N11" s="44">
        <f t="shared" si="1"/>
        <v>3.8047808623602342E-3</v>
      </c>
      <c r="O11" s="32" t="s">
        <v>40</v>
      </c>
      <c r="P11" s="23"/>
      <c r="Q11" s="22"/>
    </row>
    <row r="12" spans="1:17" s="3" customFormat="1" ht="24" customHeight="1">
      <c r="A12" s="15">
        <v>15</v>
      </c>
      <c r="B12" s="29" t="s">
        <v>58</v>
      </c>
      <c r="C12" s="30" t="e">
        <f>VLOOKUP(B12,#REF!,2,0)</f>
        <v>#REF!</v>
      </c>
      <c r="D12" s="46">
        <v>36606960</v>
      </c>
      <c r="E12" s="27" t="e">
        <f>VLOOKUP(B12,#REF!,5,0)</f>
        <v>#REF!</v>
      </c>
      <c r="F12" s="27" t="e">
        <f>VLOOKUP(B12,#REF!,9,0)</f>
        <v>#REF!</v>
      </c>
      <c r="G12" s="31">
        <v>141000</v>
      </c>
      <c r="H12" s="31">
        <v>26</v>
      </c>
      <c r="I12" s="31">
        <v>98000</v>
      </c>
      <c r="J12" s="31">
        <v>25</v>
      </c>
      <c r="K12" s="31">
        <v>3000</v>
      </c>
      <c r="L12" s="31">
        <v>1</v>
      </c>
      <c r="M12" s="34">
        <f t="shared" si="0"/>
        <v>242000</v>
      </c>
      <c r="N12" s="44">
        <f t="shared" si="1"/>
        <v>6.6107647288930847E-3</v>
      </c>
      <c r="O12" s="32" t="s">
        <v>40</v>
      </c>
      <c r="P12" s="23"/>
      <c r="Q12" s="22" t="s">
        <v>109</v>
      </c>
    </row>
    <row r="13" spans="1:17" s="3" customFormat="1" ht="24" customHeight="1">
      <c r="A13" s="15">
        <v>26</v>
      </c>
      <c r="B13" s="40" t="s">
        <v>43</v>
      </c>
      <c r="C13" s="30" t="e">
        <f>VLOOKUP(B13,#REF!,2,0)</f>
        <v>#REF!</v>
      </c>
      <c r="D13" s="46">
        <v>41040440</v>
      </c>
      <c r="E13" s="27" t="e">
        <f>VLOOKUP(B13,#REF!,5,0)</f>
        <v>#REF!</v>
      </c>
      <c r="F13" s="27" t="e">
        <f>VLOOKUP(B13,#REF!,9,0)</f>
        <v>#REF!</v>
      </c>
      <c r="G13" s="31">
        <v>139000</v>
      </c>
      <c r="H13" s="31">
        <v>35</v>
      </c>
      <c r="I13" s="32">
        <v>17000</v>
      </c>
      <c r="J13" s="32">
        <v>5</v>
      </c>
      <c r="K13" s="32"/>
      <c r="L13" s="32"/>
      <c r="M13" s="34">
        <f t="shared" si="0"/>
        <v>156000</v>
      </c>
      <c r="N13" s="44">
        <f t="shared" si="1"/>
        <v>3.8011288377999847E-3</v>
      </c>
      <c r="O13" s="41" t="s">
        <v>40</v>
      </c>
      <c r="P13" s="22"/>
      <c r="Q13" s="22"/>
    </row>
    <row r="14" spans="1:17" s="3" customFormat="1" ht="24" customHeight="1">
      <c r="A14" s="15">
        <v>27</v>
      </c>
      <c r="B14" s="29" t="s">
        <v>52</v>
      </c>
      <c r="C14" s="30" t="e">
        <f>VLOOKUP(B14,#REF!,2,0)</f>
        <v>#REF!</v>
      </c>
      <c r="D14" s="46">
        <v>58217450</v>
      </c>
      <c r="E14" s="27" t="e">
        <f>VLOOKUP(B14,#REF!,5,0)</f>
        <v>#REF!</v>
      </c>
      <c r="F14" s="27" t="e">
        <f>VLOOKUP(B14,#REF!,9,0)</f>
        <v>#REF!</v>
      </c>
      <c r="G14" s="31">
        <v>137000</v>
      </c>
      <c r="H14" s="31">
        <v>25</v>
      </c>
      <c r="I14" s="32">
        <v>128300</v>
      </c>
      <c r="J14" s="32">
        <v>33</v>
      </c>
      <c r="K14" s="32"/>
      <c r="L14" s="32"/>
      <c r="M14" s="34">
        <f t="shared" si="0"/>
        <v>265300</v>
      </c>
      <c r="N14" s="44">
        <f t="shared" si="1"/>
        <v>4.5570529111117024E-3</v>
      </c>
      <c r="O14" s="32" t="s">
        <v>40</v>
      </c>
      <c r="P14" s="23"/>
      <c r="Q14" s="22" t="s">
        <v>109</v>
      </c>
    </row>
    <row r="15" spans="1:17" s="3" customFormat="1" ht="24" customHeight="1">
      <c r="A15" s="15">
        <v>55</v>
      </c>
      <c r="B15" s="29" t="s">
        <v>38</v>
      </c>
      <c r="C15" s="30" t="e">
        <f>VLOOKUP(B15,#REF!,2,0)</f>
        <v>#REF!</v>
      </c>
      <c r="D15" s="46">
        <v>34954550</v>
      </c>
      <c r="E15" s="27" t="e">
        <f>VLOOKUP(B15,#REF!,5,0)</f>
        <v>#REF!</v>
      </c>
      <c r="F15" s="27" t="e">
        <f>VLOOKUP(B15,#REF!,9,0)</f>
        <v>#REF!</v>
      </c>
      <c r="G15" s="31">
        <v>135000</v>
      </c>
      <c r="H15" s="31">
        <v>40</v>
      </c>
      <c r="I15" s="32">
        <v>67500</v>
      </c>
      <c r="J15" s="32">
        <v>18</v>
      </c>
      <c r="K15" s="32">
        <v>0</v>
      </c>
      <c r="L15" s="32">
        <v>0</v>
      </c>
      <c r="M15" s="34">
        <f t="shared" si="0"/>
        <v>202500</v>
      </c>
      <c r="N15" s="44">
        <f t="shared" si="1"/>
        <v>5.7932372180445751E-3</v>
      </c>
      <c r="O15" s="32" t="s">
        <v>40</v>
      </c>
      <c r="P15" s="24"/>
      <c r="Q15" s="22" t="s">
        <v>109</v>
      </c>
    </row>
    <row r="16" spans="1:17" s="3" customFormat="1" ht="24" customHeight="1">
      <c r="A16" s="15">
        <v>13</v>
      </c>
      <c r="B16" s="40" t="s">
        <v>47</v>
      </c>
      <c r="C16" s="30" t="e">
        <f>VLOOKUP(B16,#REF!,2,0)</f>
        <v>#REF!</v>
      </c>
      <c r="D16" s="46">
        <v>47637440</v>
      </c>
      <c r="E16" s="27" t="e">
        <f>VLOOKUP(B16,#REF!,5,0)</f>
        <v>#REF!</v>
      </c>
      <c r="F16" s="27" t="e">
        <f>VLOOKUP(B16,#REF!,9,0)</f>
        <v>#REF!</v>
      </c>
      <c r="G16" s="31">
        <v>128000</v>
      </c>
      <c r="H16" s="31">
        <v>37</v>
      </c>
      <c r="I16" s="31">
        <v>138000</v>
      </c>
      <c r="J16" s="31">
        <v>39</v>
      </c>
      <c r="K16" s="31">
        <v>11000</v>
      </c>
      <c r="L16" s="31">
        <v>3</v>
      </c>
      <c r="M16" s="34">
        <f t="shared" si="0"/>
        <v>277000</v>
      </c>
      <c r="N16" s="44">
        <f t="shared" si="1"/>
        <v>5.8147541093727956E-3</v>
      </c>
      <c r="O16" s="41" t="s">
        <v>40</v>
      </c>
      <c r="P16" s="22" t="s">
        <v>115</v>
      </c>
      <c r="Q16" s="22"/>
    </row>
    <row r="17" spans="1:22" s="3" customFormat="1" ht="24" customHeight="1">
      <c r="A17" s="15">
        <v>23</v>
      </c>
      <c r="B17" s="29" t="s">
        <v>32</v>
      </c>
      <c r="C17" s="30" t="e">
        <f>VLOOKUP(B17,#REF!,2,0)</f>
        <v>#REF!</v>
      </c>
      <c r="D17" s="46">
        <v>88534350</v>
      </c>
      <c r="E17" s="27" t="e">
        <f>VLOOKUP(B17,#REF!,5,0)</f>
        <v>#REF!</v>
      </c>
      <c r="F17" s="27" t="e">
        <f>VLOOKUP(B17,#REF!,9,0)</f>
        <v>#REF!</v>
      </c>
      <c r="G17" s="31">
        <v>120000</v>
      </c>
      <c r="H17" s="31">
        <v>26</v>
      </c>
      <c r="I17" s="32">
        <v>150500</v>
      </c>
      <c r="J17" s="32">
        <v>38</v>
      </c>
      <c r="K17" s="32">
        <v>65200</v>
      </c>
      <c r="L17" s="32">
        <v>3</v>
      </c>
      <c r="M17" s="34">
        <f t="shared" si="0"/>
        <v>335700</v>
      </c>
      <c r="N17" s="44">
        <f t="shared" si="1"/>
        <v>3.7917486263806081E-3</v>
      </c>
      <c r="O17" s="32" t="s">
        <v>40</v>
      </c>
      <c r="P17" s="24" t="s">
        <v>112</v>
      </c>
      <c r="Q17" s="23"/>
    </row>
    <row r="18" spans="1:22" s="3" customFormat="1" ht="24" customHeight="1">
      <c r="A18" s="15">
        <v>48</v>
      </c>
      <c r="B18" s="29" t="s">
        <v>36</v>
      </c>
      <c r="C18" s="30" t="e">
        <f>VLOOKUP(B18,#REF!,2,0)</f>
        <v>#REF!</v>
      </c>
      <c r="D18" s="46">
        <v>20284510</v>
      </c>
      <c r="E18" s="27" t="e">
        <f>VLOOKUP(B18,#REF!,5,0)</f>
        <v>#REF!</v>
      </c>
      <c r="F18" s="27" t="e">
        <f>VLOOKUP(B18,#REF!,9,0)</f>
        <v>#REF!</v>
      </c>
      <c r="G18" s="31">
        <v>117000</v>
      </c>
      <c r="H18" s="31">
        <v>33</v>
      </c>
      <c r="I18" s="32">
        <v>16500</v>
      </c>
      <c r="J18" s="32">
        <v>5</v>
      </c>
      <c r="K18" s="32">
        <v>9000</v>
      </c>
      <c r="L18" s="32">
        <v>3</v>
      </c>
      <c r="M18" s="34">
        <f t="shared" si="0"/>
        <v>142500</v>
      </c>
      <c r="N18" s="44">
        <f t="shared" si="1"/>
        <v>7.0250649387143191E-3</v>
      </c>
      <c r="O18" s="32" t="s">
        <v>40</v>
      </c>
      <c r="P18" s="23"/>
      <c r="Q18" s="22"/>
    </row>
    <row r="19" spans="1:22" s="3" customFormat="1" ht="24" customHeight="1">
      <c r="A19" s="15">
        <v>6</v>
      </c>
      <c r="B19" s="29" t="s">
        <v>57</v>
      </c>
      <c r="C19" s="30" t="e">
        <f>VLOOKUP(B19,#REF!,2,0)</f>
        <v>#REF!</v>
      </c>
      <c r="D19" s="46">
        <v>35020690</v>
      </c>
      <c r="E19" s="27" t="e">
        <f>VLOOKUP(B19,#REF!,5,0)</f>
        <v>#REF!</v>
      </c>
      <c r="F19" s="27" t="e">
        <f>VLOOKUP(B19,#REF!,9,0)</f>
        <v>#REF!</v>
      </c>
      <c r="G19" s="31">
        <v>116000</v>
      </c>
      <c r="H19" s="31">
        <v>36</v>
      </c>
      <c r="I19" s="31">
        <v>77000</v>
      </c>
      <c r="J19" s="31">
        <v>20</v>
      </c>
      <c r="K19" s="31">
        <v>73000</v>
      </c>
      <c r="L19" s="31">
        <v>5</v>
      </c>
      <c r="M19" s="34">
        <f t="shared" si="0"/>
        <v>266000</v>
      </c>
      <c r="N19" s="44">
        <f t="shared" si="1"/>
        <v>7.5955099685357423E-3</v>
      </c>
      <c r="O19" s="32" t="s">
        <v>40</v>
      </c>
      <c r="P19" s="23" t="s">
        <v>122</v>
      </c>
      <c r="Q19" s="23" t="s">
        <v>109</v>
      </c>
    </row>
    <row r="20" spans="1:22" s="3" customFormat="1" ht="24" customHeight="1">
      <c r="A20" s="15">
        <v>33</v>
      </c>
      <c r="B20" s="35" t="s">
        <v>53</v>
      </c>
      <c r="C20" s="30" t="e">
        <f>VLOOKUP(B20,#REF!,2,0)</f>
        <v>#REF!</v>
      </c>
      <c r="D20" s="46">
        <v>49178250</v>
      </c>
      <c r="E20" s="27" t="e">
        <f>VLOOKUP(B20,#REF!,5,0)</f>
        <v>#REF!</v>
      </c>
      <c r="F20" s="27" t="e">
        <f>VLOOKUP(B20,#REF!,9,0)</f>
        <v>#REF!</v>
      </c>
      <c r="G20" s="31">
        <v>110000</v>
      </c>
      <c r="H20" s="31">
        <v>18</v>
      </c>
      <c r="I20" s="32">
        <v>23000</v>
      </c>
      <c r="J20" s="32">
        <v>6</v>
      </c>
      <c r="K20" s="32"/>
      <c r="L20" s="32"/>
      <c r="M20" s="34">
        <f t="shared" si="0"/>
        <v>133000</v>
      </c>
      <c r="N20" s="44">
        <f t="shared" si="1"/>
        <v>2.7044475962442745E-3</v>
      </c>
      <c r="O20" s="32" t="s">
        <v>59</v>
      </c>
      <c r="P20" s="23"/>
      <c r="Q20" s="23"/>
    </row>
    <row r="21" spans="1:22" s="3" customFormat="1" ht="24" customHeight="1">
      <c r="A21" s="15">
        <v>57</v>
      </c>
      <c r="B21" s="29" t="s">
        <v>39</v>
      </c>
      <c r="C21" s="30" t="e">
        <f>VLOOKUP(B21,#REF!,2,0)</f>
        <v>#REF!</v>
      </c>
      <c r="D21" s="46">
        <v>9513150</v>
      </c>
      <c r="E21" s="27" t="e">
        <f>VLOOKUP(B21,#REF!,5,0)</f>
        <v>#REF!</v>
      </c>
      <c r="F21" s="27" t="e">
        <f>VLOOKUP(B21,#REF!,9,0)</f>
        <v>#REF!</v>
      </c>
      <c r="G21" s="31">
        <v>101000</v>
      </c>
      <c r="H21" s="31">
        <v>20</v>
      </c>
      <c r="I21" s="32">
        <v>0</v>
      </c>
      <c r="J21" s="32">
        <v>0</v>
      </c>
      <c r="K21" s="32">
        <v>0</v>
      </c>
      <c r="L21" s="32">
        <v>0</v>
      </c>
      <c r="M21" s="34">
        <f t="shared" si="0"/>
        <v>101000</v>
      </c>
      <c r="N21" s="44">
        <f t="shared" si="1"/>
        <v>1.0616882946237577E-2</v>
      </c>
      <c r="O21" s="32" t="s">
        <v>40</v>
      </c>
      <c r="P21" s="23"/>
      <c r="Q21" s="22"/>
    </row>
    <row r="22" spans="1:22" s="3" customFormat="1" ht="24" customHeight="1">
      <c r="A22" s="15">
        <v>60</v>
      </c>
      <c r="B22" s="29" t="s">
        <v>34</v>
      </c>
      <c r="C22" s="30" t="e">
        <f>VLOOKUP(B22,#REF!,2,0)</f>
        <v>#REF!</v>
      </c>
      <c r="D22" s="46">
        <v>26191750</v>
      </c>
      <c r="E22" s="27" t="e">
        <f>VLOOKUP(B22,#REF!,5,0)</f>
        <v>#REF!</v>
      </c>
      <c r="F22" s="27" t="e">
        <f>VLOOKUP(B22,#REF!,9,0)</f>
        <v>#REF!</v>
      </c>
      <c r="G22" s="31">
        <v>100000</v>
      </c>
      <c r="H22" s="31">
        <v>27</v>
      </c>
      <c r="I22" s="32">
        <v>16000</v>
      </c>
      <c r="J22" s="32">
        <v>4</v>
      </c>
      <c r="K22" s="32">
        <v>15000</v>
      </c>
      <c r="L22" s="32">
        <v>1</v>
      </c>
      <c r="M22" s="34">
        <f t="shared" si="0"/>
        <v>131000</v>
      </c>
      <c r="N22" s="44">
        <f t="shared" si="1"/>
        <v>5.0015749234014525E-3</v>
      </c>
      <c r="O22" s="32" t="s">
        <v>40</v>
      </c>
      <c r="P22" s="23" t="s">
        <v>116</v>
      </c>
      <c r="Q22" s="22" t="s">
        <v>109</v>
      </c>
    </row>
    <row r="23" spans="1:22" s="3" customFormat="1" ht="24" customHeight="1">
      <c r="A23" s="15">
        <v>22</v>
      </c>
      <c r="B23" s="29" t="s">
        <v>50</v>
      </c>
      <c r="C23" s="30" t="e">
        <f>VLOOKUP(B23,#REF!,2,0)</f>
        <v>#REF!</v>
      </c>
      <c r="D23" s="46">
        <v>26605930</v>
      </c>
      <c r="E23" s="27" t="e">
        <f>VLOOKUP(B23,#REF!,5,0)</f>
        <v>#REF!</v>
      </c>
      <c r="F23" s="27" t="e">
        <f>VLOOKUP(B23,#REF!,9,0)</f>
        <v>#REF!</v>
      </c>
      <c r="G23" s="31">
        <v>87000</v>
      </c>
      <c r="H23" s="31">
        <v>12</v>
      </c>
      <c r="I23" s="32">
        <v>78000</v>
      </c>
      <c r="J23" s="32">
        <v>20</v>
      </c>
      <c r="K23" s="32">
        <v>0</v>
      </c>
      <c r="L23" s="32">
        <v>0</v>
      </c>
      <c r="M23" s="34">
        <f t="shared" si="0"/>
        <v>165000</v>
      </c>
      <c r="N23" s="44">
        <f t="shared" si="1"/>
        <v>6.2016249760861583E-3</v>
      </c>
      <c r="O23" s="32" t="s">
        <v>40</v>
      </c>
      <c r="P23" s="23"/>
      <c r="Q23" s="22" t="s">
        <v>109</v>
      </c>
    </row>
    <row r="24" spans="1:22" s="3" customFormat="1" ht="24" customHeight="1">
      <c r="A24" s="15">
        <v>24</v>
      </c>
      <c r="B24" s="29" t="s">
        <v>51</v>
      </c>
      <c r="C24" s="30" t="e">
        <f>VLOOKUP(B24,#REF!,2,0)</f>
        <v>#REF!</v>
      </c>
      <c r="D24" s="46">
        <v>48148460</v>
      </c>
      <c r="E24" s="27" t="e">
        <f>VLOOKUP(B24,#REF!,5,0)</f>
        <v>#REF!</v>
      </c>
      <c r="F24" s="27" t="e">
        <f>VLOOKUP(B24,#REF!,9,0)</f>
        <v>#REF!</v>
      </c>
      <c r="G24" s="31">
        <v>81000</v>
      </c>
      <c r="H24" s="31">
        <v>20</v>
      </c>
      <c r="I24" s="32">
        <v>122500</v>
      </c>
      <c r="J24" s="32">
        <v>32</v>
      </c>
      <c r="K24" s="32">
        <v>12000</v>
      </c>
      <c r="L24" s="32">
        <v>1</v>
      </c>
      <c r="M24" s="34">
        <f t="shared" si="0"/>
        <v>215500</v>
      </c>
      <c r="N24" s="44">
        <f t="shared" si="1"/>
        <v>4.4757402417439727E-3</v>
      </c>
      <c r="O24" s="32" t="s">
        <v>40</v>
      </c>
      <c r="P24" s="23" t="s">
        <v>113</v>
      </c>
      <c r="Q24" s="22" t="s">
        <v>109</v>
      </c>
    </row>
    <row r="25" spans="1:22" s="3" customFormat="1" ht="24" customHeight="1">
      <c r="A25" s="15">
        <v>20</v>
      </c>
      <c r="B25" s="29" t="s">
        <v>29</v>
      </c>
      <c r="C25" s="30" t="e">
        <f>VLOOKUP(B25,#REF!,2,0)</f>
        <v>#REF!</v>
      </c>
      <c r="D25" s="46">
        <v>31335150</v>
      </c>
      <c r="E25" s="27" t="e">
        <f>VLOOKUP(B25,#REF!,5,0)</f>
        <v>#REF!</v>
      </c>
      <c r="F25" s="27" t="e">
        <f>VLOOKUP(B25,#REF!,9,0)</f>
        <v>#REF!</v>
      </c>
      <c r="G25" s="31">
        <v>80000</v>
      </c>
      <c r="H25" s="31">
        <v>17</v>
      </c>
      <c r="I25" s="31">
        <v>75000</v>
      </c>
      <c r="J25" s="31">
        <v>19</v>
      </c>
      <c r="K25" s="31">
        <v>0</v>
      </c>
      <c r="L25" s="31">
        <v>0</v>
      </c>
      <c r="M25" s="34">
        <f t="shared" si="0"/>
        <v>155000</v>
      </c>
      <c r="N25" s="44">
        <f t="shared" si="1"/>
        <v>4.9465217176238186E-3</v>
      </c>
      <c r="O25" s="32" t="s">
        <v>40</v>
      </c>
      <c r="P25" s="23"/>
      <c r="Q25" s="22" t="s">
        <v>109</v>
      </c>
    </row>
    <row r="26" spans="1:22" s="3" customFormat="1" ht="24" customHeight="1">
      <c r="A26" s="15">
        <v>18</v>
      </c>
      <c r="B26" s="29" t="s">
        <v>49</v>
      </c>
      <c r="C26" s="30" t="e">
        <f>VLOOKUP(B26,#REF!,2,0)</f>
        <v>#REF!</v>
      </c>
      <c r="D26" s="46">
        <v>43138440</v>
      </c>
      <c r="E26" s="27" t="e">
        <f>VLOOKUP(B26,#REF!,5,0)</f>
        <v>#REF!</v>
      </c>
      <c r="F26" s="27" t="e">
        <f>VLOOKUP(B26,#REF!,9,0)</f>
        <v>#REF!</v>
      </c>
      <c r="G26" s="31">
        <v>67500</v>
      </c>
      <c r="H26" s="31">
        <v>16</v>
      </c>
      <c r="I26" s="31">
        <v>86000</v>
      </c>
      <c r="J26" s="31">
        <v>24</v>
      </c>
      <c r="K26" s="31">
        <v>0</v>
      </c>
      <c r="L26" s="31">
        <v>0</v>
      </c>
      <c r="M26" s="34">
        <f t="shared" si="0"/>
        <v>153500</v>
      </c>
      <c r="N26" s="44">
        <f t="shared" si="1"/>
        <v>3.5583113343922498E-3</v>
      </c>
      <c r="O26" s="32" t="s">
        <v>40</v>
      </c>
      <c r="P26" s="22"/>
      <c r="Q26" s="22" t="s">
        <v>109</v>
      </c>
      <c r="V26" s="3" t="s">
        <v>25</v>
      </c>
    </row>
    <row r="27" spans="1:22" s="3" customFormat="1" ht="21.75" customHeight="1">
      <c r="A27" s="15">
        <v>35</v>
      </c>
      <c r="B27" s="29" t="s">
        <v>33</v>
      </c>
      <c r="C27" s="30" t="e">
        <f>VLOOKUP(B27,#REF!,2,0)</f>
        <v>#REF!</v>
      </c>
      <c r="D27" s="46">
        <v>43707000</v>
      </c>
      <c r="E27" s="27" t="e">
        <f>VLOOKUP(B27,#REF!,5,0)</f>
        <v>#REF!</v>
      </c>
      <c r="F27" s="27" t="e">
        <f>VLOOKUP(B27,#REF!,9,0)</f>
        <v>#REF!</v>
      </c>
      <c r="G27" s="36">
        <v>64000</v>
      </c>
      <c r="H27" s="36">
        <v>4</v>
      </c>
      <c r="I27" s="36">
        <v>71500</v>
      </c>
      <c r="J27" s="36">
        <v>19</v>
      </c>
      <c r="K27" s="36">
        <v>0</v>
      </c>
      <c r="L27" s="36">
        <v>0</v>
      </c>
      <c r="M27" s="34">
        <f t="shared" si="0"/>
        <v>135500</v>
      </c>
      <c r="N27" s="44">
        <f t="shared" si="1"/>
        <v>3.1001899009312009E-3</v>
      </c>
      <c r="O27" s="32" t="s">
        <v>40</v>
      </c>
      <c r="P27" s="23"/>
      <c r="Q27" s="23" t="s">
        <v>109</v>
      </c>
    </row>
    <row r="28" spans="1:22" s="3" customFormat="1" ht="24" customHeight="1">
      <c r="A28" s="15">
        <v>19</v>
      </c>
      <c r="B28" s="29" t="s">
        <v>30</v>
      </c>
      <c r="C28" s="30" t="e">
        <f>VLOOKUP(B28,#REF!,2,0)</f>
        <v>#REF!</v>
      </c>
      <c r="D28" s="46">
        <v>35351700</v>
      </c>
      <c r="E28" s="27" t="e">
        <f>VLOOKUP(B28,#REF!,5,0)</f>
        <v>#REF!</v>
      </c>
      <c r="F28" s="27" t="e">
        <f>VLOOKUP(B28,#REF!,9,0)</f>
        <v>#REF!</v>
      </c>
      <c r="G28" s="31">
        <v>57000</v>
      </c>
      <c r="H28" s="31">
        <v>17</v>
      </c>
      <c r="I28" s="31">
        <v>61500</v>
      </c>
      <c r="J28" s="31">
        <v>15</v>
      </c>
      <c r="K28" s="31">
        <v>0</v>
      </c>
      <c r="L28" s="31">
        <v>0</v>
      </c>
      <c r="M28" s="34">
        <f t="shared" si="0"/>
        <v>118500</v>
      </c>
      <c r="N28" s="44">
        <f t="shared" si="1"/>
        <v>3.3520311611605663E-3</v>
      </c>
      <c r="O28" s="32" t="s">
        <v>40</v>
      </c>
      <c r="P28" s="23"/>
      <c r="Q28" s="22"/>
    </row>
    <row r="29" spans="1:22" s="3" customFormat="1" ht="24" customHeight="1">
      <c r="A29" s="15">
        <v>4</v>
      </c>
      <c r="B29" s="29" t="s">
        <v>24</v>
      </c>
      <c r="C29" s="30" t="e">
        <f>VLOOKUP(B29,#REF!,2,0)</f>
        <v>#REF!</v>
      </c>
      <c r="D29" s="46">
        <v>36288800</v>
      </c>
      <c r="E29" s="27" t="e">
        <f>VLOOKUP(B29,#REF!,5,0)</f>
        <v>#REF!</v>
      </c>
      <c r="F29" s="27" t="e">
        <f>VLOOKUP(B29,#REF!,9,0)</f>
        <v>#REF!</v>
      </c>
      <c r="G29" s="31">
        <v>55000</v>
      </c>
      <c r="H29" s="31">
        <v>12</v>
      </c>
      <c r="I29" s="31">
        <v>55000</v>
      </c>
      <c r="J29" s="31">
        <v>16</v>
      </c>
      <c r="K29" s="31">
        <v>7000</v>
      </c>
      <c r="L29" s="31">
        <v>2</v>
      </c>
      <c r="M29" s="34">
        <f t="shared" si="0"/>
        <v>117000</v>
      </c>
      <c r="N29" s="44">
        <f t="shared" si="1"/>
        <v>3.2241352703864553E-3</v>
      </c>
      <c r="O29" s="41" t="s">
        <v>40</v>
      </c>
      <c r="P29" s="45"/>
      <c r="Q29" s="24" t="s">
        <v>109</v>
      </c>
    </row>
    <row r="30" spans="1:22" s="3" customFormat="1" ht="24" customHeight="1">
      <c r="A30" s="15">
        <v>8</v>
      </c>
      <c r="B30" s="29" t="s">
        <v>44</v>
      </c>
      <c r="C30" s="30" t="e">
        <f>VLOOKUP(B30,#REF!,2,0)</f>
        <v>#REF!</v>
      </c>
      <c r="D30" s="46">
        <v>33771350</v>
      </c>
      <c r="E30" s="27" t="e">
        <f>VLOOKUP(B30,#REF!,5,0)</f>
        <v>#REF!</v>
      </c>
      <c r="F30" s="27" t="e">
        <f>VLOOKUP(B30,#REF!,9,0)</f>
        <v>#REF!</v>
      </c>
      <c r="G30" s="31">
        <v>46000</v>
      </c>
      <c r="H30" s="31">
        <v>11</v>
      </c>
      <c r="I30" s="32">
        <v>75500</v>
      </c>
      <c r="J30" s="32">
        <v>20</v>
      </c>
      <c r="K30" s="32">
        <v>0</v>
      </c>
      <c r="L30" s="32">
        <v>0</v>
      </c>
      <c r="M30" s="34">
        <f t="shared" si="0"/>
        <v>121500</v>
      </c>
      <c r="N30" s="44">
        <f t="shared" si="1"/>
        <v>3.5977241063801122E-3</v>
      </c>
      <c r="O30" s="32" t="s">
        <v>40</v>
      </c>
      <c r="P30" s="23"/>
      <c r="Q30" s="22"/>
    </row>
    <row r="31" spans="1:22" s="3" customFormat="1" ht="24" customHeight="1">
      <c r="A31" s="15">
        <v>17</v>
      </c>
      <c r="B31" s="29" t="s">
        <v>28</v>
      </c>
      <c r="C31" s="30" t="e">
        <f>VLOOKUP(B31,#REF!,2,0)</f>
        <v>#REF!</v>
      </c>
      <c r="D31" s="46">
        <v>82861350</v>
      </c>
      <c r="E31" s="27" t="e">
        <f>VLOOKUP(B31,#REF!,5,0)</f>
        <v>#REF!</v>
      </c>
      <c r="F31" s="27" t="e">
        <f>VLOOKUP(B31,#REF!,9,0)</f>
        <v>#REF!</v>
      </c>
      <c r="G31" s="31">
        <v>46000</v>
      </c>
      <c r="H31" s="31">
        <v>8</v>
      </c>
      <c r="I31" s="31">
        <v>115000</v>
      </c>
      <c r="J31" s="31">
        <f>17+16</f>
        <v>33</v>
      </c>
      <c r="K31" s="31">
        <v>3000</v>
      </c>
      <c r="L31" s="31">
        <v>1</v>
      </c>
      <c r="M31" s="34">
        <f t="shared" si="0"/>
        <v>164000</v>
      </c>
      <c r="N31" s="44">
        <f t="shared" si="1"/>
        <v>1.9792098487413008E-3</v>
      </c>
      <c r="O31" s="41" t="s">
        <v>40</v>
      </c>
      <c r="P31" s="22"/>
      <c r="Q31" s="22" t="s">
        <v>109</v>
      </c>
    </row>
    <row r="32" spans="1:22" s="3" customFormat="1" ht="24" customHeight="1">
      <c r="A32" s="15">
        <v>12</v>
      </c>
      <c r="B32" s="29" t="s">
        <v>46</v>
      </c>
      <c r="C32" s="30" t="e">
        <f>VLOOKUP(B32,#REF!,2,0)</f>
        <v>#REF!</v>
      </c>
      <c r="D32" s="46">
        <v>21499680</v>
      </c>
      <c r="E32" s="27" t="e">
        <f>VLOOKUP(B32,#REF!,5,0)</f>
        <v>#REF!</v>
      </c>
      <c r="F32" s="27" t="e">
        <f>VLOOKUP(B32,#REF!,9,0)</f>
        <v>#REF!</v>
      </c>
      <c r="G32" s="31">
        <v>44000</v>
      </c>
      <c r="H32" s="31">
        <v>10</v>
      </c>
      <c r="I32" s="31">
        <v>40000</v>
      </c>
      <c r="J32" s="31">
        <v>11</v>
      </c>
      <c r="K32" s="31">
        <v>57500</v>
      </c>
      <c r="L32" s="31">
        <v>2</v>
      </c>
      <c r="M32" s="34">
        <f t="shared" si="0"/>
        <v>141500</v>
      </c>
      <c r="N32" s="44">
        <f t="shared" si="1"/>
        <v>6.5814933059468788E-3</v>
      </c>
      <c r="O32" s="32" t="s">
        <v>40</v>
      </c>
      <c r="P32" s="23" t="s">
        <v>110</v>
      </c>
      <c r="Q32" s="22" t="s">
        <v>109</v>
      </c>
    </row>
    <row r="33" spans="1:22" s="3" customFormat="1" ht="24" customHeight="1">
      <c r="A33" s="15">
        <v>9</v>
      </c>
      <c r="B33" s="29" t="s">
        <v>45</v>
      </c>
      <c r="C33" s="30" t="e">
        <f>VLOOKUP(B33,#REF!,2,0)</f>
        <v>#REF!</v>
      </c>
      <c r="D33" s="46">
        <v>27445450</v>
      </c>
      <c r="E33" s="27" t="e">
        <f>VLOOKUP(B33,#REF!,5,0)</f>
        <v>#REF!</v>
      </c>
      <c r="F33" s="27" t="e">
        <f>VLOOKUP(B33,#REF!,9,0)</f>
        <v>#REF!</v>
      </c>
      <c r="G33" s="31">
        <v>40000</v>
      </c>
      <c r="H33" s="31">
        <v>8</v>
      </c>
      <c r="I33" s="31">
        <v>24800</v>
      </c>
      <c r="J33" s="31">
        <v>7</v>
      </c>
      <c r="K33" s="31">
        <v>3000</v>
      </c>
      <c r="L33" s="31">
        <v>1</v>
      </c>
      <c r="M33" s="34">
        <f t="shared" si="0"/>
        <v>67800</v>
      </c>
      <c r="N33" s="44">
        <f t="shared" si="1"/>
        <v>2.4703548311286569E-3</v>
      </c>
      <c r="O33" s="41" t="s">
        <v>40</v>
      </c>
      <c r="P33" s="23"/>
      <c r="Q33" s="22" t="s">
        <v>109</v>
      </c>
    </row>
    <row r="34" spans="1:22" s="3" customFormat="1" ht="24" customHeight="1">
      <c r="A34" s="15">
        <v>32</v>
      </c>
      <c r="B34" s="35" t="s">
        <v>26</v>
      </c>
      <c r="C34" s="30" t="e">
        <f>VLOOKUP(B34,#REF!,2,0)</f>
        <v>#REF!</v>
      </c>
      <c r="D34" s="46">
        <v>20591650</v>
      </c>
      <c r="E34" s="27" t="e">
        <f>VLOOKUP(B34,#REF!,5,0)</f>
        <v>#REF!</v>
      </c>
      <c r="F34" s="27" t="e">
        <f>VLOOKUP(B34,#REF!,9,0)</f>
        <v>#REF!</v>
      </c>
      <c r="G34" s="31">
        <v>27000</v>
      </c>
      <c r="H34" s="31">
        <v>9</v>
      </c>
      <c r="I34" s="32">
        <v>13000</v>
      </c>
      <c r="J34" s="32">
        <v>3</v>
      </c>
      <c r="K34" s="32"/>
      <c r="L34" s="32"/>
      <c r="M34" s="34">
        <f t="shared" si="0"/>
        <v>40000</v>
      </c>
      <c r="N34" s="44">
        <f t="shared" si="1"/>
        <v>1.9425349595588502E-3</v>
      </c>
      <c r="O34" s="41" t="s">
        <v>40</v>
      </c>
      <c r="P34" s="22"/>
      <c r="Q34" s="22"/>
    </row>
    <row r="35" spans="1:22" s="3" customFormat="1" ht="24" customHeight="1">
      <c r="A35" s="15">
        <v>2</v>
      </c>
      <c r="B35" s="29" t="s">
        <v>19</v>
      </c>
      <c r="C35" s="30" t="e">
        <f>VLOOKUP(B35,#REF!,2,0)</f>
        <v>#REF!</v>
      </c>
      <c r="D35" s="46">
        <v>33141940</v>
      </c>
      <c r="E35" s="27" t="e">
        <f>VLOOKUP(B35,#REF!,5,0)</f>
        <v>#REF!</v>
      </c>
      <c r="F35" s="27" t="e">
        <f>VLOOKUP(B35,#REF!,9,0)</f>
        <v>#REF!</v>
      </c>
      <c r="G35" s="31">
        <v>20000</v>
      </c>
      <c r="H35" s="31">
        <v>4</v>
      </c>
      <c r="I35" s="31">
        <v>38500</v>
      </c>
      <c r="J35" s="31">
        <v>10</v>
      </c>
      <c r="K35" s="31">
        <v>3000</v>
      </c>
      <c r="L35" s="31">
        <v>1</v>
      </c>
      <c r="M35" s="34">
        <f t="shared" si="0"/>
        <v>61500</v>
      </c>
      <c r="N35" s="44">
        <f t="shared" si="1"/>
        <v>1.8556547987233095E-3</v>
      </c>
      <c r="O35" s="32" t="s">
        <v>40</v>
      </c>
      <c r="P35" s="23"/>
      <c r="Q35" s="23" t="s">
        <v>109</v>
      </c>
    </row>
    <row r="36" spans="1:22" s="3" customFormat="1" ht="24" customHeight="1">
      <c r="A36" s="15">
        <v>40</v>
      </c>
      <c r="B36" s="29" t="s">
        <v>55</v>
      </c>
      <c r="C36" s="30" t="e">
        <f>VLOOKUP(B36,#REF!,2,0)</f>
        <v>#REF!</v>
      </c>
      <c r="D36" s="46">
        <v>50619300</v>
      </c>
      <c r="E36" s="27" t="e">
        <f>VLOOKUP(B36,#REF!,5,0)</f>
        <v>#REF!</v>
      </c>
      <c r="F36" s="27" t="e">
        <f>VLOOKUP(B36,#REF!,9,0)</f>
        <v>#REF!</v>
      </c>
      <c r="G36" s="31">
        <v>17000</v>
      </c>
      <c r="H36" s="31">
        <v>4</v>
      </c>
      <c r="I36" s="32">
        <v>73500</v>
      </c>
      <c r="J36" s="32">
        <v>19</v>
      </c>
      <c r="K36" s="32">
        <v>2500</v>
      </c>
      <c r="L36" s="32">
        <v>1</v>
      </c>
      <c r="M36" s="34">
        <f t="shared" si="0"/>
        <v>93000</v>
      </c>
      <c r="N36" s="44">
        <f t="shared" si="1"/>
        <v>1.8372438970906354E-3</v>
      </c>
      <c r="O36" s="32" t="s">
        <v>40</v>
      </c>
      <c r="P36" s="23"/>
      <c r="Q36" s="22" t="s">
        <v>109</v>
      </c>
    </row>
    <row r="37" spans="1:22" s="3" customFormat="1" ht="24" customHeight="1">
      <c r="A37" s="15">
        <v>41</v>
      </c>
      <c r="B37" s="29" t="s">
        <v>56</v>
      </c>
      <c r="C37" s="30" t="e">
        <f>VLOOKUP(B37,#REF!,2,0)</f>
        <v>#REF!</v>
      </c>
      <c r="D37" s="46">
        <v>39209040</v>
      </c>
      <c r="E37" s="27" t="e">
        <f>VLOOKUP(B37,#REF!,5,0)</f>
        <v>#REF!</v>
      </c>
      <c r="F37" s="27" t="e">
        <f>VLOOKUP(B37,#REF!,9,0)</f>
        <v>#REF!</v>
      </c>
      <c r="G37" s="31">
        <v>15000</v>
      </c>
      <c r="H37" s="31">
        <v>1</v>
      </c>
      <c r="I37" s="32">
        <v>103000</v>
      </c>
      <c r="J37" s="32">
        <v>27</v>
      </c>
      <c r="K37" s="32">
        <v>3000</v>
      </c>
      <c r="L37" s="32">
        <v>1</v>
      </c>
      <c r="M37" s="34">
        <f t="shared" si="0"/>
        <v>121000</v>
      </c>
      <c r="N37" s="44">
        <f t="shared" si="1"/>
        <v>3.0860230191812909E-3</v>
      </c>
      <c r="O37" s="32" t="s">
        <v>40</v>
      </c>
      <c r="P37" s="24"/>
      <c r="Q37" s="45"/>
    </row>
    <row r="38" spans="1:22" s="3" customFormat="1" ht="24" customHeight="1">
      <c r="A38" s="15">
        <v>10</v>
      </c>
      <c r="B38" s="29" t="s">
        <v>27</v>
      </c>
      <c r="C38" s="30" t="e">
        <f>VLOOKUP(B38,#REF!,2,0)</f>
        <v>#REF!</v>
      </c>
      <c r="D38" s="46">
        <v>19634560</v>
      </c>
      <c r="E38" s="27" t="e">
        <f>VLOOKUP(B38,#REF!,5,0)</f>
        <v>#REF!</v>
      </c>
      <c r="F38" s="27" t="e">
        <f>VLOOKUP(B38,#REF!,9,0)</f>
        <v>#REF!</v>
      </c>
      <c r="G38" s="31">
        <v>14500</v>
      </c>
      <c r="H38" s="31">
        <v>4</v>
      </c>
      <c r="I38" s="31">
        <v>29500</v>
      </c>
      <c r="J38" s="31">
        <v>8</v>
      </c>
      <c r="K38" s="31">
        <v>6000</v>
      </c>
      <c r="L38" s="31">
        <v>2</v>
      </c>
      <c r="M38" s="34">
        <f t="shared" si="0"/>
        <v>50000</v>
      </c>
      <c r="N38" s="44">
        <f t="shared" si="1"/>
        <v>2.5465301998109455E-3</v>
      </c>
      <c r="O38" s="41" t="s">
        <v>40</v>
      </c>
      <c r="P38" s="22"/>
      <c r="Q38" s="22"/>
    </row>
    <row r="39" spans="1:22" s="3" customFormat="1" ht="24" customHeight="1">
      <c r="A39" s="15">
        <v>38</v>
      </c>
      <c r="B39" s="29" t="s">
        <v>54</v>
      </c>
      <c r="C39" s="30" t="e">
        <f>VLOOKUP(B39,#REF!,2,0)</f>
        <v>#REF!</v>
      </c>
      <c r="D39" s="46">
        <v>53008870</v>
      </c>
      <c r="E39" s="27" t="e">
        <f>VLOOKUP(B39,#REF!,5,0)</f>
        <v>#REF!</v>
      </c>
      <c r="F39" s="27" t="e">
        <f>VLOOKUP(B39,#REF!,9,0)</f>
        <v>#REF!</v>
      </c>
      <c r="G39" s="31">
        <v>14000</v>
      </c>
      <c r="H39" s="31">
        <v>3</v>
      </c>
      <c r="I39" s="32">
        <v>37500</v>
      </c>
      <c r="J39" s="32">
        <v>11</v>
      </c>
      <c r="K39" s="32">
        <v>9500</v>
      </c>
      <c r="L39" s="32">
        <v>3</v>
      </c>
      <c r="M39" s="34">
        <f t="shared" si="0"/>
        <v>61000</v>
      </c>
      <c r="N39" s="44">
        <f t="shared" si="1"/>
        <v>1.1507508083081191E-3</v>
      </c>
      <c r="O39" s="32" t="s">
        <v>40</v>
      </c>
      <c r="P39" s="22" t="s">
        <v>117</v>
      </c>
      <c r="Q39" s="22"/>
    </row>
    <row r="40" spans="1:22" s="3" customFormat="1" ht="24" customHeight="1" thickBot="1">
      <c r="A40" s="15">
        <v>46</v>
      </c>
      <c r="B40" s="29" t="s">
        <v>15</v>
      </c>
      <c r="C40" s="30" t="e">
        <f>VLOOKUP(B40,#REF!,2,0)</f>
        <v>#REF!</v>
      </c>
      <c r="D40" s="46">
        <v>29970950</v>
      </c>
      <c r="E40" s="27" t="e">
        <f>VLOOKUP(B40,#REF!,5,0)</f>
        <v>#REF!</v>
      </c>
      <c r="F40" s="27" t="e">
        <f>VLOOKUP(B40,#REF!,9,0)</f>
        <v>#REF!</v>
      </c>
      <c r="G40" s="31">
        <v>0</v>
      </c>
      <c r="H40" s="31">
        <v>0</v>
      </c>
      <c r="I40" s="32">
        <v>46500</v>
      </c>
      <c r="J40" s="32">
        <v>12</v>
      </c>
      <c r="K40" s="32">
        <v>0</v>
      </c>
      <c r="L40" s="32">
        <v>0</v>
      </c>
      <c r="M40" s="34">
        <f t="shared" si="0"/>
        <v>46500</v>
      </c>
      <c r="N40" s="44">
        <f t="shared" si="1"/>
        <v>1.5515023714630335E-3</v>
      </c>
      <c r="O40" s="41" t="s">
        <v>40</v>
      </c>
      <c r="P40" s="22"/>
      <c r="Q40" s="22"/>
    </row>
    <row r="41" spans="1:22" s="3" customFormat="1" ht="21" customHeight="1" thickBot="1">
      <c r="A41" s="42"/>
      <c r="B41" s="26" t="s">
        <v>120</v>
      </c>
      <c r="C41" s="26"/>
      <c r="D41" s="43">
        <f>SUBTOTAL(9,D3:D40)</f>
        <v>1478279690</v>
      </c>
      <c r="E41" s="26"/>
      <c r="F41" s="26"/>
      <c r="G41" s="43">
        <f t="shared" ref="G41:M41" si="2">SUBTOTAL(9,G3:G40)</f>
        <v>4257500</v>
      </c>
      <c r="H41" s="43">
        <f t="shared" si="2"/>
        <v>1009</v>
      </c>
      <c r="I41" s="43">
        <f t="shared" si="2"/>
        <v>2413100</v>
      </c>
      <c r="J41" s="43">
        <f t="shared" si="2"/>
        <v>639</v>
      </c>
      <c r="K41" s="43">
        <f t="shared" si="2"/>
        <v>411100</v>
      </c>
      <c r="L41" s="43">
        <f t="shared" si="2"/>
        <v>41</v>
      </c>
      <c r="M41" s="48">
        <f t="shared" si="2"/>
        <v>7081700</v>
      </c>
      <c r="N41" s="50">
        <f t="shared" si="1"/>
        <v>4.7905007745861674E-3</v>
      </c>
      <c r="O41" s="21"/>
      <c r="P41" s="18"/>
    </row>
    <row r="42" spans="1:22" ht="16.5" customHeight="1" thickBot="1">
      <c r="M42" s="16"/>
      <c r="N42" s="16"/>
      <c r="O42" s="21"/>
    </row>
    <row r="43" spans="1:22" s="3" customFormat="1" ht="21.75" customHeight="1" thickBot="1">
      <c r="A43" s="51"/>
      <c r="B43" s="52" t="s">
        <v>61</v>
      </c>
      <c r="C43" s="52"/>
      <c r="D43" s="53">
        <f>SUM(D44:D47)</f>
        <v>6915020260</v>
      </c>
      <c r="E43" s="53">
        <f t="shared" ref="E43:L43" si="3">SUM(E44:E47)</f>
        <v>0</v>
      </c>
      <c r="F43" s="53">
        <f t="shared" si="3"/>
        <v>0</v>
      </c>
      <c r="G43" s="53" t="e">
        <f t="shared" si="3"/>
        <v>#REF!</v>
      </c>
      <c r="H43" s="53" t="e">
        <f t="shared" si="3"/>
        <v>#REF!</v>
      </c>
      <c r="I43" s="53" t="e">
        <f t="shared" si="3"/>
        <v>#REF!</v>
      </c>
      <c r="J43" s="53" t="e">
        <f t="shared" si="3"/>
        <v>#REF!</v>
      </c>
      <c r="K43" s="53" t="e">
        <f t="shared" si="3"/>
        <v>#REF!</v>
      </c>
      <c r="L43" s="53" t="e">
        <f t="shared" si="3"/>
        <v>#REF!</v>
      </c>
      <c r="M43" s="53" t="e">
        <f>SUM(M44:M47)</f>
        <v>#REF!</v>
      </c>
      <c r="N43" s="54" t="e">
        <f>M43/D43</f>
        <v>#REF!</v>
      </c>
    </row>
    <row r="44" spans="1:22" s="3" customFormat="1" ht="21.75" customHeight="1" thickBot="1">
      <c r="A44" s="12"/>
      <c r="B44" s="11" t="s">
        <v>107</v>
      </c>
      <c r="C44" s="11"/>
      <c r="D44" s="47">
        <v>1927421770</v>
      </c>
      <c r="E44" s="11"/>
      <c r="F44" s="11"/>
      <c r="G44" s="10" t="e">
        <f>#REF!</f>
        <v>#REF!</v>
      </c>
      <c r="H44" s="10" t="e">
        <f>#REF!</f>
        <v>#REF!</v>
      </c>
      <c r="I44" s="10" t="e">
        <f>#REF!</f>
        <v>#REF!</v>
      </c>
      <c r="J44" s="10" t="e">
        <f>#REF!</f>
        <v>#REF!</v>
      </c>
      <c r="K44" s="10" t="e">
        <f>#REF!</f>
        <v>#REF!</v>
      </c>
      <c r="L44" s="10" t="e">
        <f>#REF!</f>
        <v>#REF!</v>
      </c>
      <c r="M44" s="19" t="e">
        <f>G44+I44+K44</f>
        <v>#REF!</v>
      </c>
      <c r="N44" s="49" t="e">
        <f>M44/D44</f>
        <v>#REF!</v>
      </c>
    </row>
    <row r="45" spans="1:22" s="3" customFormat="1" ht="21.75" customHeight="1" thickBot="1">
      <c r="A45" s="12"/>
      <c r="B45" s="11" t="s">
        <v>60</v>
      </c>
      <c r="C45" s="11"/>
      <c r="D45" s="47">
        <v>1644660060</v>
      </c>
      <c r="E45" s="11"/>
      <c r="F45" s="11"/>
      <c r="G45" s="10" t="e">
        <f>#REF!</f>
        <v>#REF!</v>
      </c>
      <c r="H45" s="10" t="e">
        <f>#REF!</f>
        <v>#REF!</v>
      </c>
      <c r="I45" s="10" t="e">
        <f>#REF!</f>
        <v>#REF!</v>
      </c>
      <c r="J45" s="10" t="e">
        <f>#REF!</f>
        <v>#REF!</v>
      </c>
      <c r="K45" s="10" t="e">
        <f>#REF!</f>
        <v>#REF!</v>
      </c>
      <c r="L45" s="10" t="e">
        <f>#REF!</f>
        <v>#REF!</v>
      </c>
      <c r="M45" s="19" t="e">
        <f>G45+I45+K45</f>
        <v>#REF!</v>
      </c>
      <c r="N45" s="49" t="e">
        <f>M45/D45</f>
        <v>#REF!</v>
      </c>
    </row>
    <row r="46" spans="1:22" s="3" customFormat="1" ht="21.75" customHeight="1" thickBot="1">
      <c r="A46" s="12"/>
      <c r="B46" s="11" t="s">
        <v>108</v>
      </c>
      <c r="C46" s="11"/>
      <c r="D46" s="47">
        <v>1864658740</v>
      </c>
      <c r="E46" s="11"/>
      <c r="F46" s="11"/>
      <c r="G46" s="10" t="e">
        <f>#REF!</f>
        <v>#REF!</v>
      </c>
      <c r="H46" s="10" t="e">
        <f>#REF!</f>
        <v>#REF!</v>
      </c>
      <c r="I46" s="10" t="e">
        <f>#REF!</f>
        <v>#REF!</v>
      </c>
      <c r="J46" s="10" t="e">
        <f>#REF!</f>
        <v>#REF!</v>
      </c>
      <c r="K46" s="10" t="e">
        <f>#REF!</f>
        <v>#REF!</v>
      </c>
      <c r="L46" s="10" t="e">
        <f>#REF!</f>
        <v>#REF!</v>
      </c>
      <c r="M46" s="19" t="e">
        <f>G46+I46+K46</f>
        <v>#REF!</v>
      </c>
      <c r="N46" s="49" t="e">
        <f>M46/D46</f>
        <v>#REF!</v>
      </c>
    </row>
    <row r="47" spans="1:22" s="18" customFormat="1" ht="21.75" customHeight="1" thickBot="1">
      <c r="A47" s="12"/>
      <c r="B47" s="11" t="s">
        <v>121</v>
      </c>
      <c r="C47" s="11"/>
      <c r="D47" s="47">
        <f>D41</f>
        <v>1478279690</v>
      </c>
      <c r="E47" s="11"/>
      <c r="F47" s="11"/>
      <c r="G47" s="10">
        <f t="shared" ref="G47:L47" si="4">G41</f>
        <v>4257500</v>
      </c>
      <c r="H47" s="10">
        <f t="shared" si="4"/>
        <v>1009</v>
      </c>
      <c r="I47" s="10">
        <f t="shared" si="4"/>
        <v>2413100</v>
      </c>
      <c r="J47" s="10">
        <f t="shared" si="4"/>
        <v>639</v>
      </c>
      <c r="K47" s="10">
        <f t="shared" si="4"/>
        <v>411100</v>
      </c>
      <c r="L47" s="10">
        <f t="shared" si="4"/>
        <v>41</v>
      </c>
      <c r="M47" s="19">
        <f>G47+I47+K47</f>
        <v>7081700</v>
      </c>
      <c r="N47" s="49">
        <f>M47/D47</f>
        <v>4.7905007745861674E-3</v>
      </c>
      <c r="O47" s="6"/>
      <c r="R47" s="6"/>
      <c r="S47" s="6"/>
      <c r="T47" s="6"/>
      <c r="U47" s="6"/>
      <c r="V47" s="6"/>
    </row>
    <row r="48" spans="1:22" s="18" customFormat="1" ht="16.5" customHeight="1">
      <c r="A48" s="7"/>
      <c r="B48" s="7"/>
      <c r="C48" s="7"/>
      <c r="D48" s="7"/>
      <c r="E48" s="7"/>
      <c r="F48" s="7"/>
      <c r="G48" s="8"/>
      <c r="H48" s="8"/>
      <c r="I48" s="9"/>
      <c r="J48" s="9"/>
      <c r="K48" s="9"/>
      <c r="L48" s="9"/>
      <c r="M48" s="6"/>
      <c r="N48" s="6"/>
      <c r="O48" s="6"/>
      <c r="R48" s="6"/>
      <c r="S48" s="6"/>
      <c r="T48" s="6"/>
      <c r="U48" s="6"/>
      <c r="V48" s="6"/>
    </row>
    <row r="53" spans="11:11" ht="16.5" customHeight="1">
      <c r="K53" s="9" t="s">
        <v>118</v>
      </c>
    </row>
  </sheetData>
  <autoFilter ref="A2:V40"/>
  <sortState ref="A3:V62">
    <sortCondition descending="1" ref="G3:G62"/>
  </sortState>
  <mergeCells count="1">
    <mergeCell ref="G1:P1"/>
  </mergeCells>
  <phoneticPr fontId="3" type="noConversion"/>
  <pageMargins left="0.39370078740157483" right="0.35433070866141736" top="0.19685039370078741" bottom="0.31496062992125984" header="0.31496062992125984" footer="0.31496062992125984"/>
  <pageSetup paperSize="8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40"/>
  <sheetViews>
    <sheetView zoomScale="130" zoomScaleNormal="130" workbookViewId="0">
      <selection activeCell="F23" sqref="F23"/>
    </sheetView>
  </sheetViews>
  <sheetFormatPr defaultRowHeight="16.5"/>
  <cols>
    <col min="2" max="2" width="5" bestFit="1" customWidth="1"/>
    <col min="3" max="3" width="12.625" bestFit="1" customWidth="1"/>
    <col min="4" max="4" width="8" bestFit="1" customWidth="1"/>
    <col min="5" max="5" width="10.875" bestFit="1" customWidth="1"/>
    <col min="6" max="6" width="6.25" bestFit="1" customWidth="1"/>
    <col min="7" max="7" width="12.125" bestFit="1" customWidth="1"/>
    <col min="8" max="8" width="6.25" bestFit="1" customWidth="1"/>
    <col min="9" max="9" width="8.625" bestFit="1" customWidth="1"/>
    <col min="10" max="10" width="6" bestFit="1" customWidth="1"/>
    <col min="11" max="11" width="10.25" bestFit="1" customWidth="1"/>
    <col min="12" max="12" width="5.875" bestFit="1" customWidth="1"/>
  </cols>
  <sheetData>
    <row r="5" spans="2:13">
      <c r="B5" s="268" t="s">
        <v>164</v>
      </c>
      <c r="C5" s="268"/>
      <c r="D5" s="64"/>
      <c r="E5" s="64"/>
      <c r="F5" s="64"/>
      <c r="G5" s="64"/>
      <c r="H5" s="64"/>
      <c r="I5" s="64"/>
      <c r="J5" s="64"/>
      <c r="K5" s="64"/>
      <c r="L5" s="64"/>
    </row>
    <row r="6" spans="2:13" ht="25.5">
      <c r="B6" s="65"/>
      <c r="C6" s="65" t="s">
        <v>139</v>
      </c>
      <c r="D6" s="65" t="s">
        <v>146</v>
      </c>
      <c r="E6" s="66" t="s">
        <v>144</v>
      </c>
      <c r="F6" s="66" t="s">
        <v>142</v>
      </c>
      <c r="G6" s="80" t="s">
        <v>145</v>
      </c>
      <c r="H6" s="66" t="s">
        <v>142</v>
      </c>
      <c r="I6" s="66" t="s">
        <v>143</v>
      </c>
      <c r="J6" s="80" t="s">
        <v>142</v>
      </c>
      <c r="K6" s="65" t="s">
        <v>140</v>
      </c>
      <c r="L6" s="65" t="s">
        <v>141</v>
      </c>
    </row>
    <row r="7" spans="2:13">
      <c r="B7" s="66" t="s">
        <v>165</v>
      </c>
      <c r="C7" s="67">
        <v>2544931756</v>
      </c>
      <c r="D7" s="68">
        <f t="shared" ref="D7:D15" si="0">K7/C7</f>
        <v>4.783845370822588E-3</v>
      </c>
      <c r="E7" s="67">
        <v>8241680</v>
      </c>
      <c r="F7" s="67">
        <v>1544</v>
      </c>
      <c r="G7" s="67">
        <v>2654640</v>
      </c>
      <c r="H7" s="67">
        <v>648</v>
      </c>
      <c r="I7" s="67">
        <v>1278240</v>
      </c>
      <c r="J7" s="66">
        <v>62</v>
      </c>
      <c r="K7" s="67">
        <f t="shared" ref="K7:K18" si="1">E7+G7+I7</f>
        <v>12174560</v>
      </c>
      <c r="L7" s="69">
        <f>K7/K36</f>
        <v>0.83695005066566575</v>
      </c>
      <c r="M7" s="74">
        <f>K7/C7</f>
        <v>4.783845370822588E-3</v>
      </c>
    </row>
    <row r="8" spans="2:13">
      <c r="B8" s="66" t="s">
        <v>148</v>
      </c>
      <c r="C8" s="67">
        <v>2676358390</v>
      </c>
      <c r="D8" s="68">
        <f t="shared" si="0"/>
        <v>4.5185727162646554E-3</v>
      </c>
      <c r="E8" s="67">
        <v>7208230</v>
      </c>
      <c r="F8" s="67">
        <v>1587</v>
      </c>
      <c r="G8" s="67">
        <v>4194040</v>
      </c>
      <c r="H8" s="67">
        <v>1015</v>
      </c>
      <c r="I8" s="67">
        <v>691050</v>
      </c>
      <c r="J8" s="66">
        <v>43</v>
      </c>
      <c r="K8" s="67">
        <f t="shared" si="1"/>
        <v>12093320</v>
      </c>
      <c r="L8" s="69">
        <f>K8/K7</f>
        <v>0.9933270689043382</v>
      </c>
      <c r="M8" s="74">
        <f t="shared" ref="M8:M14" si="2">K8/C8</f>
        <v>4.5185727162646554E-3</v>
      </c>
    </row>
    <row r="9" spans="2:13">
      <c r="B9" s="66" t="s">
        <v>167</v>
      </c>
      <c r="C9" s="67">
        <v>2921414132</v>
      </c>
      <c r="D9" s="68">
        <f t="shared" si="0"/>
        <v>5.5150517085264788E-3</v>
      </c>
      <c r="E9" s="67">
        <v>9489100</v>
      </c>
      <c r="F9" s="67">
        <v>1974</v>
      </c>
      <c r="G9" s="67">
        <v>5473870</v>
      </c>
      <c r="H9" s="67">
        <v>1300</v>
      </c>
      <c r="I9" s="67">
        <v>1148780</v>
      </c>
      <c r="J9" s="66">
        <v>52</v>
      </c>
      <c r="K9" s="67">
        <f t="shared" si="1"/>
        <v>16111750</v>
      </c>
      <c r="L9" s="69">
        <f t="shared" ref="L9:L18" si="3">K9/K8</f>
        <v>1.3322850962349462</v>
      </c>
      <c r="M9" s="74">
        <f t="shared" si="2"/>
        <v>5.5150517085264788E-3</v>
      </c>
    </row>
    <row r="10" spans="2:13">
      <c r="B10" s="66" t="s">
        <v>149</v>
      </c>
      <c r="C10" s="67">
        <v>3561041622</v>
      </c>
      <c r="D10" s="68">
        <f t="shared" si="0"/>
        <v>4.750264612324152E-3</v>
      </c>
      <c r="E10" s="67">
        <v>10298140</v>
      </c>
      <c r="F10" s="67">
        <v>2448</v>
      </c>
      <c r="G10" s="67">
        <v>5941260</v>
      </c>
      <c r="H10" s="67">
        <v>1405</v>
      </c>
      <c r="I10" s="67">
        <v>676490</v>
      </c>
      <c r="J10" s="66">
        <v>54</v>
      </c>
      <c r="K10" s="67">
        <f t="shared" si="1"/>
        <v>16915890</v>
      </c>
      <c r="L10" s="69">
        <f t="shared" si="3"/>
        <v>1.0499101587350848</v>
      </c>
      <c r="M10" s="74">
        <f t="shared" si="2"/>
        <v>4.750264612324152E-3</v>
      </c>
    </row>
    <row r="11" spans="2:13">
      <c r="B11" s="66" t="s">
        <v>150</v>
      </c>
      <c r="C11" s="67">
        <v>3722708136</v>
      </c>
      <c r="D11" s="68">
        <f t="shared" si="0"/>
        <v>5.0873878123439331E-3</v>
      </c>
      <c r="E11" s="67">
        <v>11872640</v>
      </c>
      <c r="F11" s="67">
        <v>2400</v>
      </c>
      <c r="G11" s="67">
        <v>6250670</v>
      </c>
      <c r="H11" s="67">
        <v>1530</v>
      </c>
      <c r="I11" s="67">
        <v>815550</v>
      </c>
      <c r="J11" s="66">
        <v>47</v>
      </c>
      <c r="K11" s="67">
        <f t="shared" si="1"/>
        <v>18938860</v>
      </c>
      <c r="L11" s="69">
        <f t="shared" si="3"/>
        <v>1.1195899240300096</v>
      </c>
      <c r="M11" s="74">
        <f t="shared" si="2"/>
        <v>5.0873878123439331E-3</v>
      </c>
    </row>
    <row r="12" spans="2:13">
      <c r="B12" s="66" t="s">
        <v>172</v>
      </c>
      <c r="C12" s="67">
        <v>4037824686</v>
      </c>
      <c r="D12" s="68">
        <f t="shared" si="0"/>
        <v>4.4892909944431398E-3</v>
      </c>
      <c r="E12" s="67">
        <v>9394510</v>
      </c>
      <c r="F12" s="67">
        <v>2007</v>
      </c>
      <c r="G12" s="67">
        <v>7777950</v>
      </c>
      <c r="H12" s="67">
        <v>1962</v>
      </c>
      <c r="I12" s="67">
        <v>954510</v>
      </c>
      <c r="J12" s="66">
        <v>47</v>
      </c>
      <c r="K12" s="67">
        <v>18126970</v>
      </c>
      <c r="L12" s="69">
        <f t="shared" si="3"/>
        <v>0.95713099943713609</v>
      </c>
      <c r="M12" s="74">
        <f t="shared" si="2"/>
        <v>4.4892909944431398E-3</v>
      </c>
    </row>
    <row r="13" spans="2:13">
      <c r="B13" s="66" t="s">
        <v>147</v>
      </c>
      <c r="C13" s="67">
        <v>3339138178</v>
      </c>
      <c r="D13" s="68">
        <f t="shared" si="0"/>
        <v>5.7169362219786522E-3</v>
      </c>
      <c r="E13" s="67">
        <v>10140310</v>
      </c>
      <c r="F13" s="67">
        <v>2091</v>
      </c>
      <c r="G13" s="67">
        <v>8267030</v>
      </c>
      <c r="H13" s="67">
        <v>2029</v>
      </c>
      <c r="I13" s="67">
        <v>682300</v>
      </c>
      <c r="J13" s="66">
        <v>43</v>
      </c>
      <c r="K13" s="67">
        <v>19089640</v>
      </c>
      <c r="L13" s="69">
        <f t="shared" si="3"/>
        <v>1.0531070553986683</v>
      </c>
      <c r="M13" s="74">
        <f t="shared" si="2"/>
        <v>5.7169362219786522E-3</v>
      </c>
    </row>
    <row r="14" spans="2:13">
      <c r="B14" s="66" t="s">
        <v>174</v>
      </c>
      <c r="C14" s="67">
        <v>2449387854</v>
      </c>
      <c r="D14" s="68">
        <f t="shared" si="0"/>
        <v>5.4726449215094378E-3</v>
      </c>
      <c r="E14" s="67">
        <v>7424140</v>
      </c>
      <c r="F14" s="67">
        <v>1359</v>
      </c>
      <c r="G14" s="67">
        <v>5111470</v>
      </c>
      <c r="H14" s="67">
        <v>1237</v>
      </c>
      <c r="I14" s="67">
        <v>869020</v>
      </c>
      <c r="J14" s="66">
        <v>60</v>
      </c>
      <c r="K14" s="67">
        <f t="shared" si="1"/>
        <v>13404630</v>
      </c>
      <c r="L14" s="69">
        <f t="shared" si="3"/>
        <v>0.70219396489404728</v>
      </c>
      <c r="M14" s="74">
        <f t="shared" si="2"/>
        <v>5.4726449215094378E-3</v>
      </c>
    </row>
    <row r="15" spans="2:13">
      <c r="B15" s="87" t="s">
        <v>175</v>
      </c>
      <c r="C15" s="88">
        <v>2846491210</v>
      </c>
      <c r="D15" s="86">
        <f t="shared" si="0"/>
        <v>3.9178585764893335E-3</v>
      </c>
      <c r="E15" s="88">
        <v>6428560</v>
      </c>
      <c r="F15" s="88">
        <v>1223</v>
      </c>
      <c r="G15" s="88">
        <v>4100120</v>
      </c>
      <c r="H15" s="88">
        <v>986</v>
      </c>
      <c r="I15" s="88">
        <v>623470</v>
      </c>
      <c r="J15" s="89">
        <v>32</v>
      </c>
      <c r="K15" s="88">
        <f t="shared" si="1"/>
        <v>11152150</v>
      </c>
      <c r="L15" s="90">
        <f t="shared" si="3"/>
        <v>0.83196253831698452</v>
      </c>
    </row>
    <row r="16" spans="2:13" hidden="1">
      <c r="B16" s="79" t="s">
        <v>157</v>
      </c>
      <c r="C16" s="67"/>
      <c r="D16" s="68"/>
      <c r="E16" s="67"/>
      <c r="F16" s="67"/>
      <c r="G16" s="67"/>
      <c r="H16" s="67"/>
      <c r="I16" s="67"/>
      <c r="J16" s="66"/>
      <c r="K16" s="67">
        <f t="shared" si="1"/>
        <v>0</v>
      </c>
      <c r="L16" s="69">
        <f t="shared" si="3"/>
        <v>0</v>
      </c>
    </row>
    <row r="17" spans="2:12" hidden="1">
      <c r="B17" s="79" t="s">
        <v>158</v>
      </c>
      <c r="C17" s="67"/>
      <c r="D17" s="68"/>
      <c r="E17" s="67"/>
      <c r="F17" s="67"/>
      <c r="G17" s="67"/>
      <c r="H17" s="67"/>
      <c r="I17" s="67"/>
      <c r="J17" s="66"/>
      <c r="K17" s="67">
        <f t="shared" si="1"/>
        <v>0</v>
      </c>
      <c r="L17" s="69" t="e">
        <f t="shared" si="3"/>
        <v>#DIV/0!</v>
      </c>
    </row>
    <row r="18" spans="2:12" hidden="1">
      <c r="B18" s="83" t="s">
        <v>160</v>
      </c>
      <c r="C18" s="81"/>
      <c r="D18" s="84"/>
      <c r="E18" s="81"/>
      <c r="F18" s="81"/>
      <c r="G18" s="81"/>
      <c r="H18" s="81"/>
      <c r="I18" s="81"/>
      <c r="J18" s="82"/>
      <c r="K18" s="67">
        <f t="shared" si="1"/>
        <v>0</v>
      </c>
      <c r="L18" s="69" t="e">
        <f t="shared" si="3"/>
        <v>#DIV/0!</v>
      </c>
    </row>
    <row r="19" spans="2:12">
      <c r="B19" s="65" t="s">
        <v>140</v>
      </c>
      <c r="C19" s="67">
        <f>SUM(C7:C18)</f>
        <v>28099295964</v>
      </c>
      <c r="D19" s="68">
        <f>K19/C19</f>
        <v>4.9114315951834355E-3</v>
      </c>
      <c r="E19" s="67">
        <f t="shared" ref="E19:K19" si="4">SUM(E7:E18)</f>
        <v>80497310</v>
      </c>
      <c r="F19" s="67">
        <f t="shared" si="4"/>
        <v>16633</v>
      </c>
      <c r="G19" s="67">
        <f t="shared" si="4"/>
        <v>49771050</v>
      </c>
      <c r="H19" s="67">
        <f t="shared" si="4"/>
        <v>12112</v>
      </c>
      <c r="I19" s="67">
        <f>SUM(I7:I18)</f>
        <v>7739410</v>
      </c>
      <c r="J19" s="67">
        <f t="shared" si="4"/>
        <v>440</v>
      </c>
      <c r="K19" s="67">
        <f t="shared" si="4"/>
        <v>138007770</v>
      </c>
      <c r="L19" s="65"/>
    </row>
    <row r="20" spans="2:12"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</row>
    <row r="21" spans="2:12"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</row>
    <row r="22" spans="2:12">
      <c r="B22" s="268" t="s">
        <v>163</v>
      </c>
      <c r="C22" s="268"/>
      <c r="D22" s="72"/>
      <c r="E22" s="72"/>
      <c r="F22" s="72"/>
      <c r="G22" s="72"/>
      <c r="H22" s="72"/>
      <c r="I22" s="72"/>
      <c r="J22" s="72"/>
      <c r="K22" s="72"/>
      <c r="L22" s="72"/>
    </row>
    <row r="23" spans="2:12" ht="25.5">
      <c r="B23" s="65"/>
      <c r="C23" s="65" t="s">
        <v>139</v>
      </c>
      <c r="D23" s="65" t="s">
        <v>146</v>
      </c>
      <c r="E23" s="66" t="s">
        <v>144</v>
      </c>
      <c r="F23" s="66" t="s">
        <v>142</v>
      </c>
      <c r="G23" s="66" t="s">
        <v>145</v>
      </c>
      <c r="H23" s="66" t="s">
        <v>142</v>
      </c>
      <c r="I23" s="66" t="s">
        <v>143</v>
      </c>
      <c r="J23" s="66" t="s">
        <v>142</v>
      </c>
      <c r="K23" s="65" t="s">
        <v>140</v>
      </c>
      <c r="L23" s="65" t="s">
        <v>141</v>
      </c>
    </row>
    <row r="24" spans="2:12" ht="19.5" customHeight="1">
      <c r="B24" s="66" t="s">
        <v>165</v>
      </c>
      <c r="C24" s="67">
        <v>2953885856</v>
      </c>
      <c r="D24" s="68">
        <f>K24/C24</f>
        <v>6.8047077578071453E-3</v>
      </c>
      <c r="E24" s="67">
        <v>10589790</v>
      </c>
      <c r="F24" s="67">
        <v>2270</v>
      </c>
      <c r="G24" s="67">
        <v>8339100</v>
      </c>
      <c r="H24" s="67">
        <v>2054</v>
      </c>
      <c r="I24" s="67">
        <v>1171440</v>
      </c>
      <c r="J24" s="66">
        <v>68</v>
      </c>
      <c r="K24" s="67">
        <f>I24+G24+E24</f>
        <v>20100330</v>
      </c>
      <c r="L24" s="69">
        <v>1</v>
      </c>
    </row>
    <row r="25" spans="2:12">
      <c r="B25" s="66" t="s">
        <v>148</v>
      </c>
      <c r="C25" s="67">
        <v>2785202870</v>
      </c>
      <c r="D25" s="68">
        <f t="shared" ref="D25:D37" si="5">K25/C25</f>
        <v>5.9016562768370263E-3</v>
      </c>
      <c r="E25" s="67">
        <v>9445890</v>
      </c>
      <c r="F25" s="67">
        <v>1735</v>
      </c>
      <c r="G25" s="67">
        <v>6396280</v>
      </c>
      <c r="H25" s="67">
        <v>1588</v>
      </c>
      <c r="I25" s="67">
        <v>595140</v>
      </c>
      <c r="J25" s="66">
        <v>52</v>
      </c>
      <c r="K25" s="67">
        <f t="shared" ref="K25:K36" si="6">I25+G25+E25</f>
        <v>16437310</v>
      </c>
      <c r="L25" s="69">
        <f t="shared" ref="L25:L32" si="7">K25/K24</f>
        <v>0.81776319095258632</v>
      </c>
    </row>
    <row r="26" spans="2:12">
      <c r="B26" s="66" t="s">
        <v>167</v>
      </c>
      <c r="C26" s="67">
        <v>2934002332</v>
      </c>
      <c r="D26" s="68">
        <f t="shared" si="5"/>
        <v>5.9417369270175482E-3</v>
      </c>
      <c r="E26" s="67">
        <v>9818140</v>
      </c>
      <c r="F26" s="67">
        <v>1912</v>
      </c>
      <c r="G26" s="67">
        <v>6949160</v>
      </c>
      <c r="H26" s="67">
        <v>1714</v>
      </c>
      <c r="I26" s="67">
        <v>665770</v>
      </c>
      <c r="J26" s="66">
        <v>48</v>
      </c>
      <c r="K26" s="67">
        <f t="shared" si="6"/>
        <v>17433070</v>
      </c>
      <c r="L26" s="69">
        <f t="shared" si="7"/>
        <v>1.0605792553647768</v>
      </c>
    </row>
    <row r="27" spans="2:12">
      <c r="B27" s="66" t="s">
        <v>149</v>
      </c>
      <c r="C27" s="67">
        <v>4040333992</v>
      </c>
      <c r="D27" s="68">
        <f t="shared" si="5"/>
        <v>4.3786107868876399E-3</v>
      </c>
      <c r="E27" s="67">
        <v>11202250</v>
      </c>
      <c r="F27" s="67">
        <v>2201</v>
      </c>
      <c r="G27" s="67">
        <v>5692930</v>
      </c>
      <c r="H27" s="67">
        <v>1405</v>
      </c>
      <c r="I27" s="67">
        <v>795870</v>
      </c>
      <c r="J27" s="66">
        <v>52</v>
      </c>
      <c r="K27" s="67">
        <f t="shared" si="6"/>
        <v>17691050</v>
      </c>
      <c r="L27" s="69">
        <f t="shared" si="7"/>
        <v>1.014798311485011</v>
      </c>
    </row>
    <row r="28" spans="2:12">
      <c r="B28" s="66" t="s">
        <v>150</v>
      </c>
      <c r="C28" s="67">
        <v>3901318362</v>
      </c>
      <c r="D28" s="68">
        <f t="shared" si="5"/>
        <v>5.1977455102137603E-3</v>
      </c>
      <c r="E28" s="67">
        <v>12798240</v>
      </c>
      <c r="F28" s="67">
        <v>2642</v>
      </c>
      <c r="G28" s="67">
        <v>6475810</v>
      </c>
      <c r="H28" s="67">
        <v>1616</v>
      </c>
      <c r="I28" s="67">
        <v>1004010</v>
      </c>
      <c r="J28" s="66">
        <v>62</v>
      </c>
      <c r="K28" s="67">
        <f t="shared" si="6"/>
        <v>20278060</v>
      </c>
      <c r="L28" s="69">
        <f t="shared" si="7"/>
        <v>1.1462326995853835</v>
      </c>
    </row>
    <row r="29" spans="2:12">
      <c r="B29" s="66" t="s">
        <v>151</v>
      </c>
      <c r="C29" s="67">
        <v>4511894922</v>
      </c>
      <c r="D29" s="68">
        <f>K29/C29</f>
        <v>5.0210500004193139E-3</v>
      </c>
      <c r="E29" s="67">
        <v>13979690</v>
      </c>
      <c r="F29" s="67">
        <v>2907</v>
      </c>
      <c r="G29" s="67">
        <v>7751860</v>
      </c>
      <c r="H29" s="67">
        <v>1931</v>
      </c>
      <c r="I29" s="67">
        <v>922900</v>
      </c>
      <c r="J29" s="66">
        <v>72</v>
      </c>
      <c r="K29" s="67">
        <f>I29+G29+E29</f>
        <v>22654450</v>
      </c>
      <c r="L29" s="69">
        <f t="shared" si="7"/>
        <v>1.1171902045856457</v>
      </c>
    </row>
    <row r="30" spans="2:12">
      <c r="B30" s="66" t="s">
        <v>152</v>
      </c>
      <c r="C30" s="67">
        <v>3318942648</v>
      </c>
      <c r="D30" s="68">
        <f t="shared" si="5"/>
        <v>5.768258759016676E-3</v>
      </c>
      <c r="E30" s="67">
        <v>10494730</v>
      </c>
      <c r="F30" s="67">
        <v>2324</v>
      </c>
      <c r="G30" s="67">
        <v>7945100</v>
      </c>
      <c r="H30" s="67">
        <v>1935</v>
      </c>
      <c r="I30" s="67">
        <v>704690</v>
      </c>
      <c r="J30" s="66">
        <v>58</v>
      </c>
      <c r="K30" s="67">
        <f t="shared" si="6"/>
        <v>19144520</v>
      </c>
      <c r="L30" s="69">
        <f t="shared" si="7"/>
        <v>0.84506664253601393</v>
      </c>
    </row>
    <row r="31" spans="2:12">
      <c r="B31" s="77" t="s">
        <v>154</v>
      </c>
      <c r="C31" s="75">
        <v>2581088176</v>
      </c>
      <c r="D31" s="76">
        <f t="shared" si="5"/>
        <v>4.0108625874391672E-3</v>
      </c>
      <c r="E31" s="75">
        <v>6745850</v>
      </c>
      <c r="F31" s="75">
        <v>1471</v>
      </c>
      <c r="G31" s="75">
        <v>3341410</v>
      </c>
      <c r="H31" s="75">
        <v>841</v>
      </c>
      <c r="I31" s="75">
        <v>265130</v>
      </c>
      <c r="J31" s="77">
        <v>40</v>
      </c>
      <c r="K31" s="75">
        <f t="shared" si="6"/>
        <v>10352390</v>
      </c>
      <c r="L31" s="78">
        <f t="shared" si="7"/>
        <v>0.54074951996707155</v>
      </c>
    </row>
    <row r="32" spans="2:12">
      <c r="B32" s="79" t="s">
        <v>156</v>
      </c>
      <c r="C32" s="67">
        <v>3030980964</v>
      </c>
      <c r="D32" s="68">
        <f t="shared" si="5"/>
        <v>3.6888585355034911E-3</v>
      </c>
      <c r="E32" s="67">
        <v>7393670</v>
      </c>
      <c r="F32" s="67">
        <v>1374</v>
      </c>
      <c r="G32" s="67">
        <v>2911150</v>
      </c>
      <c r="H32" s="67">
        <v>725</v>
      </c>
      <c r="I32" s="67">
        <v>876040</v>
      </c>
      <c r="J32" s="66">
        <v>53</v>
      </c>
      <c r="K32" s="67">
        <f t="shared" si="6"/>
        <v>11180860</v>
      </c>
      <c r="L32" s="69">
        <f t="shared" si="7"/>
        <v>1.0800269309792232</v>
      </c>
    </row>
    <row r="33" spans="2:12">
      <c r="B33" s="65" t="s">
        <v>140</v>
      </c>
      <c r="C33" s="67">
        <f>SUM(C24:C32)</f>
        <v>30057650122</v>
      </c>
      <c r="D33" s="68">
        <f>K33/C33</f>
        <v>5.1658076852239432E-3</v>
      </c>
      <c r="E33" s="67">
        <f>SUM(E24:E32)</f>
        <v>92468250</v>
      </c>
      <c r="F33" s="67">
        <f t="shared" ref="F33:K33" si="8">SUM(F24:F32)</f>
        <v>18836</v>
      </c>
      <c r="G33" s="67">
        <f t="shared" si="8"/>
        <v>55802800</v>
      </c>
      <c r="H33" s="67">
        <f t="shared" si="8"/>
        <v>13809</v>
      </c>
      <c r="I33" s="67">
        <f t="shared" si="8"/>
        <v>7000990</v>
      </c>
      <c r="J33" s="67">
        <f t="shared" si="8"/>
        <v>505</v>
      </c>
      <c r="K33" s="67">
        <f t="shared" si="8"/>
        <v>155272040</v>
      </c>
      <c r="L33" s="85"/>
    </row>
    <row r="34" spans="2:12">
      <c r="B34" s="79" t="s">
        <v>157</v>
      </c>
      <c r="C34" s="67">
        <v>4229153430</v>
      </c>
      <c r="D34" s="68">
        <f t="shared" si="5"/>
        <v>4.1734404514144098E-3</v>
      </c>
      <c r="E34" s="67">
        <v>11767220</v>
      </c>
      <c r="F34" s="67">
        <v>2426</v>
      </c>
      <c r="G34" s="67">
        <v>4518630</v>
      </c>
      <c r="H34" s="67">
        <v>1105</v>
      </c>
      <c r="I34" s="67">
        <v>1364270</v>
      </c>
      <c r="J34" s="66">
        <v>66</v>
      </c>
      <c r="K34" s="67">
        <f t="shared" si="6"/>
        <v>17650120</v>
      </c>
      <c r="L34" s="69">
        <f>K34/K32</f>
        <v>1.5786012882729952</v>
      </c>
    </row>
    <row r="35" spans="2:12">
      <c r="B35" s="79" t="s">
        <v>158</v>
      </c>
      <c r="C35" s="67">
        <v>2960965230</v>
      </c>
      <c r="D35" s="68">
        <f t="shared" si="5"/>
        <v>4.7984251405748524E-3</v>
      </c>
      <c r="E35" s="67">
        <v>10073650</v>
      </c>
      <c r="F35" s="67">
        <v>1984</v>
      </c>
      <c r="G35" s="67">
        <v>3670270</v>
      </c>
      <c r="H35" s="67">
        <v>883</v>
      </c>
      <c r="I35" s="67">
        <v>464050</v>
      </c>
      <c r="J35" s="66">
        <v>51</v>
      </c>
      <c r="K35" s="67">
        <f t="shared" si="6"/>
        <v>14207970</v>
      </c>
      <c r="L35" s="69">
        <f>K35/K34</f>
        <v>0.80497866303458565</v>
      </c>
    </row>
    <row r="36" spans="2:12">
      <c r="B36" s="79" t="s">
        <v>162</v>
      </c>
      <c r="C36" s="67">
        <v>3073103549</v>
      </c>
      <c r="D36" s="68">
        <f t="shared" si="5"/>
        <v>4.7334363349824113E-3</v>
      </c>
      <c r="E36" s="67">
        <v>10519780</v>
      </c>
      <c r="F36" s="67">
        <v>1988</v>
      </c>
      <c r="G36" s="67">
        <v>3152130</v>
      </c>
      <c r="H36" s="67">
        <v>781</v>
      </c>
      <c r="I36" s="67">
        <v>874430</v>
      </c>
      <c r="J36" s="66">
        <v>58</v>
      </c>
      <c r="K36" s="67">
        <f t="shared" si="6"/>
        <v>14546340</v>
      </c>
      <c r="L36" s="69">
        <f>K36/K35</f>
        <v>1.023815506367201</v>
      </c>
    </row>
    <row r="37" spans="2:12">
      <c r="B37" s="65" t="s">
        <v>140</v>
      </c>
      <c r="C37" s="67">
        <f>SUM(C24:C36)</f>
        <v>70378522453</v>
      </c>
      <c r="D37" s="68">
        <f t="shared" si="5"/>
        <v>5.0718386456376149E-3</v>
      </c>
      <c r="E37" s="67">
        <f t="shared" ref="E37:K37" si="9">SUM(E24:E36)</f>
        <v>217297150</v>
      </c>
      <c r="F37" s="67">
        <f t="shared" si="9"/>
        <v>44070</v>
      </c>
      <c r="G37" s="67">
        <f t="shared" si="9"/>
        <v>122946630</v>
      </c>
      <c r="H37" s="67">
        <f t="shared" si="9"/>
        <v>30387</v>
      </c>
      <c r="I37" s="67">
        <f t="shared" si="9"/>
        <v>16704730</v>
      </c>
      <c r="J37" s="67">
        <f t="shared" si="9"/>
        <v>1185</v>
      </c>
      <c r="K37" s="67">
        <f t="shared" si="9"/>
        <v>356948510</v>
      </c>
      <c r="L37" s="73"/>
    </row>
    <row r="40" spans="2:12" ht="26.25" customHeight="1"/>
  </sheetData>
  <mergeCells count="2">
    <mergeCell ref="B22:C22"/>
    <mergeCell ref="B5:C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workbookViewId="0">
      <selection activeCell="E21" sqref="E21"/>
    </sheetView>
  </sheetViews>
  <sheetFormatPr defaultRowHeight="16.5"/>
  <cols>
    <col min="1" max="1" width="16.75" bestFit="1" customWidth="1"/>
    <col min="2" max="2" width="6.25" bestFit="1" customWidth="1"/>
  </cols>
  <sheetData>
    <row r="1" spans="1:7">
      <c r="A1" s="115" t="s">
        <v>197</v>
      </c>
      <c r="B1" s="116" t="s">
        <v>198</v>
      </c>
      <c r="C1" s="271" t="s">
        <v>199</v>
      </c>
      <c r="D1" s="272"/>
      <c r="F1" t="s">
        <v>197</v>
      </c>
    </row>
    <row r="2" spans="1:7">
      <c r="A2" s="115" t="s">
        <v>68</v>
      </c>
      <c r="B2" s="117">
        <v>13</v>
      </c>
      <c r="C2" s="273">
        <v>60250</v>
      </c>
      <c r="D2" s="273"/>
      <c r="F2" t="s">
        <v>201</v>
      </c>
      <c r="G2" t="s">
        <v>202</v>
      </c>
    </row>
    <row r="3" spans="1:7">
      <c r="A3" s="115" t="s">
        <v>64</v>
      </c>
      <c r="B3" s="117">
        <v>8</v>
      </c>
      <c r="C3" s="273">
        <v>33300</v>
      </c>
      <c r="D3" s="273"/>
      <c r="F3" t="s">
        <v>70</v>
      </c>
      <c r="G3" t="s">
        <v>202</v>
      </c>
    </row>
    <row r="4" spans="1:7">
      <c r="A4" s="115" t="s">
        <v>86</v>
      </c>
      <c r="B4" s="117">
        <v>42</v>
      </c>
      <c r="C4" s="273">
        <v>191100</v>
      </c>
      <c r="D4" s="273"/>
      <c r="F4" t="s">
        <v>31</v>
      </c>
      <c r="G4" t="s">
        <v>202</v>
      </c>
    </row>
    <row r="5" spans="1:7">
      <c r="A5" s="115" t="s">
        <v>132</v>
      </c>
      <c r="B5" s="117">
        <v>98</v>
      </c>
      <c r="C5" s="273">
        <v>460100</v>
      </c>
      <c r="D5" s="273"/>
      <c r="F5" t="s">
        <v>33</v>
      </c>
      <c r="G5" t="s">
        <v>202</v>
      </c>
    </row>
    <row r="6" spans="1:7">
      <c r="A6" s="115" t="s">
        <v>171</v>
      </c>
      <c r="B6" s="117">
        <v>28</v>
      </c>
      <c r="C6" s="273">
        <v>122500</v>
      </c>
      <c r="D6" s="273"/>
      <c r="F6" t="s">
        <v>153</v>
      </c>
      <c r="G6" t="s">
        <v>202</v>
      </c>
    </row>
    <row r="7" spans="1:7">
      <c r="A7" s="118"/>
      <c r="B7" s="119">
        <f>SUM(B2:B6)</f>
        <v>189</v>
      </c>
      <c r="C7" s="269">
        <f>SUM(C2:D6)</f>
        <v>867250</v>
      </c>
      <c r="D7" s="270"/>
      <c r="F7" t="s">
        <v>138</v>
      </c>
      <c r="G7" t="s">
        <v>202</v>
      </c>
    </row>
    <row r="8" spans="1:7">
      <c r="F8" t="s">
        <v>90</v>
      </c>
      <c r="G8" t="s">
        <v>202</v>
      </c>
    </row>
    <row r="9" spans="1:7">
      <c r="F9" t="s">
        <v>35</v>
      </c>
      <c r="G9" t="s">
        <v>202</v>
      </c>
    </row>
    <row r="10" spans="1:7">
      <c r="F10" t="s">
        <v>64</v>
      </c>
      <c r="G10" t="s">
        <v>202</v>
      </c>
    </row>
    <row r="11" spans="1:7">
      <c r="F11" t="s">
        <v>75</v>
      </c>
      <c r="G11" t="s">
        <v>202</v>
      </c>
    </row>
    <row r="12" spans="1:7">
      <c r="F12" t="s">
        <v>203</v>
      </c>
      <c r="G12" t="s">
        <v>202</v>
      </c>
    </row>
    <row r="13" spans="1:7">
      <c r="F13" t="s">
        <v>204</v>
      </c>
      <c r="G13" t="s">
        <v>202</v>
      </c>
    </row>
    <row r="14" spans="1:7">
      <c r="F14" t="s">
        <v>205</v>
      </c>
      <c r="G14" t="s">
        <v>202</v>
      </c>
    </row>
    <row r="15" spans="1:7">
      <c r="F15" t="s">
        <v>206</v>
      </c>
      <c r="G15" t="s">
        <v>202</v>
      </c>
    </row>
    <row r="16" spans="1:7">
      <c r="F16" t="s">
        <v>207</v>
      </c>
      <c r="G16" t="s">
        <v>202</v>
      </c>
    </row>
    <row r="17" spans="6:9">
      <c r="F17" t="s">
        <v>208</v>
      </c>
      <c r="G17" t="s">
        <v>202</v>
      </c>
    </row>
    <row r="18" spans="6:9">
      <c r="F18" t="s">
        <v>209</v>
      </c>
      <c r="G18" t="s">
        <v>202</v>
      </c>
    </row>
    <row r="19" spans="6:9">
      <c r="F19" t="s">
        <v>210</v>
      </c>
      <c r="G19" t="s">
        <v>202</v>
      </c>
    </row>
    <row r="20" spans="6:9">
      <c r="F20" t="s">
        <v>211</v>
      </c>
      <c r="G20" t="s">
        <v>212</v>
      </c>
    </row>
    <row r="21" spans="6:9">
      <c r="F21" t="s">
        <v>130</v>
      </c>
      <c r="G21" t="s">
        <v>212</v>
      </c>
    </row>
    <row r="22" spans="6:9">
      <c r="F22" t="s">
        <v>92</v>
      </c>
      <c r="G22" t="s">
        <v>212</v>
      </c>
    </row>
    <row r="23" spans="6:9">
      <c r="F23" t="s">
        <v>98</v>
      </c>
      <c r="G23" t="s">
        <v>212</v>
      </c>
      <c r="I23" s="120"/>
    </row>
    <row r="24" spans="6:9">
      <c r="F24" t="s">
        <v>76</v>
      </c>
      <c r="G24" t="s">
        <v>212</v>
      </c>
    </row>
    <row r="25" spans="6:9">
      <c r="F25" t="s">
        <v>81</v>
      </c>
      <c r="G25" t="s">
        <v>212</v>
      </c>
    </row>
    <row r="26" spans="6:9">
      <c r="F26" t="s">
        <v>28</v>
      </c>
      <c r="G26" t="s">
        <v>212</v>
      </c>
    </row>
    <row r="27" spans="6:9">
      <c r="F27" t="s">
        <v>77</v>
      </c>
      <c r="G27" t="s">
        <v>212</v>
      </c>
    </row>
    <row r="28" spans="6:9">
      <c r="F28" t="s">
        <v>93</v>
      </c>
      <c r="G28" t="s">
        <v>212</v>
      </c>
    </row>
    <row r="29" spans="6:9">
      <c r="F29" t="s">
        <v>213</v>
      </c>
      <c r="G29" t="s">
        <v>212</v>
      </c>
    </row>
    <row r="30" spans="6:9">
      <c r="F30" t="s">
        <v>67</v>
      </c>
      <c r="G30" t="s">
        <v>212</v>
      </c>
    </row>
    <row r="31" spans="6:9">
      <c r="F31" t="s">
        <v>137</v>
      </c>
      <c r="G31" t="s">
        <v>212</v>
      </c>
    </row>
    <row r="32" spans="6:9">
      <c r="F32" t="s">
        <v>170</v>
      </c>
      <c r="G32" t="s">
        <v>212</v>
      </c>
    </row>
    <row r="33" spans="6:7">
      <c r="F33" t="s">
        <v>105</v>
      </c>
      <c r="G33" t="s">
        <v>212</v>
      </c>
    </row>
    <row r="34" spans="6:7">
      <c r="F34" t="s">
        <v>171</v>
      </c>
      <c r="G34" t="s">
        <v>212</v>
      </c>
    </row>
    <row r="35" spans="6:7">
      <c r="F35" t="s">
        <v>214</v>
      </c>
      <c r="G35" t="s">
        <v>212</v>
      </c>
    </row>
    <row r="36" spans="6:7">
      <c r="F36" t="s">
        <v>215</v>
      </c>
      <c r="G36" t="s">
        <v>212</v>
      </c>
    </row>
    <row r="37" spans="6:7">
      <c r="F37" t="s">
        <v>216</v>
      </c>
      <c r="G37" t="s">
        <v>212</v>
      </c>
    </row>
    <row r="38" spans="6:7">
      <c r="F38" t="s">
        <v>217</v>
      </c>
      <c r="G38" t="s">
        <v>212</v>
      </c>
    </row>
    <row r="39" spans="6:7">
      <c r="F39" t="s">
        <v>218</v>
      </c>
      <c r="G39" t="s">
        <v>212</v>
      </c>
    </row>
    <row r="40" spans="6:7">
      <c r="F40" t="s">
        <v>219</v>
      </c>
      <c r="G40" t="s">
        <v>212</v>
      </c>
    </row>
    <row r="41" spans="6:7">
      <c r="F41" t="s">
        <v>220</v>
      </c>
      <c r="G41" t="s">
        <v>212</v>
      </c>
    </row>
    <row r="42" spans="6:7">
      <c r="F42" t="s">
        <v>221</v>
      </c>
      <c r="G42" t="s">
        <v>212</v>
      </c>
    </row>
    <row r="43" spans="6:7">
      <c r="F43" t="s">
        <v>222</v>
      </c>
      <c r="G43" t="s">
        <v>212</v>
      </c>
    </row>
    <row r="44" spans="6:7">
      <c r="F44" t="s">
        <v>223</v>
      </c>
      <c r="G44" t="s">
        <v>212</v>
      </c>
    </row>
    <row r="45" spans="6:7">
      <c r="F45" t="s">
        <v>224</v>
      </c>
      <c r="G45" t="s">
        <v>212</v>
      </c>
    </row>
    <row r="46" spans="6:7">
      <c r="F46" t="s">
        <v>225</v>
      </c>
      <c r="G46" t="s">
        <v>212</v>
      </c>
    </row>
    <row r="47" spans="6:7">
      <c r="F47" t="s">
        <v>226</v>
      </c>
      <c r="G47" t="s">
        <v>212</v>
      </c>
    </row>
    <row r="48" spans="6:7">
      <c r="F48" t="s">
        <v>227</v>
      </c>
      <c r="G48" t="s">
        <v>228</v>
      </c>
    </row>
    <row r="49" spans="6:7">
      <c r="F49" t="s">
        <v>94</v>
      </c>
      <c r="G49" t="s">
        <v>228</v>
      </c>
    </row>
    <row r="50" spans="6:7">
      <c r="F50" t="s">
        <v>91</v>
      </c>
      <c r="G50" t="s">
        <v>228</v>
      </c>
    </row>
    <row r="51" spans="6:7">
      <c r="F51" t="s">
        <v>71</v>
      </c>
      <c r="G51" t="s">
        <v>228</v>
      </c>
    </row>
    <row r="52" spans="6:7">
      <c r="F52" t="s">
        <v>73</v>
      </c>
      <c r="G52" t="s">
        <v>228</v>
      </c>
    </row>
    <row r="53" spans="6:7">
      <c r="F53" t="s">
        <v>82</v>
      </c>
      <c r="G53" t="s">
        <v>228</v>
      </c>
    </row>
    <row r="54" spans="6:7">
      <c r="F54" t="s">
        <v>30</v>
      </c>
      <c r="G54" t="s">
        <v>228</v>
      </c>
    </row>
    <row r="55" spans="6:7">
      <c r="F55" t="s">
        <v>89</v>
      </c>
      <c r="G55" t="s">
        <v>228</v>
      </c>
    </row>
    <row r="56" spans="6:7">
      <c r="F56" t="s">
        <v>133</v>
      </c>
      <c r="G56" t="s">
        <v>228</v>
      </c>
    </row>
    <row r="57" spans="6:7">
      <c r="F57" t="s">
        <v>229</v>
      </c>
      <c r="G57" t="s">
        <v>228</v>
      </c>
    </row>
    <row r="58" spans="6:7">
      <c r="F58" t="s">
        <v>136</v>
      </c>
      <c r="G58" t="s">
        <v>228</v>
      </c>
    </row>
    <row r="59" spans="6:7">
      <c r="F59" t="s">
        <v>38</v>
      </c>
      <c r="G59" t="s">
        <v>228</v>
      </c>
    </row>
    <row r="60" spans="6:7">
      <c r="F60" t="s">
        <v>134</v>
      </c>
      <c r="G60" t="s">
        <v>228</v>
      </c>
    </row>
    <row r="61" spans="6:7">
      <c r="F61" t="s">
        <v>230</v>
      </c>
      <c r="G61" t="s">
        <v>228</v>
      </c>
    </row>
    <row r="62" spans="6:7">
      <c r="F62" t="s">
        <v>231</v>
      </c>
      <c r="G62" t="s">
        <v>228</v>
      </c>
    </row>
    <row r="63" spans="6:7">
      <c r="F63" t="s">
        <v>232</v>
      </c>
      <c r="G63" t="s">
        <v>228</v>
      </c>
    </row>
    <row r="64" spans="6:7">
      <c r="F64" t="s">
        <v>233</v>
      </c>
      <c r="G64" t="s">
        <v>228</v>
      </c>
    </row>
    <row r="65" spans="6:7">
      <c r="F65" t="s">
        <v>234</v>
      </c>
      <c r="G65" t="s">
        <v>228</v>
      </c>
    </row>
    <row r="66" spans="6:7">
      <c r="F66" t="s">
        <v>235</v>
      </c>
      <c r="G66" t="s">
        <v>228</v>
      </c>
    </row>
    <row r="67" spans="6:7">
      <c r="F67" t="s">
        <v>236</v>
      </c>
      <c r="G67" t="s">
        <v>228</v>
      </c>
    </row>
    <row r="68" spans="6:7">
      <c r="F68" t="s">
        <v>237</v>
      </c>
      <c r="G68" t="s">
        <v>228</v>
      </c>
    </row>
    <row r="69" spans="6:7">
      <c r="F69" t="s">
        <v>238</v>
      </c>
      <c r="G69" t="s">
        <v>228</v>
      </c>
    </row>
    <row r="70" spans="6:7">
      <c r="F70" t="s">
        <v>239</v>
      </c>
      <c r="G70" t="s">
        <v>228</v>
      </c>
    </row>
    <row r="71" spans="6:7">
      <c r="F71" t="s">
        <v>240</v>
      </c>
      <c r="G71" t="s">
        <v>228</v>
      </c>
    </row>
    <row r="73" spans="6:7">
      <c r="F73" t="s">
        <v>97</v>
      </c>
      <c r="G73" t="s">
        <v>241</v>
      </c>
    </row>
    <row r="74" spans="6:7">
      <c r="F74" t="s">
        <v>29</v>
      </c>
      <c r="G74" t="s">
        <v>241</v>
      </c>
    </row>
    <row r="75" spans="6:7">
      <c r="F75" t="s">
        <v>85</v>
      </c>
      <c r="G75" t="s">
        <v>241</v>
      </c>
    </row>
    <row r="76" spans="6:7">
      <c r="F76" t="s">
        <v>32</v>
      </c>
      <c r="G76" t="s">
        <v>241</v>
      </c>
    </row>
    <row r="77" spans="6:7">
      <c r="F77" t="s">
        <v>62</v>
      </c>
      <c r="G77" t="s">
        <v>241</v>
      </c>
    </row>
    <row r="78" spans="6:7">
      <c r="F78" t="s">
        <v>173</v>
      </c>
      <c r="G78" t="s">
        <v>241</v>
      </c>
    </row>
    <row r="79" spans="6:7">
      <c r="F79" t="s">
        <v>74</v>
      </c>
      <c r="G79" t="s">
        <v>241</v>
      </c>
    </row>
    <row r="80" spans="6:7">
      <c r="F80" t="s">
        <v>96</v>
      </c>
      <c r="G80" t="s">
        <v>241</v>
      </c>
    </row>
    <row r="81" spans="6:7">
      <c r="F81" t="s">
        <v>72</v>
      </c>
      <c r="G81" t="s">
        <v>241</v>
      </c>
    </row>
    <row r="82" spans="6:7">
      <c r="F82" t="s">
        <v>78</v>
      </c>
      <c r="G82" t="s">
        <v>241</v>
      </c>
    </row>
    <row r="83" spans="6:7">
      <c r="F83" t="s">
        <v>66</v>
      </c>
      <c r="G83" t="s">
        <v>241</v>
      </c>
    </row>
    <row r="84" spans="6:7">
      <c r="F84" t="s">
        <v>159</v>
      </c>
      <c r="G84" t="s">
        <v>241</v>
      </c>
    </row>
    <row r="85" spans="6:7">
      <c r="F85" t="s">
        <v>95</v>
      </c>
      <c r="G85" t="s">
        <v>242</v>
      </c>
    </row>
    <row r="86" spans="6:7">
      <c r="F86" t="s">
        <v>87</v>
      </c>
      <c r="G86" t="s">
        <v>242</v>
      </c>
    </row>
    <row r="87" spans="6:7">
      <c r="F87" t="s">
        <v>166</v>
      </c>
      <c r="G87" t="s">
        <v>242</v>
      </c>
    </row>
    <row r="88" spans="6:7">
      <c r="F88" t="s">
        <v>86</v>
      </c>
      <c r="G88" t="s">
        <v>242</v>
      </c>
    </row>
    <row r="89" spans="6:7">
      <c r="F89" t="s">
        <v>37</v>
      </c>
      <c r="G89" t="s">
        <v>242</v>
      </c>
    </row>
    <row r="90" spans="6:7">
      <c r="F90" t="s">
        <v>65</v>
      </c>
      <c r="G90" t="s">
        <v>243</v>
      </c>
    </row>
    <row r="91" spans="6:7">
      <c r="F91" t="s">
        <v>135</v>
      </c>
      <c r="G91" t="s">
        <v>243</v>
      </c>
    </row>
    <row r="92" spans="6:7">
      <c r="F92" t="s">
        <v>69</v>
      </c>
      <c r="G92" t="s">
        <v>243</v>
      </c>
    </row>
    <row r="93" spans="6:7">
      <c r="F93" t="s">
        <v>11</v>
      </c>
      <c r="G93" t="s">
        <v>243</v>
      </c>
    </row>
    <row r="94" spans="6:7">
      <c r="F94" t="s">
        <v>104</v>
      </c>
      <c r="G94" t="s">
        <v>243</v>
      </c>
    </row>
    <row r="95" spans="6:7">
      <c r="F95" t="s">
        <v>14</v>
      </c>
      <c r="G95" t="s">
        <v>243</v>
      </c>
    </row>
    <row r="96" spans="6:7">
      <c r="F96" t="s">
        <v>84</v>
      </c>
      <c r="G96" t="s">
        <v>243</v>
      </c>
    </row>
    <row r="97" spans="6:7">
      <c r="F97" t="s">
        <v>68</v>
      </c>
      <c r="G97" t="s">
        <v>243</v>
      </c>
    </row>
    <row r="98" spans="6:7">
      <c r="F98" t="s">
        <v>27</v>
      </c>
      <c r="G98" t="s">
        <v>244</v>
      </c>
    </row>
    <row r="99" spans="6:7">
      <c r="F99" t="s">
        <v>83</v>
      </c>
      <c r="G99" t="s">
        <v>244</v>
      </c>
    </row>
    <row r="100" spans="6:7">
      <c r="F100" t="s">
        <v>88</v>
      </c>
      <c r="G100" t="s">
        <v>244</v>
      </c>
    </row>
    <row r="101" spans="6:7">
      <c r="F101" t="s">
        <v>80</v>
      </c>
      <c r="G101" t="s">
        <v>244</v>
      </c>
    </row>
    <row r="102" spans="6:7">
      <c r="F102" t="s">
        <v>79</v>
      </c>
      <c r="G102" t="s">
        <v>244</v>
      </c>
    </row>
    <row r="103" spans="6:7">
      <c r="F103" t="s">
        <v>129</v>
      </c>
      <c r="G103" t="s">
        <v>244</v>
      </c>
    </row>
    <row r="104" spans="6:7">
      <c r="F104" t="s">
        <v>245</v>
      </c>
      <c r="G104" t="s">
        <v>244</v>
      </c>
    </row>
    <row r="105" spans="6:7">
      <c r="F105" t="s">
        <v>36</v>
      </c>
      <c r="G105" t="s">
        <v>244</v>
      </c>
    </row>
    <row r="106" spans="6:7">
      <c r="F106" t="s">
        <v>63</v>
      </c>
      <c r="G106" t="s">
        <v>244</v>
      </c>
    </row>
    <row r="107" spans="6:7">
      <c r="F107" t="s">
        <v>132</v>
      </c>
      <c r="G107" t="s">
        <v>244</v>
      </c>
    </row>
  </sheetData>
  <mergeCells count="7">
    <mergeCell ref="C7:D7"/>
    <mergeCell ref="C1:D1"/>
    <mergeCell ref="C2:D2"/>
    <mergeCell ref="C3:D3"/>
    <mergeCell ref="C4:D4"/>
    <mergeCell ref="C5:D5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O98"/>
  <sheetViews>
    <sheetView tabSelected="1" zoomScale="70" zoomScaleNormal="70" zoomScaleSheetLayoutView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97" sqref="H97"/>
    </sheetView>
  </sheetViews>
  <sheetFormatPr defaultColWidth="9" defaultRowHeight="28.5" customHeight="1"/>
  <cols>
    <col min="1" max="1" width="11.5" style="125" customWidth="1"/>
    <col min="2" max="2" width="7.5" style="125" customWidth="1"/>
    <col min="3" max="3" width="11.75" style="125" hidden="1" customWidth="1"/>
    <col min="4" max="4" width="27.25" style="128" customWidth="1"/>
    <col min="5" max="5" width="20.625" style="125" customWidth="1"/>
    <col min="6" max="6" width="20.625" style="166" customWidth="1"/>
    <col min="7" max="7" width="12.125" style="166" customWidth="1"/>
    <col min="8" max="8" width="20.625" style="166" customWidth="1"/>
    <col min="9" max="9" width="12.125" style="166" customWidth="1"/>
    <col min="10" max="10" width="20.625" style="166" customWidth="1"/>
    <col min="11" max="11" width="12.125" style="166" customWidth="1"/>
    <col min="12" max="12" width="20.625" style="125" customWidth="1"/>
    <col min="13" max="13" width="11.625" style="125" customWidth="1"/>
    <col min="14" max="14" width="16.25" style="125" hidden="1" customWidth="1"/>
    <col min="15" max="15" width="2.125" customWidth="1"/>
    <col min="16" max="16" width="24" style="166" customWidth="1"/>
    <col min="17" max="17" width="20.625" style="166" customWidth="1"/>
    <col min="18" max="18" width="12.125" style="166" customWidth="1"/>
    <col min="19" max="19" width="20.625" style="166" customWidth="1"/>
    <col min="20" max="20" width="12.125" style="166" customWidth="1"/>
    <col min="21" max="21" width="20.625" style="166" customWidth="1"/>
    <col min="22" max="22" width="12.125" style="166" customWidth="1"/>
    <col min="23" max="23" width="20.625" style="125" customWidth="1"/>
    <col min="24" max="24" width="10.875" style="125" customWidth="1"/>
    <col min="25" max="25" width="2.5" style="125" customWidth="1"/>
    <col min="26" max="26" width="19.75" style="166" customWidth="1"/>
    <col min="27" max="27" width="20.625" style="125" customWidth="1"/>
    <col min="28" max="28" width="12.125" style="125" customWidth="1"/>
    <col min="29" max="29" width="20.625" style="125" customWidth="1"/>
    <col min="30" max="30" width="12.125" style="125" customWidth="1"/>
    <col min="31" max="31" width="20.625" style="125" customWidth="1"/>
    <col min="32" max="32" width="12.125" style="125" customWidth="1"/>
    <col min="33" max="33" width="20.625" style="125" customWidth="1"/>
    <col min="34" max="34" width="12.75" style="125" customWidth="1"/>
    <col min="35" max="35" width="39.625" style="125" customWidth="1"/>
    <col min="36" max="36" width="11.375" style="125" hidden="1" customWidth="1"/>
    <col min="37" max="37" width="4.625" style="125" hidden="1" customWidth="1"/>
    <col min="38" max="38" width="14.25" style="125" hidden="1" customWidth="1"/>
    <col min="39" max="39" width="13.25" style="125" hidden="1" customWidth="1"/>
    <col min="40" max="40" width="25.625" style="125" hidden="1" customWidth="1"/>
    <col min="41" max="41" width="44.25" style="125" hidden="1" customWidth="1"/>
    <col min="42" max="16384" width="9" style="125"/>
  </cols>
  <sheetData>
    <row r="1" spans="1:41" ht="15.75" customHeight="1">
      <c r="F1" s="128">
        <v>4</v>
      </c>
      <c r="G1" s="125">
        <v>5</v>
      </c>
      <c r="H1" s="128">
        <v>6</v>
      </c>
      <c r="I1" s="125">
        <v>7</v>
      </c>
      <c r="J1" s="128">
        <v>8</v>
      </c>
      <c r="K1" s="125">
        <v>9</v>
      </c>
      <c r="L1" s="128">
        <v>10</v>
      </c>
      <c r="N1" s="128">
        <v>11</v>
      </c>
      <c r="O1" s="125">
        <v>12</v>
      </c>
      <c r="P1" s="128">
        <v>2</v>
      </c>
      <c r="Q1" s="125">
        <v>3</v>
      </c>
      <c r="R1" s="128">
        <v>4</v>
      </c>
      <c r="S1" s="125">
        <v>5</v>
      </c>
      <c r="T1" s="128">
        <v>6</v>
      </c>
      <c r="U1" s="125">
        <v>7</v>
      </c>
      <c r="V1" s="128">
        <v>8</v>
      </c>
      <c r="W1" s="125">
        <v>9</v>
      </c>
      <c r="X1" s="128">
        <v>11</v>
      </c>
      <c r="Y1" s="125">
        <v>22</v>
      </c>
      <c r="Z1" s="128">
        <v>23</v>
      </c>
      <c r="AA1" s="125">
        <v>24</v>
      </c>
      <c r="AB1" s="128">
        <v>25</v>
      </c>
      <c r="AC1" s="125">
        <v>26</v>
      </c>
      <c r="AD1" s="128">
        <v>27</v>
      </c>
      <c r="AE1" s="125">
        <v>28</v>
      </c>
      <c r="AF1" s="128">
        <v>29</v>
      </c>
      <c r="AG1" s="125">
        <v>30</v>
      </c>
      <c r="AH1" s="128">
        <v>31</v>
      </c>
      <c r="AI1" s="125">
        <v>32</v>
      </c>
      <c r="AJ1" s="128">
        <v>33</v>
      </c>
      <c r="AK1" s="125">
        <v>34</v>
      </c>
      <c r="AL1" s="128">
        <v>35</v>
      </c>
      <c r="AM1" s="125">
        <v>36</v>
      </c>
      <c r="AN1" s="128">
        <v>37</v>
      </c>
      <c r="AO1" s="125">
        <v>38</v>
      </c>
    </row>
    <row r="2" spans="1:41" ht="28.5" customHeight="1">
      <c r="A2" s="122"/>
      <c r="B2" s="122" t="s">
        <v>118</v>
      </c>
      <c r="C2" s="122"/>
      <c r="D2" s="122" t="s">
        <v>0</v>
      </c>
      <c r="E2" s="277" t="s">
        <v>391</v>
      </c>
      <c r="F2" s="277"/>
      <c r="G2" s="277"/>
      <c r="H2" s="277"/>
      <c r="I2" s="277"/>
      <c r="J2" s="277"/>
      <c r="K2" s="277"/>
      <c r="L2" s="277"/>
      <c r="M2" s="277"/>
      <c r="N2" s="123"/>
      <c r="P2" s="278" t="s">
        <v>392</v>
      </c>
      <c r="Q2" s="278"/>
      <c r="R2" s="278"/>
      <c r="S2" s="278"/>
      <c r="T2" s="278"/>
      <c r="U2" s="278"/>
      <c r="V2" s="278"/>
      <c r="W2" s="278"/>
      <c r="X2" s="278"/>
      <c r="Y2" s="123"/>
      <c r="Z2" s="279" t="s">
        <v>194</v>
      </c>
      <c r="AA2" s="279"/>
      <c r="AB2" s="279"/>
      <c r="AC2" s="279"/>
      <c r="AD2" s="279"/>
      <c r="AE2" s="279"/>
      <c r="AF2" s="279"/>
      <c r="AG2" s="279"/>
      <c r="AH2" s="223"/>
      <c r="AI2" s="223"/>
      <c r="AJ2" s="124"/>
      <c r="AL2" s="126"/>
      <c r="AM2" s="126"/>
      <c r="AN2" s="126"/>
      <c r="AO2" s="126"/>
    </row>
    <row r="3" spans="1:41" s="135" customFormat="1" ht="39.75" customHeight="1">
      <c r="A3" s="124" t="s">
        <v>246</v>
      </c>
      <c r="B3" s="124" t="s">
        <v>354</v>
      </c>
      <c r="C3" s="122" t="s">
        <v>200</v>
      </c>
      <c r="D3" s="124" t="s">
        <v>2</v>
      </c>
      <c r="E3" s="124" t="s">
        <v>417</v>
      </c>
      <c r="F3" s="127" t="s">
        <v>3</v>
      </c>
      <c r="G3" s="127" t="s">
        <v>42</v>
      </c>
      <c r="H3" s="127" t="s">
        <v>4</v>
      </c>
      <c r="I3" s="127" t="s">
        <v>42</v>
      </c>
      <c r="J3" s="127" t="s">
        <v>5</v>
      </c>
      <c r="K3" s="127" t="s">
        <v>42</v>
      </c>
      <c r="L3" s="124" t="s">
        <v>6</v>
      </c>
      <c r="M3" s="122" t="s">
        <v>127</v>
      </c>
      <c r="N3" s="128"/>
      <c r="O3"/>
      <c r="P3" s="129" t="s">
        <v>418</v>
      </c>
      <c r="Q3" s="130" t="s">
        <v>3</v>
      </c>
      <c r="R3" s="130" t="s">
        <v>42</v>
      </c>
      <c r="S3" s="130" t="s">
        <v>4</v>
      </c>
      <c r="T3" s="130" t="s">
        <v>42</v>
      </c>
      <c r="U3" s="130" t="s">
        <v>5</v>
      </c>
      <c r="V3" s="130" t="s">
        <v>42</v>
      </c>
      <c r="W3" s="129" t="s">
        <v>6</v>
      </c>
      <c r="X3" s="131" t="s">
        <v>127</v>
      </c>
      <c r="Y3" s="128"/>
      <c r="Z3" s="132" t="s">
        <v>195</v>
      </c>
      <c r="AA3" s="133" t="s">
        <v>3</v>
      </c>
      <c r="AB3" s="133" t="s">
        <v>42</v>
      </c>
      <c r="AC3" s="133" t="s">
        <v>4</v>
      </c>
      <c r="AD3" s="133" t="s">
        <v>42</v>
      </c>
      <c r="AE3" s="133" t="s">
        <v>5</v>
      </c>
      <c r="AF3" s="133" t="s">
        <v>42</v>
      </c>
      <c r="AG3" s="132" t="s">
        <v>6</v>
      </c>
      <c r="AH3" s="134" t="s">
        <v>7</v>
      </c>
      <c r="AI3" s="124" t="s">
        <v>41</v>
      </c>
      <c r="AJ3" s="124" t="s">
        <v>103</v>
      </c>
      <c r="AL3" s="136" t="s">
        <v>123</v>
      </c>
      <c r="AM3" s="136" t="s">
        <v>124</v>
      </c>
      <c r="AN3" s="136" t="s">
        <v>126</v>
      </c>
      <c r="AO3" s="136" t="s">
        <v>125</v>
      </c>
    </row>
    <row r="4" spans="1:41" s="135" customFormat="1" ht="28.5" customHeight="1">
      <c r="A4" s="275" t="s">
        <v>430</v>
      </c>
      <c r="B4" s="137">
        <v>1</v>
      </c>
      <c r="C4" s="149">
        <v>45432</v>
      </c>
      <c r="D4" s="138" t="s">
        <v>55</v>
      </c>
      <c r="E4" s="139">
        <f>VLOOKUP(D4,매출!C:J,8,0)</f>
        <v>64638670</v>
      </c>
      <c r="F4" s="140">
        <f>IFERROR(VLOOKUP($D4,매장경비정리!$C:$K,F$1,FALSE),0)</f>
        <v>190500</v>
      </c>
      <c r="G4" s="140">
        <f>IFERROR(VLOOKUP($D4,매장경비정리!$C:$K,G$1,FALSE),0)</f>
        <v>58</v>
      </c>
      <c r="H4" s="140">
        <f>IFERROR(VLOOKUP($D4,매장경비정리!$C:$K,H$1,FALSE),0)</f>
        <v>56000</v>
      </c>
      <c r="I4" s="140">
        <f>IFERROR(VLOOKUP($D4,매장경비정리!$C:$K,I$1,FALSE),0)</f>
        <v>14</v>
      </c>
      <c r="J4" s="140">
        <f>IFERROR(VLOOKUP($D4,매장경비정리!$C:$K,J$1,FALSE),0)</f>
        <v>76150</v>
      </c>
      <c r="K4" s="140">
        <f>IFERROR(VLOOKUP($D4,매장경비정리!$C:$K,K$1,FALSE),0)</f>
        <v>2</v>
      </c>
      <c r="L4" s="140">
        <f t="shared" ref="L4" si="0">SUM(F4,H4,J4)</f>
        <v>322650</v>
      </c>
      <c r="M4" s="141">
        <f t="shared" ref="M4" si="1">L4/E4</f>
        <v>4.9915940411521462E-3</v>
      </c>
      <c r="N4" s="142"/>
      <c r="O4"/>
      <c r="P4" s="143">
        <f>VLOOKUP($D4,'[1]25년 5월경비'!$D:$M,P$1,FALSE)</f>
        <v>45572690</v>
      </c>
      <c r="Q4" s="140">
        <f>VLOOKUP($D4,'[1]25년 5월경비'!$D:$M,Q$1,FALSE)</f>
        <v>19800</v>
      </c>
      <c r="R4" s="140">
        <f>VLOOKUP($D4,'[1]25년 5월경비'!$D:$M,R$1,FALSE)</f>
        <v>4</v>
      </c>
      <c r="S4" s="140">
        <f>VLOOKUP($D4,'[1]25년 5월경비'!$D:$M,S$1,FALSE)</f>
        <v>101000</v>
      </c>
      <c r="T4" s="140">
        <f>VLOOKUP($D4,'[1]25년 5월경비'!$D:$M,T$1,FALSE)</f>
        <v>24</v>
      </c>
      <c r="U4" s="140">
        <f>VLOOKUP($D4,'[1]25년 5월경비'!$D:$M,U$1,FALSE)</f>
        <v>3500</v>
      </c>
      <c r="V4" s="140">
        <f>VLOOKUP($D4,'[1]25년 5월경비'!$D:$M,V$1,FALSE)</f>
        <v>1</v>
      </c>
      <c r="W4" s="140">
        <f>VLOOKUP($D4,'[1]25년 5월경비'!$D:$M,W$1,FALSE)</f>
        <v>124300</v>
      </c>
      <c r="X4" s="141">
        <f t="shared" ref="X4:X7" si="2">W4/P4</f>
        <v>2.727510708716119E-3</v>
      </c>
      <c r="Y4" s="142"/>
      <c r="Z4" s="144">
        <f t="shared" ref="Z4:AG6" si="3">E4-P4</f>
        <v>19065980</v>
      </c>
      <c r="AA4" s="140">
        <f t="shared" si="3"/>
        <v>170700</v>
      </c>
      <c r="AB4" s="140">
        <f t="shared" si="3"/>
        <v>54</v>
      </c>
      <c r="AC4" s="140">
        <f t="shared" si="3"/>
        <v>-45000</v>
      </c>
      <c r="AD4" s="140">
        <f t="shared" si="3"/>
        <v>-10</v>
      </c>
      <c r="AE4" s="140">
        <f t="shared" si="3"/>
        <v>72650</v>
      </c>
      <c r="AF4" s="140">
        <f t="shared" si="3"/>
        <v>1</v>
      </c>
      <c r="AG4" s="140">
        <f t="shared" si="3"/>
        <v>198350</v>
      </c>
      <c r="AH4" s="145"/>
      <c r="AI4" s="208"/>
      <c r="AJ4" s="147"/>
      <c r="AL4" s="147"/>
      <c r="AM4" s="147"/>
      <c r="AN4" s="150"/>
      <c r="AO4" s="146"/>
    </row>
    <row r="5" spans="1:41" s="135" customFormat="1" ht="28.5" customHeight="1">
      <c r="A5" s="275"/>
      <c r="B5" s="137">
        <v>2</v>
      </c>
      <c r="C5" s="149">
        <v>45357</v>
      </c>
      <c r="D5" s="138" t="s">
        <v>17</v>
      </c>
      <c r="E5" s="139">
        <f>VLOOKUP(D5,매출!C:J,8,0)</f>
        <v>119883530</v>
      </c>
      <c r="F5" s="140">
        <f>IFERROR(VLOOKUP($D5,매장경비정리!$C:$K,F$1,FALSE),0)</f>
        <v>0</v>
      </c>
      <c r="G5" s="140">
        <f>IFERROR(VLOOKUP($D5,매장경비정리!$C:$K,G$1,FALSE),0)</f>
        <v>0</v>
      </c>
      <c r="H5" s="140">
        <f>IFERROR(VLOOKUP($D5,매장경비정리!$C:$K,H$1,FALSE),0)</f>
        <v>0</v>
      </c>
      <c r="I5" s="140">
        <f>IFERROR(VLOOKUP($D5,매장경비정리!$C:$K,I$1,FALSE),0)</f>
        <v>0</v>
      </c>
      <c r="J5" s="140">
        <f>IFERROR(VLOOKUP($D5,매장경비정리!$C:$K,J$1,FALSE),0)</f>
        <v>0</v>
      </c>
      <c r="K5" s="140">
        <f>IFERROR(VLOOKUP($D5,매장경비정리!$C:$K,K$1,FALSE),0)</f>
        <v>0</v>
      </c>
      <c r="L5" s="140">
        <f>SUM(F5,H5,J5)</f>
        <v>0</v>
      </c>
      <c r="M5" s="141">
        <f>L5/E5</f>
        <v>0</v>
      </c>
      <c r="N5" s="142"/>
      <c r="O5"/>
      <c r="P5" s="143">
        <f>VLOOKUP($D5,'[1]25년 5월경비'!$D:$M,P$1,FALSE)</f>
        <v>76085360</v>
      </c>
      <c r="Q5" s="140">
        <f>VLOOKUP($D5,'[1]25년 5월경비'!$D:$M,Q$1,FALSE)</f>
        <v>0</v>
      </c>
      <c r="R5" s="140">
        <f>VLOOKUP($D5,'[1]25년 5월경비'!$D:$M,R$1,FALSE)</f>
        <v>0</v>
      </c>
      <c r="S5" s="140">
        <f>VLOOKUP($D5,'[1]25년 5월경비'!$D:$M,S$1,FALSE)</f>
        <v>0</v>
      </c>
      <c r="T5" s="140">
        <f>VLOOKUP($D5,'[1]25년 5월경비'!$D:$M,T$1,FALSE)</f>
        <v>0</v>
      </c>
      <c r="U5" s="140">
        <f>VLOOKUP($D5,'[1]25년 5월경비'!$D:$M,U$1,FALSE)</f>
        <v>0</v>
      </c>
      <c r="V5" s="140">
        <f>VLOOKUP($D5,'[1]25년 5월경비'!$D:$M,V$1,FALSE)</f>
        <v>0</v>
      </c>
      <c r="W5" s="140">
        <f>VLOOKUP($D5,'[1]25년 5월경비'!$D:$M,W$1,FALSE)</f>
        <v>0</v>
      </c>
      <c r="X5" s="141">
        <f t="shared" ref="X5" si="4">W5/P5</f>
        <v>0</v>
      </c>
      <c r="Y5" s="142"/>
      <c r="Z5" s="144">
        <f t="shared" si="3"/>
        <v>43798170</v>
      </c>
      <c r="AA5" s="140">
        <f t="shared" si="3"/>
        <v>0</v>
      </c>
      <c r="AB5" s="140">
        <f t="shared" si="3"/>
        <v>0</v>
      </c>
      <c r="AC5" s="140">
        <f t="shared" si="3"/>
        <v>0</v>
      </c>
      <c r="AD5" s="140">
        <f t="shared" si="3"/>
        <v>0</v>
      </c>
      <c r="AE5" s="140">
        <f t="shared" si="3"/>
        <v>0</v>
      </c>
      <c r="AF5" s="140">
        <f t="shared" si="3"/>
        <v>0</v>
      </c>
      <c r="AG5" s="140">
        <f t="shared" si="3"/>
        <v>0</v>
      </c>
      <c r="AH5" s="140"/>
      <c r="AI5" s="208"/>
      <c r="AJ5" s="146"/>
      <c r="AL5" s="146"/>
      <c r="AM5" s="146"/>
      <c r="AN5" s="146"/>
      <c r="AO5" s="146"/>
    </row>
    <row r="6" spans="1:41" s="135" customFormat="1" ht="28.5" customHeight="1">
      <c r="A6" s="276"/>
      <c r="B6" s="137">
        <v>3</v>
      </c>
      <c r="C6" s="149">
        <v>45357</v>
      </c>
      <c r="D6" s="138" t="s">
        <v>356</v>
      </c>
      <c r="E6" s="139">
        <f>VLOOKUP(D6,매출!C:J,8,0)</f>
        <v>24307440</v>
      </c>
      <c r="F6" s="140">
        <f>IFERROR(VLOOKUP($D6,매장경비정리!$C:$K,F$1,FALSE),0)</f>
        <v>0</v>
      </c>
      <c r="G6" s="140">
        <f>IFERROR(VLOOKUP($D6,매장경비정리!$C:$K,G$1,FALSE),0)</f>
        <v>0</v>
      </c>
      <c r="H6" s="140">
        <f>IFERROR(VLOOKUP($D6,매장경비정리!$C:$K,H$1,FALSE),0)</f>
        <v>12500</v>
      </c>
      <c r="I6" s="140">
        <f>IFERROR(VLOOKUP($D6,매장경비정리!$C:$K,I$1,FALSE),0)</f>
        <v>3</v>
      </c>
      <c r="J6" s="140">
        <f>IFERROR(VLOOKUP($D6,매장경비정리!$C:$K,J$1,FALSE),0)</f>
        <v>0</v>
      </c>
      <c r="K6" s="140">
        <f>IFERROR(VLOOKUP($D6,매장경비정리!$C:$K,K$1,FALSE),0)</f>
        <v>0</v>
      </c>
      <c r="L6" s="140">
        <f>SUM(F6,H6,J6)</f>
        <v>12500</v>
      </c>
      <c r="M6" s="141">
        <f>L6/E6</f>
        <v>5.1424584407078655E-4</v>
      </c>
      <c r="N6" s="142"/>
      <c r="O6"/>
      <c r="P6" s="143">
        <f>VLOOKUP($D6,'[1]25년 5월경비'!$D:$M,P$1,FALSE)</f>
        <v>24241030</v>
      </c>
      <c r="Q6" s="140">
        <f>VLOOKUP($D6,'[1]25년 5월경비'!$D:$M,Q$1,FALSE)</f>
        <v>0</v>
      </c>
      <c r="R6" s="140">
        <f>VLOOKUP($D6,'[1]25년 5월경비'!$D:$M,R$1,FALSE)</f>
        <v>0</v>
      </c>
      <c r="S6" s="140">
        <f>VLOOKUP($D6,'[1]25년 5월경비'!$D:$M,S$1,FALSE)</f>
        <v>83900</v>
      </c>
      <c r="T6" s="140">
        <f>VLOOKUP($D6,'[1]25년 5월경비'!$D:$M,T$1,FALSE)</f>
        <v>19</v>
      </c>
      <c r="U6" s="140">
        <f>VLOOKUP($D6,'[1]25년 5월경비'!$D:$M,U$1,FALSE)</f>
        <v>0</v>
      </c>
      <c r="V6" s="140">
        <f>VLOOKUP($D6,'[1]25년 5월경비'!$D:$M,V$1,FALSE)</f>
        <v>0</v>
      </c>
      <c r="W6" s="140">
        <f>VLOOKUP($D6,'[1]25년 5월경비'!$D:$M,W$1,FALSE)</f>
        <v>83900</v>
      </c>
      <c r="X6" s="141">
        <f t="shared" si="2"/>
        <v>3.4610740550215895E-3</v>
      </c>
      <c r="Y6" s="142"/>
      <c r="Z6" s="144">
        <f t="shared" si="3"/>
        <v>66410</v>
      </c>
      <c r="AA6" s="140">
        <f t="shared" si="3"/>
        <v>0</v>
      </c>
      <c r="AB6" s="140">
        <f t="shared" si="3"/>
        <v>0</v>
      </c>
      <c r="AC6" s="140">
        <f t="shared" si="3"/>
        <v>-71400</v>
      </c>
      <c r="AD6" s="140">
        <f t="shared" si="3"/>
        <v>-16</v>
      </c>
      <c r="AE6" s="140">
        <f t="shared" si="3"/>
        <v>0</v>
      </c>
      <c r="AF6" s="140">
        <f t="shared" si="3"/>
        <v>0</v>
      </c>
      <c r="AG6" s="140">
        <f t="shared" si="3"/>
        <v>-71400</v>
      </c>
      <c r="AH6" s="140"/>
      <c r="AI6" s="208"/>
      <c r="AJ6" s="146"/>
      <c r="AL6" s="146"/>
      <c r="AM6" s="146"/>
      <c r="AN6" s="146"/>
      <c r="AO6" s="146"/>
    </row>
    <row r="7" spans="1:41" s="157" customFormat="1" ht="28.5" customHeight="1">
      <c r="A7" s="152"/>
      <c r="B7" s="152"/>
      <c r="C7" s="153"/>
      <c r="D7" s="152"/>
      <c r="E7" s="154">
        <f>SUM(E4:E6)</f>
        <v>208829640</v>
      </c>
      <c r="F7" s="154">
        <f>SUM(F4:F6)</f>
        <v>190500</v>
      </c>
      <c r="G7" s="154">
        <f>SUM(G4:G6)</f>
        <v>58</v>
      </c>
      <c r="H7" s="154">
        <f>SUM(H4:H6)</f>
        <v>68500</v>
      </c>
      <c r="I7" s="154">
        <f>SUM(I4:I6)</f>
        <v>17</v>
      </c>
      <c r="J7" s="154">
        <f>SUM(J4:J6)</f>
        <v>76150</v>
      </c>
      <c r="K7" s="154">
        <f>SUM(K4:K6)</f>
        <v>2</v>
      </c>
      <c r="L7" s="154">
        <f>SUM(L4:L6)</f>
        <v>335150</v>
      </c>
      <c r="M7" s="155">
        <f>L7/E7</f>
        <v>1.6048966995298177E-3</v>
      </c>
      <c r="N7" s="156"/>
      <c r="O7"/>
      <c r="P7" s="154">
        <f>SUM(P4:P6)</f>
        <v>145899080</v>
      </c>
      <c r="Q7" s="154">
        <f>SUM(Q4:Q6)</f>
        <v>19800</v>
      </c>
      <c r="R7" s="154">
        <f>SUM(R4:R6)</f>
        <v>4</v>
      </c>
      <c r="S7" s="154">
        <f>SUM(S4:S6)</f>
        <v>184900</v>
      </c>
      <c r="T7" s="154">
        <f>SUM(T4:T6)</f>
        <v>43</v>
      </c>
      <c r="U7" s="154">
        <f>SUM(U4:U6)</f>
        <v>3500</v>
      </c>
      <c r="V7" s="154">
        <f>SUM(V4:V6)</f>
        <v>1</v>
      </c>
      <c r="W7" s="154">
        <f>SUM(W4:W6)</f>
        <v>208200</v>
      </c>
      <c r="X7" s="155">
        <f t="shared" si="2"/>
        <v>1.4270137961116683E-3</v>
      </c>
      <c r="Y7" s="156"/>
      <c r="Z7" s="154">
        <f>SUM(Z4:Z6)</f>
        <v>62930560</v>
      </c>
      <c r="AA7" s="154">
        <f>SUM(AA4:AA6)</f>
        <v>170700</v>
      </c>
      <c r="AB7" s="154">
        <f>SUM(AB4:AB6)</f>
        <v>54</v>
      </c>
      <c r="AC7" s="154">
        <f>SUM(AC4:AC6)</f>
        <v>-116400</v>
      </c>
      <c r="AD7" s="154">
        <f>SUM(AD4:AD6)</f>
        <v>-26</v>
      </c>
      <c r="AE7" s="154">
        <f>SUM(AE4:AE6)</f>
        <v>72650</v>
      </c>
      <c r="AF7" s="154">
        <f>SUM(AF4:AF6)</f>
        <v>1</v>
      </c>
      <c r="AG7" s="154">
        <f>SUM(AG4:AG6)</f>
        <v>126950</v>
      </c>
      <c r="AH7" s="154"/>
      <c r="AI7" s="211"/>
      <c r="AJ7" s="154"/>
      <c r="AK7" s="121"/>
      <c r="AL7" s="154"/>
      <c r="AM7" s="154"/>
      <c r="AN7" s="154"/>
      <c r="AO7" s="154"/>
    </row>
    <row r="8" spans="1:41" ht="15" customHeight="1">
      <c r="L8" s="167"/>
      <c r="M8" s="167"/>
      <c r="N8" s="167"/>
      <c r="W8" s="167"/>
      <c r="X8" s="167"/>
      <c r="Y8" s="167"/>
      <c r="AA8" s="167"/>
      <c r="AB8" s="167"/>
      <c r="AC8" s="167"/>
      <c r="AD8" s="167"/>
      <c r="AE8" s="167"/>
      <c r="AF8" s="167"/>
      <c r="AG8" s="167"/>
      <c r="AH8" s="168"/>
      <c r="AI8" s="212"/>
      <c r="AN8" s="135"/>
    </row>
    <row r="9" spans="1:41" s="135" customFormat="1" ht="39.75" customHeight="1">
      <c r="A9" s="124" t="s">
        <v>246</v>
      </c>
      <c r="B9" s="124" t="s">
        <v>354</v>
      </c>
      <c r="C9" s="122" t="s">
        <v>200</v>
      </c>
      <c r="D9" s="124" t="s">
        <v>2</v>
      </c>
      <c r="E9" s="124" t="s">
        <v>417</v>
      </c>
      <c r="F9" s="127" t="s">
        <v>3</v>
      </c>
      <c r="G9" s="127" t="s">
        <v>42</v>
      </c>
      <c r="H9" s="127" t="s">
        <v>4</v>
      </c>
      <c r="I9" s="127" t="s">
        <v>42</v>
      </c>
      <c r="J9" s="127" t="s">
        <v>5</v>
      </c>
      <c r="K9" s="127" t="s">
        <v>42</v>
      </c>
      <c r="L9" s="124" t="s">
        <v>6</v>
      </c>
      <c r="M9" s="122" t="s">
        <v>127</v>
      </c>
      <c r="N9" s="128"/>
      <c r="O9"/>
      <c r="P9" s="129" t="s">
        <v>418</v>
      </c>
      <c r="Q9" s="130" t="s">
        <v>3</v>
      </c>
      <c r="R9" s="130" t="s">
        <v>42</v>
      </c>
      <c r="S9" s="130" t="s">
        <v>4</v>
      </c>
      <c r="T9" s="130" t="s">
        <v>42</v>
      </c>
      <c r="U9" s="130" t="s">
        <v>5</v>
      </c>
      <c r="V9" s="130" t="s">
        <v>42</v>
      </c>
      <c r="W9" s="129" t="s">
        <v>6</v>
      </c>
      <c r="X9" s="131" t="s">
        <v>127</v>
      </c>
      <c r="Y9" s="128"/>
      <c r="Z9" s="132" t="s">
        <v>195</v>
      </c>
      <c r="AA9" s="133" t="s">
        <v>3</v>
      </c>
      <c r="AB9" s="133" t="s">
        <v>42</v>
      </c>
      <c r="AC9" s="133" t="s">
        <v>4</v>
      </c>
      <c r="AD9" s="133" t="s">
        <v>42</v>
      </c>
      <c r="AE9" s="133" t="s">
        <v>5</v>
      </c>
      <c r="AF9" s="133" t="s">
        <v>42</v>
      </c>
      <c r="AG9" s="132" t="s">
        <v>6</v>
      </c>
      <c r="AH9" s="134" t="s">
        <v>7</v>
      </c>
      <c r="AI9" s="124" t="s">
        <v>41</v>
      </c>
      <c r="AJ9" s="124" t="s">
        <v>103</v>
      </c>
      <c r="AL9" s="136" t="s">
        <v>123</v>
      </c>
      <c r="AM9" s="136" t="s">
        <v>124</v>
      </c>
      <c r="AN9" s="136" t="s">
        <v>126</v>
      </c>
      <c r="AO9" s="136" t="s">
        <v>125</v>
      </c>
    </row>
    <row r="10" spans="1:41" s="135" customFormat="1" ht="28.5" customHeight="1">
      <c r="A10" s="274" t="s">
        <v>249</v>
      </c>
      <c r="B10" s="137">
        <v>1</v>
      </c>
      <c r="C10" s="149">
        <v>45425</v>
      </c>
      <c r="D10" s="138" t="s">
        <v>30</v>
      </c>
      <c r="E10" s="139">
        <f>VLOOKUP(D10,매출!C:J,8,0)</f>
        <v>38562070</v>
      </c>
      <c r="F10" s="140">
        <f>IFERROR(VLOOKUP($D10,매장경비정리!$C:$K,F$1,FALSE),0)</f>
        <v>78000</v>
      </c>
      <c r="G10" s="140">
        <f>IFERROR(VLOOKUP($D10,매장경비정리!$C:$K,G$1,FALSE),0)</f>
        <v>20</v>
      </c>
      <c r="H10" s="140">
        <f>IFERROR(VLOOKUP($D10,매장경비정리!$C:$K,H$1,FALSE),0)</f>
        <v>57000</v>
      </c>
      <c r="I10" s="140">
        <f>IFERROR(VLOOKUP($D10,매장경비정리!$C:$K,I$1,FALSE),0)</f>
        <v>14</v>
      </c>
      <c r="J10" s="140">
        <f>IFERROR(VLOOKUP($D10,매장경비정리!$C:$K,J$1,FALSE),0)</f>
        <v>0</v>
      </c>
      <c r="K10" s="140">
        <f>IFERROR(VLOOKUP($D10,매장경비정리!$C:$K,K$1,FALSE),0)</f>
        <v>0</v>
      </c>
      <c r="L10" s="140">
        <f t="shared" ref="L10:L19" si="5">SUM(F10,H10,J10)</f>
        <v>135000</v>
      </c>
      <c r="M10" s="141">
        <f t="shared" ref="M10:M20" si="6">L10/E10</f>
        <v>3.5008494097956877E-3</v>
      </c>
      <c r="N10" s="142"/>
      <c r="O10"/>
      <c r="P10" s="143">
        <f>VLOOKUP($D10,'[1]25년 5월경비'!$D:$M,P$1,FALSE)</f>
        <v>44165350</v>
      </c>
      <c r="Q10" s="140">
        <f>VLOOKUP($D10,'[1]25년 5월경비'!$D:$M,Q$1,FALSE)</f>
        <v>80000</v>
      </c>
      <c r="R10" s="140">
        <f>VLOOKUP($D10,'[1]25년 5월경비'!$D:$M,R$1,FALSE)</f>
        <v>20</v>
      </c>
      <c r="S10" s="140">
        <f>VLOOKUP($D10,'[1]25년 5월경비'!$D:$M,S$1,FALSE)</f>
        <v>152100</v>
      </c>
      <c r="T10" s="140">
        <f>VLOOKUP($D10,'[1]25년 5월경비'!$D:$M,T$1,FALSE)</f>
        <v>38</v>
      </c>
      <c r="U10" s="140">
        <f>VLOOKUP($D10,'[1]25년 5월경비'!$D:$M,U$1,FALSE)</f>
        <v>0</v>
      </c>
      <c r="V10" s="140">
        <f>VLOOKUP($D10,'[1]25년 5월경비'!$D:$M,V$1,FALSE)</f>
        <v>0</v>
      </c>
      <c r="W10" s="140">
        <f>VLOOKUP($D10,'[1]25년 5월경비'!$D:$M,W$1,FALSE)</f>
        <v>232100</v>
      </c>
      <c r="X10" s="141">
        <f>W10/P10</f>
        <v>5.2552510055960157E-3</v>
      </c>
      <c r="Y10" s="142"/>
      <c r="Z10" s="144">
        <f t="shared" ref="Z10:AG19" si="7">E10-P10</f>
        <v>-5603280</v>
      </c>
      <c r="AA10" s="140">
        <f t="shared" si="7"/>
        <v>-2000</v>
      </c>
      <c r="AB10" s="140">
        <f t="shared" si="7"/>
        <v>0</v>
      </c>
      <c r="AC10" s="140">
        <f t="shared" si="7"/>
        <v>-95100</v>
      </c>
      <c r="AD10" s="140">
        <f t="shared" si="7"/>
        <v>-24</v>
      </c>
      <c r="AE10" s="140">
        <f t="shared" si="7"/>
        <v>0</v>
      </c>
      <c r="AF10" s="140">
        <f t="shared" si="7"/>
        <v>0</v>
      </c>
      <c r="AG10" s="140">
        <f t="shared" si="7"/>
        <v>-97100</v>
      </c>
      <c r="AH10" s="148"/>
      <c r="AI10" s="210"/>
      <c r="AJ10" s="147"/>
      <c r="AL10" s="147"/>
      <c r="AM10" s="146"/>
      <c r="AN10" s="147"/>
      <c r="AO10" s="147"/>
    </row>
    <row r="11" spans="1:41" s="135" customFormat="1" ht="28.5" customHeight="1">
      <c r="A11" s="275"/>
      <c r="B11" s="137">
        <v>2</v>
      </c>
      <c r="C11" s="149">
        <v>45425</v>
      </c>
      <c r="D11" s="138" t="s">
        <v>88</v>
      </c>
      <c r="E11" s="139">
        <f>VLOOKUP(D11,매출!C:J,8,0)</f>
        <v>45105140</v>
      </c>
      <c r="F11" s="140">
        <f>IFERROR(VLOOKUP($D11,매장경비정리!$C:$K,F$1,FALSE),0)</f>
        <v>62000</v>
      </c>
      <c r="G11" s="140">
        <f>IFERROR(VLOOKUP($D11,매장경비정리!$C:$K,G$1,FALSE),0)</f>
        <v>15</v>
      </c>
      <c r="H11" s="140">
        <f>IFERROR(VLOOKUP($D11,매장경비정리!$C:$K,H$1,FALSE),0)</f>
        <v>90950</v>
      </c>
      <c r="I11" s="140">
        <f>IFERROR(VLOOKUP($D11,매장경비정리!$C:$K,I$1,FALSE),0)</f>
        <v>22</v>
      </c>
      <c r="J11" s="140">
        <f>IFERROR(VLOOKUP($D11,매장경비정리!$C:$K,J$1,FALSE),0)</f>
        <v>0</v>
      </c>
      <c r="K11" s="140">
        <f>IFERROR(VLOOKUP($D11,매장경비정리!$C:$K,K$1,FALSE),0)</f>
        <v>0</v>
      </c>
      <c r="L11" s="140">
        <f>SUM(F11,H11,J11)</f>
        <v>152950</v>
      </c>
      <c r="M11" s="141">
        <f>L11/E11</f>
        <v>3.3909660850182485E-3</v>
      </c>
      <c r="N11" s="142"/>
      <c r="O11"/>
      <c r="P11" s="143">
        <f>VLOOKUP($D11,'[1]25년 5월경비'!$D:$M,P$1,FALSE)</f>
        <v>34977600</v>
      </c>
      <c r="Q11" s="140">
        <f>VLOOKUP($D11,'[1]25년 5월경비'!$D:$M,Q$1,FALSE)</f>
        <v>48000</v>
      </c>
      <c r="R11" s="140">
        <f>VLOOKUP($D11,'[1]25년 5월경비'!$D:$M,R$1,FALSE)</f>
        <v>8</v>
      </c>
      <c r="S11" s="140">
        <f>VLOOKUP($D11,'[1]25년 5월경비'!$D:$M,S$1,FALSE)</f>
        <v>63270</v>
      </c>
      <c r="T11" s="140">
        <f>VLOOKUP($D11,'[1]25년 5월경비'!$D:$M,T$1,FALSE)</f>
        <v>16</v>
      </c>
      <c r="U11" s="140">
        <f>VLOOKUP($D11,'[1]25년 5월경비'!$D:$M,U$1,FALSE)</f>
        <v>54500</v>
      </c>
      <c r="V11" s="140">
        <f>VLOOKUP($D11,'[1]25년 5월경비'!$D:$M,V$1,FALSE)</f>
        <v>2</v>
      </c>
      <c r="W11" s="140">
        <f>VLOOKUP($D11,'[1]25년 5월경비'!$D:$M,W$1,FALSE)</f>
        <v>165770</v>
      </c>
      <c r="X11" s="141">
        <f>W11/P11</f>
        <v>4.7393188783678699E-3</v>
      </c>
      <c r="Y11" s="142"/>
      <c r="Z11" s="144">
        <f t="shared" si="7"/>
        <v>10127540</v>
      </c>
      <c r="AA11" s="140">
        <f t="shared" si="7"/>
        <v>14000</v>
      </c>
      <c r="AB11" s="140">
        <f t="shared" si="7"/>
        <v>7</v>
      </c>
      <c r="AC11" s="140">
        <f t="shared" si="7"/>
        <v>27680</v>
      </c>
      <c r="AD11" s="140">
        <f t="shared" si="7"/>
        <v>6</v>
      </c>
      <c r="AE11" s="140">
        <f t="shared" si="7"/>
        <v>-54500</v>
      </c>
      <c r="AF11" s="140">
        <f t="shared" si="7"/>
        <v>-2</v>
      </c>
      <c r="AG11" s="140">
        <f t="shared" si="7"/>
        <v>-12820</v>
      </c>
      <c r="AH11" s="145"/>
      <c r="AI11" s="208"/>
      <c r="AJ11" s="147"/>
      <c r="AL11" s="147"/>
      <c r="AM11" s="147"/>
      <c r="AN11" s="146"/>
      <c r="AO11" s="146"/>
    </row>
    <row r="12" spans="1:41" s="135" customFormat="1" ht="27.75" customHeight="1">
      <c r="A12" s="275"/>
      <c r="B12" s="137">
        <v>3</v>
      </c>
      <c r="C12" s="149">
        <v>45418</v>
      </c>
      <c r="D12" s="138" t="s">
        <v>137</v>
      </c>
      <c r="E12" s="139">
        <f>VLOOKUP(D12,매출!C:J,8,0)</f>
        <v>57171610</v>
      </c>
      <c r="F12" s="140">
        <f>IFERROR(VLOOKUP($D12,매장경비정리!$C:$K,F$1,FALSE),0)</f>
        <v>140000</v>
      </c>
      <c r="G12" s="140">
        <f>IFERROR(VLOOKUP($D12,매장경비정리!$C:$K,G$1,FALSE),0)</f>
        <v>13</v>
      </c>
      <c r="H12" s="140">
        <f>IFERROR(VLOOKUP($D12,매장경비정리!$C:$K,H$1,FALSE),0)</f>
        <v>66400</v>
      </c>
      <c r="I12" s="140">
        <f>IFERROR(VLOOKUP($D12,매장경비정리!$C:$K,I$1,FALSE),0)</f>
        <v>13</v>
      </c>
      <c r="J12" s="140">
        <f>IFERROR(VLOOKUP($D12,매장경비정리!$C:$K,J$1,FALSE),0)</f>
        <v>0</v>
      </c>
      <c r="K12" s="140">
        <f>IFERROR(VLOOKUP($D12,매장경비정리!$C:$K,K$1,FALSE),0)</f>
        <v>0</v>
      </c>
      <c r="L12" s="140">
        <f t="shared" si="5"/>
        <v>206400</v>
      </c>
      <c r="M12" s="141">
        <f t="shared" si="6"/>
        <v>3.6101834459445867E-3</v>
      </c>
      <c r="N12" s="142"/>
      <c r="O12"/>
      <c r="P12" s="143">
        <f>VLOOKUP($D12,'[1]25년 5월경비'!$D:$M,P$1,FALSE)</f>
        <v>52541860</v>
      </c>
      <c r="Q12" s="140">
        <f>VLOOKUP($D12,'[1]25년 5월경비'!$D:$M,Q$1,FALSE)</f>
        <v>152000</v>
      </c>
      <c r="R12" s="140">
        <f>VLOOKUP($D12,'[1]25년 5월경비'!$D:$M,R$1,FALSE)</f>
        <v>14</v>
      </c>
      <c r="S12" s="140">
        <f>VLOOKUP($D12,'[1]25년 5월경비'!$D:$M,S$1,FALSE)</f>
        <v>70900</v>
      </c>
      <c r="T12" s="140">
        <f>VLOOKUP($D12,'[1]25년 5월경비'!$D:$M,T$1,FALSE)</f>
        <v>17</v>
      </c>
      <c r="U12" s="140">
        <f>VLOOKUP($D12,'[1]25년 5월경비'!$D:$M,U$1,FALSE)</f>
        <v>0</v>
      </c>
      <c r="V12" s="140">
        <f>VLOOKUP($D12,'[1]25년 5월경비'!$D:$M,V$1,FALSE)</f>
        <v>0</v>
      </c>
      <c r="W12" s="140">
        <f>VLOOKUP($D12,'[1]25년 5월경비'!$D:$M,W$1,FALSE)</f>
        <v>222900</v>
      </c>
      <c r="X12" s="141">
        <f>W12/P12</f>
        <v>4.2423317332123374E-3</v>
      </c>
      <c r="Y12" s="142"/>
      <c r="Z12" s="144">
        <f t="shared" si="7"/>
        <v>4629750</v>
      </c>
      <c r="AA12" s="140">
        <f t="shared" si="7"/>
        <v>-12000</v>
      </c>
      <c r="AB12" s="140">
        <f t="shared" si="7"/>
        <v>-1</v>
      </c>
      <c r="AC12" s="140">
        <f t="shared" si="7"/>
        <v>-4500</v>
      </c>
      <c r="AD12" s="140">
        <f t="shared" si="7"/>
        <v>-4</v>
      </c>
      <c r="AE12" s="140">
        <f t="shared" si="7"/>
        <v>0</v>
      </c>
      <c r="AF12" s="140">
        <f t="shared" si="7"/>
        <v>0</v>
      </c>
      <c r="AG12" s="140">
        <f t="shared" si="7"/>
        <v>-16500</v>
      </c>
      <c r="AH12" s="145"/>
      <c r="AI12" s="208"/>
      <c r="AJ12" s="147"/>
      <c r="AL12" s="147"/>
      <c r="AM12" s="146"/>
      <c r="AN12" s="146"/>
      <c r="AO12" s="146"/>
    </row>
    <row r="13" spans="1:41" s="135" customFormat="1" ht="28.5" customHeight="1">
      <c r="A13" s="275"/>
      <c r="B13" s="137">
        <v>4</v>
      </c>
      <c r="C13" s="149">
        <v>45357</v>
      </c>
      <c r="D13" s="138" t="s">
        <v>138</v>
      </c>
      <c r="E13" s="139">
        <f>VLOOKUP(D13,매출!C:J,8,0)</f>
        <v>38455850</v>
      </c>
      <c r="F13" s="140">
        <f>IFERROR(VLOOKUP($D13,매장경비정리!$C:$K,F$1,FALSE),0)</f>
        <v>94000</v>
      </c>
      <c r="G13" s="140">
        <f>IFERROR(VLOOKUP($D13,매장경비정리!$C:$K,G$1,FALSE),0)</f>
        <v>23</v>
      </c>
      <c r="H13" s="140">
        <f>IFERROR(VLOOKUP($D13,매장경비정리!$C:$K,H$1,FALSE),0)</f>
        <v>43200</v>
      </c>
      <c r="I13" s="140">
        <f>IFERROR(VLOOKUP($D13,매장경비정리!$C:$K,I$1,FALSE),0)</f>
        <v>11</v>
      </c>
      <c r="J13" s="140">
        <f>IFERROR(VLOOKUP($D13,매장경비정리!$C:$K,J$1,FALSE),0)</f>
        <v>0</v>
      </c>
      <c r="K13" s="140">
        <f>IFERROR(VLOOKUP($D13,매장경비정리!$C:$K,K$1,FALSE),0)</f>
        <v>0</v>
      </c>
      <c r="L13" s="140">
        <f t="shared" si="5"/>
        <v>137200</v>
      </c>
      <c r="M13" s="141">
        <f t="shared" si="6"/>
        <v>3.567727666921938E-3</v>
      </c>
      <c r="N13" s="142"/>
      <c r="O13"/>
      <c r="P13" s="143">
        <f>VLOOKUP($D13,'[1]25년 5월경비'!$D:$M,P$1,FALSE)</f>
        <v>25106730</v>
      </c>
      <c r="Q13" s="140">
        <f>VLOOKUP($D13,'[1]25년 5월경비'!$D:$M,Q$1,FALSE)</f>
        <v>129000</v>
      </c>
      <c r="R13" s="140">
        <f>VLOOKUP($D13,'[1]25년 5월경비'!$D:$M,R$1,FALSE)</f>
        <v>28</v>
      </c>
      <c r="S13" s="140">
        <f>VLOOKUP($D13,'[1]25년 5월경비'!$D:$M,S$1,FALSE)</f>
        <v>41500</v>
      </c>
      <c r="T13" s="140">
        <f>VLOOKUP($D13,'[1]25년 5월경비'!$D:$M,T$1,FALSE)</f>
        <v>10</v>
      </c>
      <c r="U13" s="140">
        <f>VLOOKUP($D13,'[1]25년 5월경비'!$D:$M,U$1,FALSE)</f>
        <v>4000</v>
      </c>
      <c r="V13" s="140">
        <f>VLOOKUP($D13,'[1]25년 5월경비'!$D:$M,V$1,FALSE)</f>
        <v>1</v>
      </c>
      <c r="W13" s="140">
        <f>VLOOKUP($D13,'[1]25년 5월경비'!$D:$M,W$1,FALSE)</f>
        <v>174500</v>
      </c>
      <c r="X13" s="141">
        <f t="shared" ref="X13:X17" si="8">W13/P13</f>
        <v>6.9503276611490227E-3</v>
      </c>
      <c r="Y13" s="142"/>
      <c r="Z13" s="144">
        <f t="shared" si="7"/>
        <v>13349120</v>
      </c>
      <c r="AA13" s="140">
        <f t="shared" si="7"/>
        <v>-35000</v>
      </c>
      <c r="AB13" s="140">
        <f t="shared" si="7"/>
        <v>-5</v>
      </c>
      <c r="AC13" s="140">
        <f t="shared" si="7"/>
        <v>1700</v>
      </c>
      <c r="AD13" s="140">
        <f t="shared" si="7"/>
        <v>1</v>
      </c>
      <c r="AE13" s="140">
        <f t="shared" si="7"/>
        <v>-4000</v>
      </c>
      <c r="AF13" s="140">
        <f t="shared" si="7"/>
        <v>-1</v>
      </c>
      <c r="AG13" s="140">
        <f t="shared" si="7"/>
        <v>-37300</v>
      </c>
      <c r="AH13" s="148"/>
      <c r="AI13" s="210"/>
      <c r="AJ13" s="147"/>
      <c r="AL13" s="147"/>
      <c r="AM13" s="146"/>
      <c r="AN13" s="147"/>
      <c r="AO13" s="147"/>
    </row>
    <row r="14" spans="1:41" s="135" customFormat="1" ht="28.5" customHeight="1">
      <c r="A14" s="275"/>
      <c r="B14" s="137">
        <v>5</v>
      </c>
      <c r="C14" s="149">
        <v>45338</v>
      </c>
      <c r="D14" s="138" t="s">
        <v>35</v>
      </c>
      <c r="E14" s="139">
        <f>VLOOKUP(D14,매출!C:J,8,0)</f>
        <v>46885330</v>
      </c>
      <c r="F14" s="140">
        <f>IFERROR(VLOOKUP($D14,매장경비정리!$C:$K,F$1,FALSE),0)</f>
        <v>200000</v>
      </c>
      <c r="G14" s="140">
        <f>IFERROR(VLOOKUP($D14,매장경비정리!$C:$K,G$1,FALSE),0)</f>
        <v>40</v>
      </c>
      <c r="H14" s="140">
        <f>IFERROR(VLOOKUP($D14,매장경비정리!$C:$K,H$1,FALSE),0)</f>
        <v>25500</v>
      </c>
      <c r="I14" s="140">
        <f>IFERROR(VLOOKUP($D14,매장경비정리!$C:$K,I$1,FALSE),0)</f>
        <v>6</v>
      </c>
      <c r="J14" s="140">
        <f>IFERROR(VLOOKUP($D14,매장경비정리!$C:$K,J$1,FALSE),0)</f>
        <v>0</v>
      </c>
      <c r="K14" s="140">
        <f>IFERROR(VLOOKUP($D14,매장경비정리!$C:$K,K$1,FALSE),0)</f>
        <v>0</v>
      </c>
      <c r="L14" s="140">
        <f t="shared" si="5"/>
        <v>225500</v>
      </c>
      <c r="M14" s="141">
        <f t="shared" si="6"/>
        <v>4.8096067575934733E-3</v>
      </c>
      <c r="N14" s="142"/>
      <c r="O14"/>
      <c r="P14" s="143">
        <f>VLOOKUP($D14,'[1]25년 5월경비'!$D:$M,P$1,FALSE)</f>
        <v>55817820</v>
      </c>
      <c r="Q14" s="140">
        <f>VLOOKUP($D14,'[1]25년 5월경비'!$D:$M,Q$1,FALSE)</f>
        <v>98000</v>
      </c>
      <c r="R14" s="140">
        <f>VLOOKUP($D14,'[1]25년 5월경비'!$D:$M,R$1,FALSE)</f>
        <v>19</v>
      </c>
      <c r="S14" s="140">
        <f>VLOOKUP($D14,'[1]25년 5월경비'!$D:$M,S$1,FALSE)</f>
        <v>101650</v>
      </c>
      <c r="T14" s="140">
        <f>VLOOKUP($D14,'[1]25년 5월경비'!$D:$M,T$1,FALSE)</f>
        <v>25</v>
      </c>
      <c r="U14" s="140">
        <f>VLOOKUP($D14,'[1]25년 5월경비'!$D:$M,U$1,FALSE)</f>
        <v>0</v>
      </c>
      <c r="V14" s="140">
        <f>VLOOKUP($D14,'[1]25년 5월경비'!$D:$M,V$1,FALSE)</f>
        <v>0</v>
      </c>
      <c r="W14" s="140">
        <f>VLOOKUP($D14,'[1]25년 5월경비'!$D:$M,W$1,FALSE)</f>
        <v>199650</v>
      </c>
      <c r="X14" s="141">
        <f t="shared" si="8"/>
        <v>3.5768147161605378E-3</v>
      </c>
      <c r="Y14" s="142"/>
      <c r="Z14" s="144">
        <f t="shared" si="7"/>
        <v>-8932490</v>
      </c>
      <c r="AA14" s="140">
        <f t="shared" si="7"/>
        <v>102000</v>
      </c>
      <c r="AB14" s="140">
        <f t="shared" si="7"/>
        <v>21</v>
      </c>
      <c r="AC14" s="140">
        <f t="shared" si="7"/>
        <v>-76150</v>
      </c>
      <c r="AD14" s="140">
        <f t="shared" si="7"/>
        <v>-19</v>
      </c>
      <c r="AE14" s="140">
        <f t="shared" si="7"/>
        <v>0</v>
      </c>
      <c r="AF14" s="140">
        <f t="shared" si="7"/>
        <v>0</v>
      </c>
      <c r="AG14" s="140">
        <f t="shared" si="7"/>
        <v>25850</v>
      </c>
      <c r="AH14" s="148"/>
      <c r="AI14" s="208"/>
      <c r="AJ14" s="159"/>
      <c r="AL14" s="147"/>
      <c r="AM14" s="147"/>
      <c r="AN14" s="147"/>
      <c r="AO14" s="147"/>
    </row>
    <row r="15" spans="1:41" s="135" customFormat="1" ht="28.5" customHeight="1">
      <c r="A15" s="275"/>
      <c r="B15" s="137">
        <v>6</v>
      </c>
      <c r="C15" s="149"/>
      <c r="D15" s="138" t="s">
        <v>384</v>
      </c>
      <c r="E15" s="139">
        <f>VLOOKUP(D15,매출!C:J,8,0)</f>
        <v>58176500</v>
      </c>
      <c r="F15" s="140">
        <f>IFERROR(VLOOKUP($D15,매장경비정리!$C:$K,F$1,FALSE),0)</f>
        <v>374900</v>
      </c>
      <c r="G15" s="140">
        <f>IFERROR(VLOOKUP($D15,매장경비정리!$C:$K,G$1,FALSE),0)</f>
        <v>92</v>
      </c>
      <c r="H15" s="140">
        <f>IFERROR(VLOOKUP($D15,매장경비정리!$C:$K,H$1,FALSE),0)</f>
        <v>54100</v>
      </c>
      <c r="I15" s="140">
        <f>IFERROR(VLOOKUP($D15,매장경비정리!$C:$K,I$1,FALSE),0)</f>
        <v>14</v>
      </c>
      <c r="J15" s="140">
        <f>IFERROR(VLOOKUP($D15,매장경비정리!$C:$K,J$1,FALSE),0)</f>
        <v>0</v>
      </c>
      <c r="K15" s="140">
        <f>IFERROR(VLOOKUP($D15,매장경비정리!$C:$K,K$1,FALSE),0)</f>
        <v>0</v>
      </c>
      <c r="L15" s="140">
        <f t="shared" ref="L15" si="9">SUM(F15,H15,J15)</f>
        <v>429000</v>
      </c>
      <c r="M15" s="141">
        <f t="shared" ref="M15" si="10">L15/E15</f>
        <v>7.3741115398829422E-3</v>
      </c>
      <c r="N15" s="142"/>
      <c r="O15"/>
      <c r="P15" s="143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1" t="str">
        <f>IFERROR(W15/P15,"")</f>
        <v/>
      </c>
      <c r="Y15" s="142"/>
      <c r="Z15" s="144">
        <f t="shared" ref="Z15" si="11">E15-P15</f>
        <v>58176500</v>
      </c>
      <c r="AA15" s="140">
        <f t="shared" ref="AA15" si="12">F15-Q15</f>
        <v>374900</v>
      </c>
      <c r="AB15" s="140">
        <f t="shared" ref="AB15" si="13">G15-R15</f>
        <v>92</v>
      </c>
      <c r="AC15" s="140">
        <f t="shared" ref="AC15" si="14">H15-S15</f>
        <v>54100</v>
      </c>
      <c r="AD15" s="140">
        <f t="shared" ref="AD15" si="15">I15-T15</f>
        <v>14</v>
      </c>
      <c r="AE15" s="140">
        <f t="shared" ref="AE15" si="16">J15-U15</f>
        <v>0</v>
      </c>
      <c r="AF15" s="140">
        <f t="shared" ref="AF15" si="17">K15-V15</f>
        <v>0</v>
      </c>
      <c r="AG15" s="140">
        <f t="shared" ref="AG15" si="18">L15-W15</f>
        <v>429000</v>
      </c>
      <c r="AH15" s="148"/>
      <c r="AI15" s="208"/>
      <c r="AJ15" s="159"/>
      <c r="AL15" s="147"/>
      <c r="AM15" s="147"/>
      <c r="AN15" s="147"/>
      <c r="AO15" s="147"/>
    </row>
    <row r="16" spans="1:41" s="135" customFormat="1" ht="28.5" customHeight="1">
      <c r="A16" s="275"/>
      <c r="B16" s="137">
        <v>7</v>
      </c>
      <c r="C16" s="149">
        <v>45425</v>
      </c>
      <c r="D16" s="138" t="s">
        <v>75</v>
      </c>
      <c r="E16" s="139">
        <f>VLOOKUP(D16,매출!C:J,8,0)</f>
        <v>44347650</v>
      </c>
      <c r="F16" s="140">
        <f>IFERROR(VLOOKUP($D16,매장경비정리!$C:$K,F$1,FALSE),0)</f>
        <v>121500</v>
      </c>
      <c r="G16" s="140">
        <f>IFERROR(VLOOKUP($D16,매장경비정리!$C:$K,G$1,FALSE),0)</f>
        <v>29</v>
      </c>
      <c r="H16" s="140">
        <f>IFERROR(VLOOKUP($D16,매장경비정리!$C:$K,H$1,FALSE),0)</f>
        <v>37500</v>
      </c>
      <c r="I16" s="140">
        <f>IFERROR(VLOOKUP($D16,매장경비정리!$C:$K,I$1,FALSE),0)</f>
        <v>9</v>
      </c>
      <c r="J16" s="140">
        <f>IFERROR(VLOOKUP($D16,매장경비정리!$C:$K,J$1,FALSE),0)</f>
        <v>3500</v>
      </c>
      <c r="K16" s="140">
        <f>IFERROR(VLOOKUP($D16,매장경비정리!$C:$K,K$1,FALSE),0)</f>
        <v>1</v>
      </c>
      <c r="L16" s="140">
        <f t="shared" si="5"/>
        <v>162500</v>
      </c>
      <c r="M16" s="141">
        <f t="shared" si="6"/>
        <v>3.6642302354239738E-3</v>
      </c>
      <c r="N16" s="142"/>
      <c r="O16"/>
      <c r="P16" s="143">
        <f>VLOOKUP($D16,'[1]25년 5월경비'!$D:$M,P$1,FALSE)</f>
        <v>41370060</v>
      </c>
      <c r="Q16" s="140">
        <f>VLOOKUP($D16,'[1]25년 5월경비'!$D:$M,Q$1,FALSE)</f>
        <v>140000</v>
      </c>
      <c r="R16" s="140">
        <f>VLOOKUP($D16,'[1]25년 5월경비'!$D:$M,R$1,FALSE)</f>
        <v>31</v>
      </c>
      <c r="S16" s="140">
        <f>VLOOKUP($D16,'[1]25년 5월경비'!$D:$M,S$1,FALSE)</f>
        <v>42300</v>
      </c>
      <c r="T16" s="140">
        <f>VLOOKUP($D16,'[1]25년 5월경비'!$D:$M,T$1,FALSE)</f>
        <v>11</v>
      </c>
      <c r="U16" s="140">
        <f>VLOOKUP($D16,'[1]25년 5월경비'!$D:$M,U$1,FALSE)</f>
        <v>62000</v>
      </c>
      <c r="V16" s="140">
        <f>VLOOKUP($D16,'[1]25년 5월경비'!$D:$M,V$1,FALSE)</f>
        <v>3</v>
      </c>
      <c r="W16" s="140">
        <f>VLOOKUP($D16,'[1]25년 5월경비'!$D:$M,W$1,FALSE)</f>
        <v>244300</v>
      </c>
      <c r="X16" s="141">
        <f t="shared" si="8"/>
        <v>5.905236782349361E-3</v>
      </c>
      <c r="Y16" s="142"/>
      <c r="Z16" s="144">
        <f t="shared" si="7"/>
        <v>2977590</v>
      </c>
      <c r="AA16" s="140">
        <f t="shared" si="7"/>
        <v>-18500</v>
      </c>
      <c r="AB16" s="140">
        <f t="shared" si="7"/>
        <v>-2</v>
      </c>
      <c r="AC16" s="140">
        <f t="shared" si="7"/>
        <v>-4800</v>
      </c>
      <c r="AD16" s="140">
        <f t="shared" si="7"/>
        <v>-2</v>
      </c>
      <c r="AE16" s="140">
        <f t="shared" si="7"/>
        <v>-58500</v>
      </c>
      <c r="AF16" s="140">
        <f t="shared" si="7"/>
        <v>-2</v>
      </c>
      <c r="AG16" s="140">
        <f t="shared" si="7"/>
        <v>-81800</v>
      </c>
      <c r="AH16" s="145"/>
      <c r="AI16" s="208"/>
      <c r="AJ16" s="147"/>
      <c r="AL16" s="147"/>
      <c r="AM16" s="146"/>
      <c r="AN16" s="146"/>
      <c r="AO16" s="150"/>
    </row>
    <row r="17" spans="1:41" s="135" customFormat="1" ht="28.5" customHeight="1">
      <c r="A17" s="275"/>
      <c r="B17" s="137">
        <v>8</v>
      </c>
      <c r="C17" s="149">
        <v>45323</v>
      </c>
      <c r="D17" s="138" t="s">
        <v>38</v>
      </c>
      <c r="E17" s="139">
        <f>VLOOKUP(D17,매출!C:J,8,0)</f>
        <v>38322990</v>
      </c>
      <c r="F17" s="140">
        <f>IFERROR(VLOOKUP($D17,매장경비정리!$C:$K,F$1,FALSE),0)</f>
        <v>71400</v>
      </c>
      <c r="G17" s="140">
        <f>IFERROR(VLOOKUP($D17,매장경비정리!$C:$K,G$1,FALSE),0)</f>
        <v>19</v>
      </c>
      <c r="H17" s="140">
        <f>IFERROR(VLOOKUP($D17,매장경비정리!$C:$K,H$1,FALSE),0)</f>
        <v>32600</v>
      </c>
      <c r="I17" s="140">
        <f>IFERROR(VLOOKUP($D17,매장경비정리!$C:$K,I$1,FALSE),0)</f>
        <v>7</v>
      </c>
      <c r="J17" s="140">
        <f>IFERROR(VLOOKUP($D17,매장경비정리!$C:$K,J$1,FALSE),0)</f>
        <v>0</v>
      </c>
      <c r="K17" s="140">
        <f>IFERROR(VLOOKUP($D17,매장경비정리!$C:$K,K$1,FALSE),0)</f>
        <v>0</v>
      </c>
      <c r="L17" s="140">
        <f t="shared" si="5"/>
        <v>104000</v>
      </c>
      <c r="M17" s="141">
        <f t="shared" si="6"/>
        <v>2.7137757257458253E-3</v>
      </c>
      <c r="N17" s="142"/>
      <c r="O17"/>
      <c r="P17" s="143">
        <f>VLOOKUP($D17,'[1]25년 5월경비'!$D:$M,P$1,FALSE)</f>
        <v>29381510</v>
      </c>
      <c r="Q17" s="140">
        <f>VLOOKUP($D17,'[1]25년 5월경비'!$D:$M,Q$1,FALSE)</f>
        <v>132600</v>
      </c>
      <c r="R17" s="140">
        <f>VLOOKUP($D17,'[1]25년 5월경비'!$D:$M,R$1,FALSE)</f>
        <v>37</v>
      </c>
      <c r="S17" s="140">
        <f>VLOOKUP($D17,'[1]25년 5월경비'!$D:$M,S$1,FALSE)</f>
        <v>86400</v>
      </c>
      <c r="T17" s="140">
        <f>VLOOKUP($D17,'[1]25년 5월경비'!$D:$M,T$1,FALSE)</f>
        <v>21</v>
      </c>
      <c r="U17" s="140">
        <f>VLOOKUP($D17,'[1]25년 5월경비'!$D:$M,U$1,FALSE)</f>
        <v>0</v>
      </c>
      <c r="V17" s="140">
        <f>VLOOKUP($D17,'[1]25년 5월경비'!$D:$M,V$1,FALSE)</f>
        <v>0</v>
      </c>
      <c r="W17" s="140">
        <f>VLOOKUP($D17,'[1]25년 5월경비'!$D:$M,W$1,FALSE)</f>
        <v>219000</v>
      </c>
      <c r="X17" s="141">
        <f t="shared" si="8"/>
        <v>7.4536672893939079E-3</v>
      </c>
      <c r="Y17" s="142"/>
      <c r="Z17" s="144">
        <f t="shared" si="7"/>
        <v>8941480</v>
      </c>
      <c r="AA17" s="140">
        <f t="shared" si="7"/>
        <v>-61200</v>
      </c>
      <c r="AB17" s="140">
        <f t="shared" si="7"/>
        <v>-18</v>
      </c>
      <c r="AC17" s="140">
        <f t="shared" si="7"/>
        <v>-53800</v>
      </c>
      <c r="AD17" s="140">
        <f t="shared" si="7"/>
        <v>-14</v>
      </c>
      <c r="AE17" s="140">
        <f t="shared" si="7"/>
        <v>0</v>
      </c>
      <c r="AF17" s="140">
        <f t="shared" si="7"/>
        <v>0</v>
      </c>
      <c r="AG17" s="140">
        <f t="shared" si="7"/>
        <v>-115000</v>
      </c>
      <c r="AH17" s="145"/>
      <c r="AI17" s="209"/>
      <c r="AJ17" s="140"/>
      <c r="AL17" s="146"/>
      <c r="AM17" s="146"/>
      <c r="AN17" s="146"/>
      <c r="AO17" s="146"/>
    </row>
    <row r="18" spans="1:41" s="135" customFormat="1" ht="28.5" customHeight="1">
      <c r="A18" s="275"/>
      <c r="B18" s="137">
        <v>9</v>
      </c>
      <c r="C18" s="149">
        <v>45357</v>
      </c>
      <c r="D18" s="138" t="s">
        <v>171</v>
      </c>
      <c r="E18" s="139">
        <f>VLOOKUP(D18,매출!C:J,8,0)</f>
        <v>112038310</v>
      </c>
      <c r="F18" s="140">
        <f>IFERROR(VLOOKUP($D18,매장경비정리!$C:$K,F$1,FALSE),0)</f>
        <v>0</v>
      </c>
      <c r="G18" s="140">
        <f>IFERROR(VLOOKUP($D18,매장경비정리!$C:$K,G$1,FALSE),0)</f>
        <v>0</v>
      </c>
      <c r="H18" s="140">
        <f>IFERROR(VLOOKUP($D18,매장경비정리!$C:$K,H$1,FALSE),0)</f>
        <v>0</v>
      </c>
      <c r="I18" s="140">
        <f>IFERROR(VLOOKUP($D18,매장경비정리!$C:$K,I$1,FALSE),0)</f>
        <v>0</v>
      </c>
      <c r="J18" s="140">
        <f>IFERROR(VLOOKUP($D18,매장경비정리!$C:$K,J$1,FALSE),0)</f>
        <v>0</v>
      </c>
      <c r="K18" s="140">
        <f>IFERROR(VLOOKUP($D18,매장경비정리!$C:$K,K$1,FALSE),0)</f>
        <v>0</v>
      </c>
      <c r="L18" s="140">
        <f t="shared" si="5"/>
        <v>0</v>
      </c>
      <c r="M18" s="141">
        <f t="shared" si="6"/>
        <v>0</v>
      </c>
      <c r="N18" s="142"/>
      <c r="O18"/>
      <c r="P18" s="143">
        <f>VLOOKUP($D18,'[1]25년 5월경비'!$D:$M,P$1,FALSE)</f>
        <v>96500780</v>
      </c>
      <c r="Q18" s="140">
        <f>VLOOKUP($D18,'[1]25년 5월경비'!$D:$M,Q$1,FALSE)</f>
        <v>0</v>
      </c>
      <c r="R18" s="140">
        <f>VLOOKUP($D18,'[1]25년 5월경비'!$D:$M,R$1,FALSE)</f>
        <v>0</v>
      </c>
      <c r="S18" s="140">
        <f>VLOOKUP($D18,'[1]25년 5월경비'!$D:$M,S$1,FALSE)</f>
        <v>0</v>
      </c>
      <c r="T18" s="140">
        <f>VLOOKUP($D18,'[1]25년 5월경비'!$D:$M,T$1,FALSE)</f>
        <v>0</v>
      </c>
      <c r="U18" s="140">
        <f>VLOOKUP($D18,'[1]25년 5월경비'!$D:$M,U$1,FALSE)</f>
        <v>0</v>
      </c>
      <c r="V18" s="140">
        <f>VLOOKUP($D18,'[1]25년 5월경비'!$D:$M,V$1,FALSE)</f>
        <v>0</v>
      </c>
      <c r="W18" s="140">
        <f>VLOOKUP($D18,'[1]25년 5월경비'!$D:$M,W$1,FALSE)</f>
        <v>0</v>
      </c>
      <c r="X18" s="141"/>
      <c r="Y18" s="142"/>
      <c r="Z18" s="144">
        <f t="shared" si="7"/>
        <v>15537530</v>
      </c>
      <c r="AA18" s="140">
        <f t="shared" si="7"/>
        <v>0</v>
      </c>
      <c r="AB18" s="140">
        <f t="shared" si="7"/>
        <v>0</v>
      </c>
      <c r="AC18" s="140">
        <f t="shared" si="7"/>
        <v>0</v>
      </c>
      <c r="AD18" s="140">
        <f t="shared" si="7"/>
        <v>0</v>
      </c>
      <c r="AE18" s="140">
        <f t="shared" si="7"/>
        <v>0</v>
      </c>
      <c r="AF18" s="140">
        <f t="shared" si="7"/>
        <v>0</v>
      </c>
      <c r="AG18" s="140">
        <f t="shared" si="7"/>
        <v>0</v>
      </c>
      <c r="AH18" s="140"/>
      <c r="AI18" s="209"/>
      <c r="AJ18" s="140"/>
      <c r="AL18" s="146"/>
      <c r="AM18" s="146"/>
      <c r="AN18" s="146"/>
      <c r="AO18" s="146"/>
    </row>
    <row r="19" spans="1:41" s="135" customFormat="1" ht="28.5" customHeight="1">
      <c r="A19" s="276"/>
      <c r="B19" s="137">
        <v>10</v>
      </c>
      <c r="C19" s="149">
        <v>45404</v>
      </c>
      <c r="D19" s="138" t="s">
        <v>63</v>
      </c>
      <c r="E19" s="139">
        <f>VLOOKUP(D19,매출!C:J,8,0)</f>
        <v>55264530</v>
      </c>
      <c r="F19" s="140">
        <f>IFERROR(VLOOKUP($D19,매장경비정리!$C:$K,F$1,FALSE),0)</f>
        <v>165450</v>
      </c>
      <c r="G19" s="140">
        <f>IFERROR(VLOOKUP($D19,매장경비정리!$C:$K,G$1,FALSE),0)</f>
        <v>42</v>
      </c>
      <c r="H19" s="140">
        <f>IFERROR(VLOOKUP($D19,매장경비정리!$C:$K,H$1,FALSE),0)</f>
        <v>32500</v>
      </c>
      <c r="I19" s="140">
        <f>IFERROR(VLOOKUP($D19,매장경비정리!$C:$K,I$1,FALSE),0)</f>
        <v>8</v>
      </c>
      <c r="J19" s="140">
        <f>IFERROR(VLOOKUP($D19,매장경비정리!$C:$K,J$1,FALSE),0)</f>
        <v>0</v>
      </c>
      <c r="K19" s="140">
        <f>IFERROR(VLOOKUP($D19,매장경비정리!$C:$K,K$1,FALSE),0)</f>
        <v>0</v>
      </c>
      <c r="L19" s="140">
        <f t="shared" si="5"/>
        <v>197950</v>
      </c>
      <c r="M19" s="141">
        <f t="shared" si="6"/>
        <v>3.5818634483999051E-3</v>
      </c>
      <c r="N19" s="142"/>
      <c r="O19"/>
      <c r="P19" s="143">
        <f>VLOOKUP($D19,'[1]25년 5월경비'!$D:$M,P$1,FALSE)</f>
        <v>62599320</v>
      </c>
      <c r="Q19" s="140">
        <f>VLOOKUP($D19,'[1]25년 5월경비'!$D:$M,Q$1,FALSE)</f>
        <v>322150</v>
      </c>
      <c r="R19" s="140">
        <f>VLOOKUP($D19,'[1]25년 5월경비'!$D:$M,R$1,FALSE)</f>
        <v>78</v>
      </c>
      <c r="S19" s="140">
        <f>VLOOKUP($D19,'[1]25년 5월경비'!$D:$M,S$1,FALSE)</f>
        <v>0</v>
      </c>
      <c r="T19" s="140">
        <f>VLOOKUP($D19,'[1]25년 5월경비'!$D:$M,T$1,FALSE)</f>
        <v>0</v>
      </c>
      <c r="U19" s="140">
        <f>VLOOKUP($D19,'[1]25년 5월경비'!$D:$M,U$1,FALSE)</f>
        <v>0</v>
      </c>
      <c r="V19" s="140">
        <f>VLOOKUP($D19,'[1]25년 5월경비'!$D:$M,V$1,FALSE)</f>
        <v>0</v>
      </c>
      <c r="W19" s="140">
        <f>VLOOKUP($D19,'[1]25년 5월경비'!$D:$M,W$1,FALSE)</f>
        <v>322150</v>
      </c>
      <c r="X19" s="141">
        <f>W19/P19</f>
        <v>5.1462220356387261E-3</v>
      </c>
      <c r="Y19" s="142"/>
      <c r="Z19" s="144">
        <f t="shared" si="7"/>
        <v>-7334790</v>
      </c>
      <c r="AA19" s="140">
        <f t="shared" si="7"/>
        <v>-156700</v>
      </c>
      <c r="AB19" s="140">
        <f t="shared" si="7"/>
        <v>-36</v>
      </c>
      <c r="AC19" s="140">
        <f t="shared" si="7"/>
        <v>32500</v>
      </c>
      <c r="AD19" s="140">
        <f t="shared" si="7"/>
        <v>8</v>
      </c>
      <c r="AE19" s="140">
        <f t="shared" si="7"/>
        <v>0</v>
      </c>
      <c r="AF19" s="140">
        <f t="shared" si="7"/>
        <v>0</v>
      </c>
      <c r="AG19" s="140">
        <f t="shared" si="7"/>
        <v>-124200</v>
      </c>
      <c r="AH19" s="148"/>
      <c r="AI19" s="210"/>
      <c r="AJ19" s="147"/>
      <c r="AL19" s="146"/>
      <c r="AM19" s="146"/>
      <c r="AN19" s="146"/>
      <c r="AO19" s="146"/>
    </row>
    <row r="20" spans="1:41" s="157" customFormat="1" ht="28.5" customHeight="1">
      <c r="A20" s="152"/>
      <c r="B20" s="152"/>
      <c r="C20" s="153"/>
      <c r="D20" s="152"/>
      <c r="E20" s="154">
        <f t="shared" ref="E20:L20" si="19">SUM(E10:E19)</f>
        <v>534329980</v>
      </c>
      <c r="F20" s="154">
        <f t="shared" si="19"/>
        <v>1307250</v>
      </c>
      <c r="G20" s="154">
        <f t="shared" si="19"/>
        <v>293</v>
      </c>
      <c r="H20" s="154">
        <f t="shared" si="19"/>
        <v>439750</v>
      </c>
      <c r="I20" s="154">
        <f t="shared" si="19"/>
        <v>104</v>
      </c>
      <c r="J20" s="154">
        <f t="shared" si="19"/>
        <v>3500</v>
      </c>
      <c r="K20" s="154">
        <f t="shared" si="19"/>
        <v>1</v>
      </c>
      <c r="L20" s="154">
        <f t="shared" si="19"/>
        <v>1750500</v>
      </c>
      <c r="M20" s="155">
        <f t="shared" si="6"/>
        <v>3.2760654754951236E-3</v>
      </c>
      <c r="N20" s="156"/>
      <c r="O20"/>
      <c r="P20" s="154">
        <f t="shared" ref="P20:W20" si="20">SUM(P10:P19)</f>
        <v>442461030</v>
      </c>
      <c r="Q20" s="154">
        <f t="shared" si="20"/>
        <v>1101750</v>
      </c>
      <c r="R20" s="154">
        <f t="shared" si="20"/>
        <v>235</v>
      </c>
      <c r="S20" s="154">
        <f t="shared" si="20"/>
        <v>558120</v>
      </c>
      <c r="T20" s="154">
        <f t="shared" si="20"/>
        <v>138</v>
      </c>
      <c r="U20" s="154">
        <f t="shared" si="20"/>
        <v>120500</v>
      </c>
      <c r="V20" s="154">
        <f t="shared" si="20"/>
        <v>6</v>
      </c>
      <c r="W20" s="154">
        <f t="shared" si="20"/>
        <v>1780370</v>
      </c>
      <c r="X20" s="155">
        <f t="shared" ref="X20" si="21">W20/P20</f>
        <v>4.0237893945145858E-3</v>
      </c>
      <c r="Y20" s="156"/>
      <c r="Z20" s="154">
        <f t="shared" ref="Z20:AG20" si="22">SUM(Z10:Z19)</f>
        <v>91868950</v>
      </c>
      <c r="AA20" s="154">
        <f t="shared" si="22"/>
        <v>205500</v>
      </c>
      <c r="AB20" s="154">
        <f t="shared" si="22"/>
        <v>58</v>
      </c>
      <c r="AC20" s="154">
        <f t="shared" si="22"/>
        <v>-118370</v>
      </c>
      <c r="AD20" s="154">
        <f t="shared" si="22"/>
        <v>-34</v>
      </c>
      <c r="AE20" s="154">
        <f t="shared" si="22"/>
        <v>-117000</v>
      </c>
      <c r="AF20" s="154">
        <f t="shared" si="22"/>
        <v>-5</v>
      </c>
      <c r="AG20" s="154">
        <f t="shared" si="22"/>
        <v>-29870</v>
      </c>
      <c r="AH20" s="160"/>
      <c r="AI20" s="211"/>
      <c r="AJ20" s="154"/>
      <c r="AK20" s="121"/>
      <c r="AL20" s="154"/>
      <c r="AM20" s="154"/>
      <c r="AN20" s="154"/>
      <c r="AO20" s="154"/>
    </row>
    <row r="21" spans="1:41" ht="15" customHeight="1">
      <c r="L21" s="167"/>
      <c r="M21" s="167"/>
      <c r="N21" s="167"/>
      <c r="W21" s="167"/>
      <c r="X21" s="167"/>
      <c r="Y21" s="167"/>
      <c r="AA21" s="167"/>
      <c r="AB21" s="167"/>
      <c r="AC21" s="167"/>
      <c r="AD21" s="167"/>
      <c r="AE21" s="167"/>
      <c r="AF21" s="167"/>
      <c r="AG21" s="167"/>
      <c r="AH21" s="168"/>
      <c r="AI21" s="212"/>
      <c r="AN21" s="135"/>
    </row>
    <row r="22" spans="1:41" s="135" customFormat="1" ht="39.75" customHeight="1">
      <c r="A22" s="124" t="s">
        <v>246</v>
      </c>
      <c r="B22" s="124" t="s">
        <v>354</v>
      </c>
      <c r="C22" s="122" t="s">
        <v>200</v>
      </c>
      <c r="D22" s="124" t="s">
        <v>2</v>
      </c>
      <c r="E22" s="124" t="s">
        <v>417</v>
      </c>
      <c r="F22" s="127" t="s">
        <v>3</v>
      </c>
      <c r="G22" s="127" t="s">
        <v>42</v>
      </c>
      <c r="H22" s="127" t="s">
        <v>4</v>
      </c>
      <c r="I22" s="127" t="s">
        <v>42</v>
      </c>
      <c r="J22" s="127" t="s">
        <v>5</v>
      </c>
      <c r="K22" s="127" t="s">
        <v>42</v>
      </c>
      <c r="L22" s="124" t="s">
        <v>6</v>
      </c>
      <c r="M22" s="122" t="s">
        <v>127</v>
      </c>
      <c r="N22" s="128"/>
      <c r="O22"/>
      <c r="P22" s="129" t="s">
        <v>418</v>
      </c>
      <c r="Q22" s="130" t="s">
        <v>3</v>
      </c>
      <c r="R22" s="130" t="s">
        <v>42</v>
      </c>
      <c r="S22" s="130" t="s">
        <v>4</v>
      </c>
      <c r="T22" s="130" t="s">
        <v>42</v>
      </c>
      <c r="U22" s="130" t="s">
        <v>5</v>
      </c>
      <c r="V22" s="130" t="s">
        <v>42</v>
      </c>
      <c r="W22" s="129" t="s">
        <v>6</v>
      </c>
      <c r="X22" s="131" t="s">
        <v>127</v>
      </c>
      <c r="Y22" s="128"/>
      <c r="Z22" s="132" t="s">
        <v>195</v>
      </c>
      <c r="AA22" s="133" t="s">
        <v>3</v>
      </c>
      <c r="AB22" s="133" t="s">
        <v>42</v>
      </c>
      <c r="AC22" s="133" t="s">
        <v>4</v>
      </c>
      <c r="AD22" s="133" t="s">
        <v>42</v>
      </c>
      <c r="AE22" s="133" t="s">
        <v>5</v>
      </c>
      <c r="AF22" s="133" t="s">
        <v>42</v>
      </c>
      <c r="AG22" s="132" t="s">
        <v>6</v>
      </c>
      <c r="AH22" s="134" t="s">
        <v>7</v>
      </c>
      <c r="AI22" s="124" t="s">
        <v>41</v>
      </c>
      <c r="AJ22" s="124" t="s">
        <v>103</v>
      </c>
      <c r="AL22" s="136" t="s">
        <v>123</v>
      </c>
      <c r="AM22" s="136" t="s">
        <v>124</v>
      </c>
      <c r="AN22" s="136" t="s">
        <v>126</v>
      </c>
      <c r="AO22" s="136" t="s">
        <v>125</v>
      </c>
    </row>
    <row r="23" spans="1:41" s="135" customFormat="1" ht="28.5" customHeight="1">
      <c r="A23" s="274" t="s">
        <v>248</v>
      </c>
      <c r="B23" s="137">
        <v>1</v>
      </c>
      <c r="C23" s="149">
        <v>45404</v>
      </c>
      <c r="D23" s="138" t="s">
        <v>44</v>
      </c>
      <c r="E23" s="139">
        <f>VLOOKUP(D23,매출!C:J,8,0)</f>
        <v>48142530</v>
      </c>
      <c r="F23" s="140">
        <f>IFERROR(VLOOKUP($D23,매장경비정리!$C:$K,F$1,FALSE),0)</f>
        <v>70000</v>
      </c>
      <c r="G23" s="140">
        <f>IFERROR(VLOOKUP($D23,매장경비정리!$C:$K,G$1,FALSE),0)</f>
        <v>15</v>
      </c>
      <c r="H23" s="140">
        <f>IFERROR(VLOOKUP($D23,매장경비정리!$C:$K,H$1,FALSE),0)</f>
        <v>35500</v>
      </c>
      <c r="I23" s="140">
        <f>IFERROR(VLOOKUP($D23,매장경비정리!$C:$K,I$1,FALSE),0)</f>
        <v>9</v>
      </c>
      <c r="J23" s="140">
        <f>IFERROR(VLOOKUP($D23,매장경비정리!$C:$K,J$1,FALSE),0)</f>
        <v>0</v>
      </c>
      <c r="K23" s="140">
        <f>IFERROR(VLOOKUP($D23,매장경비정리!$C:$K,K$1,FALSE),0)</f>
        <v>0</v>
      </c>
      <c r="L23" s="140">
        <f t="shared" ref="L23:L44" si="23">SUM(F23,H23,J23)</f>
        <v>105500</v>
      </c>
      <c r="M23" s="141">
        <f t="shared" ref="M23:M45" si="24">L23/E23</f>
        <v>2.1914095499343303E-3</v>
      </c>
      <c r="N23" s="142"/>
      <c r="O23"/>
      <c r="P23" s="143">
        <f>VLOOKUP($D23,'[1]25년 5월경비'!$D:$M,P$1,FALSE)</f>
        <v>25730830</v>
      </c>
      <c r="Q23" s="140">
        <f>VLOOKUP($D23,'[1]25년 5월경비'!$D:$M,Q$1,FALSE)</f>
        <v>24000</v>
      </c>
      <c r="R23" s="140">
        <f>VLOOKUP($D23,'[1]25년 5월경비'!$D:$M,R$1,FALSE)</f>
        <v>3</v>
      </c>
      <c r="S23" s="140">
        <f>VLOOKUP($D23,'[1]25년 5월경비'!$D:$M,S$1,FALSE)</f>
        <v>54000</v>
      </c>
      <c r="T23" s="140">
        <f>VLOOKUP($D23,'[1]25년 5월경비'!$D:$M,T$1,FALSE)</f>
        <v>14</v>
      </c>
      <c r="U23" s="140">
        <f>VLOOKUP($D23,'[1]25년 5월경비'!$D:$M,U$1,FALSE)</f>
        <v>0</v>
      </c>
      <c r="V23" s="140">
        <f>VLOOKUP($D23,'[1]25년 5월경비'!$D:$M,V$1,FALSE)</f>
        <v>0</v>
      </c>
      <c r="W23" s="140">
        <f>VLOOKUP($D23,'[1]25년 5월경비'!$D:$M,W$1,FALSE)</f>
        <v>78000</v>
      </c>
      <c r="X23" s="141">
        <f t="shared" ref="X23:X32" si="25">W23/P23</f>
        <v>3.031382975209117E-3</v>
      </c>
      <c r="Y23" s="142"/>
      <c r="Z23" s="144">
        <f t="shared" ref="Z23:AG41" si="26">E23-P23</f>
        <v>22411700</v>
      </c>
      <c r="AA23" s="140">
        <f t="shared" si="26"/>
        <v>46000</v>
      </c>
      <c r="AB23" s="140">
        <f t="shared" si="26"/>
        <v>12</v>
      </c>
      <c r="AC23" s="140">
        <f t="shared" si="26"/>
        <v>-18500</v>
      </c>
      <c r="AD23" s="140">
        <f t="shared" si="26"/>
        <v>-5</v>
      </c>
      <c r="AE23" s="140">
        <f t="shared" si="26"/>
        <v>0</v>
      </c>
      <c r="AF23" s="140">
        <f t="shared" si="26"/>
        <v>0</v>
      </c>
      <c r="AG23" s="140">
        <f t="shared" si="26"/>
        <v>27500</v>
      </c>
      <c r="AH23" s="145"/>
      <c r="AI23" s="208"/>
      <c r="AJ23" s="147"/>
      <c r="AL23" s="147"/>
      <c r="AM23" s="146"/>
      <c r="AN23" s="147"/>
      <c r="AO23" s="147"/>
    </row>
    <row r="24" spans="1:41" s="135" customFormat="1" ht="28.5" customHeight="1">
      <c r="A24" s="275"/>
      <c r="B24" s="137">
        <v>2</v>
      </c>
      <c r="C24" s="149">
        <v>45425</v>
      </c>
      <c r="D24" s="138" t="s">
        <v>29</v>
      </c>
      <c r="E24" s="139">
        <f>VLOOKUP(D24,매출!C:J,8,0)</f>
        <v>40477220</v>
      </c>
      <c r="F24" s="140">
        <f>IFERROR(VLOOKUP($D24,매장경비정리!$C:$K,F$1,FALSE),0)</f>
        <v>134500</v>
      </c>
      <c r="G24" s="140">
        <f>IFERROR(VLOOKUP($D24,매장경비정리!$C:$K,G$1,FALSE),0)</f>
        <v>18</v>
      </c>
      <c r="H24" s="140">
        <f>IFERROR(VLOOKUP($D24,매장경비정리!$C:$K,H$1,FALSE),0)</f>
        <v>85500</v>
      </c>
      <c r="I24" s="140">
        <f>IFERROR(VLOOKUP($D24,매장경비정리!$C:$K,I$1,FALSE),0)</f>
        <v>21</v>
      </c>
      <c r="J24" s="140">
        <f>IFERROR(VLOOKUP($D24,매장경비정리!$C:$K,J$1,FALSE),0)</f>
        <v>0</v>
      </c>
      <c r="K24" s="140">
        <f>IFERROR(VLOOKUP($D24,매장경비정리!$C:$K,K$1,FALSE),0)</f>
        <v>0</v>
      </c>
      <c r="L24" s="140">
        <f t="shared" si="23"/>
        <v>220000</v>
      </c>
      <c r="M24" s="141">
        <f t="shared" si="24"/>
        <v>5.4351558728588578E-3</v>
      </c>
      <c r="N24" s="142"/>
      <c r="O24"/>
      <c r="P24" s="143">
        <f>VLOOKUP($D24,'[1]25년 5월경비'!$D:$M,P$1,FALSE)</f>
        <v>35200670</v>
      </c>
      <c r="Q24" s="140">
        <f>VLOOKUP($D24,'[1]25년 5월경비'!$D:$M,Q$1,FALSE)</f>
        <v>80000</v>
      </c>
      <c r="R24" s="140">
        <f>VLOOKUP($D24,'[1]25년 5월경비'!$D:$M,R$1,FALSE)</f>
        <v>12</v>
      </c>
      <c r="S24" s="140">
        <f>VLOOKUP($D24,'[1]25년 5월경비'!$D:$M,S$1,FALSE)</f>
        <v>40670</v>
      </c>
      <c r="T24" s="140">
        <f>VLOOKUP($D24,'[1]25년 5월경비'!$D:$M,T$1,FALSE)</f>
        <v>10</v>
      </c>
      <c r="U24" s="140">
        <f>VLOOKUP($D24,'[1]25년 5월경비'!$D:$M,U$1,FALSE)</f>
        <v>0</v>
      </c>
      <c r="V24" s="140">
        <f>VLOOKUP($D24,'[1]25년 5월경비'!$D:$M,V$1,FALSE)</f>
        <v>0</v>
      </c>
      <c r="W24" s="140">
        <f>VLOOKUP($D24,'[1]25년 5월경비'!$D:$M,W$1,FALSE)</f>
        <v>120670</v>
      </c>
      <c r="X24" s="141">
        <f t="shared" si="25"/>
        <v>3.4280597499990765E-3</v>
      </c>
      <c r="Y24" s="142"/>
      <c r="Z24" s="144">
        <f t="shared" si="26"/>
        <v>5276550</v>
      </c>
      <c r="AA24" s="140">
        <f t="shared" si="26"/>
        <v>54500</v>
      </c>
      <c r="AB24" s="140">
        <f t="shared" si="26"/>
        <v>6</v>
      </c>
      <c r="AC24" s="140">
        <f t="shared" si="26"/>
        <v>44830</v>
      </c>
      <c r="AD24" s="140">
        <f t="shared" si="26"/>
        <v>11</v>
      </c>
      <c r="AE24" s="140">
        <f t="shared" si="26"/>
        <v>0</v>
      </c>
      <c r="AF24" s="140">
        <f t="shared" si="26"/>
        <v>0</v>
      </c>
      <c r="AG24" s="140">
        <f t="shared" si="26"/>
        <v>99330</v>
      </c>
      <c r="AH24" s="148"/>
      <c r="AI24" s="214"/>
      <c r="AJ24" s="147"/>
      <c r="AL24" s="147"/>
      <c r="AM24" s="147"/>
      <c r="AN24" s="147"/>
      <c r="AO24" s="147"/>
    </row>
    <row r="25" spans="1:41" s="135" customFormat="1" ht="28.5" customHeight="1">
      <c r="A25" s="275"/>
      <c r="B25" s="137">
        <v>3</v>
      </c>
      <c r="C25" s="149">
        <v>45418</v>
      </c>
      <c r="D25" s="138" t="s">
        <v>32</v>
      </c>
      <c r="E25" s="139">
        <f>VLOOKUP(D25,매출!C:J,8,0)</f>
        <v>77019390</v>
      </c>
      <c r="F25" s="140">
        <f>IFERROR(VLOOKUP($D25,매장경비정리!$C:$K,F$1,FALSE),0)</f>
        <v>66700</v>
      </c>
      <c r="G25" s="140">
        <f>IFERROR(VLOOKUP($D25,매장경비정리!$C:$K,G$1,FALSE),0)</f>
        <v>15</v>
      </c>
      <c r="H25" s="140">
        <f>IFERROR(VLOOKUP($D25,매장경비정리!$C:$K,H$1,FALSE),0)</f>
        <v>60500</v>
      </c>
      <c r="I25" s="140">
        <f>IFERROR(VLOOKUP($D25,매장경비정리!$C:$K,I$1,FALSE),0)</f>
        <v>15</v>
      </c>
      <c r="J25" s="140">
        <f>IFERROR(VLOOKUP($D25,매장경비정리!$C:$K,J$1,FALSE),0)</f>
        <v>4000</v>
      </c>
      <c r="K25" s="140">
        <f>IFERROR(VLOOKUP($D25,매장경비정리!$C:$K,K$1,FALSE),0)</f>
        <v>1</v>
      </c>
      <c r="L25" s="140">
        <f>SUM(F25,H25,J25)</f>
        <v>131200</v>
      </c>
      <c r="M25" s="141">
        <f t="shared" si="24"/>
        <v>1.7034671398981477E-3</v>
      </c>
      <c r="N25" s="142"/>
      <c r="O25"/>
      <c r="P25" s="143">
        <f>VLOOKUP($D25,'[1]25년 5월경비'!$D:$M,P$1,FALSE)</f>
        <v>117971560</v>
      </c>
      <c r="Q25" s="140">
        <f>VLOOKUP($D25,'[1]25년 5월경비'!$D:$M,Q$1,FALSE)</f>
        <v>94400</v>
      </c>
      <c r="R25" s="140">
        <f>VLOOKUP($D25,'[1]25년 5월경비'!$D:$M,R$1,FALSE)</f>
        <v>15</v>
      </c>
      <c r="S25" s="140">
        <f>VLOOKUP($D25,'[1]25년 5월경비'!$D:$M,S$1,FALSE)</f>
        <v>113600</v>
      </c>
      <c r="T25" s="140">
        <f>VLOOKUP($D25,'[1]25년 5월경비'!$D:$M,T$1,FALSE)</f>
        <v>28</v>
      </c>
      <c r="U25" s="140">
        <f>VLOOKUP($D25,'[1]25년 5월경비'!$D:$M,U$1,FALSE)</f>
        <v>0</v>
      </c>
      <c r="V25" s="140">
        <f>VLOOKUP($D25,'[1]25년 5월경비'!$D:$M,V$1,FALSE)</f>
        <v>0</v>
      </c>
      <c r="W25" s="140">
        <f>VLOOKUP($D25,'[1]25년 5월경비'!$D:$M,W$1,FALSE)</f>
        <v>208000</v>
      </c>
      <c r="X25" s="141">
        <f t="shared" si="25"/>
        <v>1.7631368102617275E-3</v>
      </c>
      <c r="Y25" s="142"/>
      <c r="Z25" s="144">
        <f t="shared" si="26"/>
        <v>-40952170</v>
      </c>
      <c r="AA25" s="140">
        <f t="shared" si="26"/>
        <v>-27700</v>
      </c>
      <c r="AB25" s="140">
        <f t="shared" si="26"/>
        <v>0</v>
      </c>
      <c r="AC25" s="140">
        <f t="shared" si="26"/>
        <v>-53100</v>
      </c>
      <c r="AD25" s="140">
        <f t="shared" si="26"/>
        <v>-13</v>
      </c>
      <c r="AE25" s="140">
        <f t="shared" si="26"/>
        <v>4000</v>
      </c>
      <c r="AF25" s="140">
        <f t="shared" si="26"/>
        <v>1</v>
      </c>
      <c r="AG25" s="140">
        <f t="shared" si="26"/>
        <v>-76800</v>
      </c>
      <c r="AH25" s="145"/>
      <c r="AI25" s="210"/>
      <c r="AJ25" s="147"/>
      <c r="AL25" s="147"/>
      <c r="AM25" s="147"/>
      <c r="AN25" s="161"/>
      <c r="AO25" s="147"/>
    </row>
    <row r="26" spans="1:41" s="135" customFormat="1" ht="28.5" customHeight="1">
      <c r="A26" s="275"/>
      <c r="B26" s="137">
        <v>4</v>
      </c>
      <c r="C26" s="149">
        <v>45418</v>
      </c>
      <c r="D26" s="138" t="s">
        <v>57</v>
      </c>
      <c r="E26" s="139">
        <f>VLOOKUP(D26,매출!C:J,8,0)</f>
        <v>31438100</v>
      </c>
      <c r="F26" s="140">
        <f>IFERROR(VLOOKUP($D26,매장경비정리!$C:$K,F$1,FALSE),0)</f>
        <v>0</v>
      </c>
      <c r="G26" s="140">
        <f>IFERROR(VLOOKUP($D26,매장경비정리!$C:$K,G$1,FALSE),0)</f>
        <v>0</v>
      </c>
      <c r="H26" s="140">
        <f>IFERROR(VLOOKUP($D26,매장경비정리!$C:$K,H$1,FALSE),0)</f>
        <v>0</v>
      </c>
      <c r="I26" s="140">
        <f>IFERROR(VLOOKUP($D26,매장경비정리!$C:$K,I$1,FALSE),0)</f>
        <v>0</v>
      </c>
      <c r="J26" s="140">
        <f>IFERROR(VLOOKUP($D26,매장경비정리!$C:$K,J$1,FALSE),0)</f>
        <v>0</v>
      </c>
      <c r="K26" s="140">
        <f>IFERROR(VLOOKUP($D26,매장경비정리!$C:$K,K$1,FALSE),0)</f>
        <v>0</v>
      </c>
      <c r="L26" s="140">
        <f>SUM(F26,H26,J26)</f>
        <v>0</v>
      </c>
      <c r="M26" s="141">
        <f>L26/E26</f>
        <v>0</v>
      </c>
      <c r="N26" s="142"/>
      <c r="O26"/>
      <c r="P26" s="143">
        <f>VLOOKUP($D26,'[1]25년 5월경비'!$D:$M,P$1,FALSE)</f>
        <v>27641950</v>
      </c>
      <c r="Q26" s="140">
        <f>VLOOKUP($D26,'[1]25년 5월경비'!$D:$M,Q$1,FALSE)</f>
        <v>177000</v>
      </c>
      <c r="R26" s="140">
        <f>VLOOKUP($D26,'[1]25년 5월경비'!$D:$M,R$1,FALSE)</f>
        <v>32</v>
      </c>
      <c r="S26" s="140">
        <f>VLOOKUP($D26,'[1]25년 5월경비'!$D:$M,S$1,FALSE)</f>
        <v>54500</v>
      </c>
      <c r="T26" s="140">
        <f>VLOOKUP($D26,'[1]25년 5월경비'!$D:$M,T$1,FALSE)</f>
        <v>13</v>
      </c>
      <c r="U26" s="140">
        <f>VLOOKUP($D26,'[1]25년 5월경비'!$D:$M,U$1,FALSE)</f>
        <v>0</v>
      </c>
      <c r="V26" s="140">
        <f>VLOOKUP($D26,'[1]25년 5월경비'!$D:$M,V$1,FALSE)</f>
        <v>0</v>
      </c>
      <c r="W26" s="140">
        <f>VLOOKUP($D26,'[1]25년 5월경비'!$D:$M,W$1,FALSE)</f>
        <v>231500</v>
      </c>
      <c r="X26" s="141">
        <f>W26/P26</f>
        <v>8.3749518395048114E-3</v>
      </c>
      <c r="Y26" s="142"/>
      <c r="Z26" s="144">
        <f t="shared" si="26"/>
        <v>3796150</v>
      </c>
      <c r="AA26" s="140">
        <f t="shared" si="26"/>
        <v>-177000</v>
      </c>
      <c r="AB26" s="140">
        <f t="shared" si="26"/>
        <v>-32</v>
      </c>
      <c r="AC26" s="140">
        <f t="shared" si="26"/>
        <v>-54500</v>
      </c>
      <c r="AD26" s="140">
        <f t="shared" si="26"/>
        <v>-13</v>
      </c>
      <c r="AE26" s="140">
        <f t="shared" si="26"/>
        <v>0</v>
      </c>
      <c r="AF26" s="140">
        <f t="shared" si="26"/>
        <v>0</v>
      </c>
      <c r="AG26" s="140">
        <f t="shared" si="26"/>
        <v>-231500</v>
      </c>
      <c r="AH26" s="145"/>
      <c r="AI26" s="215"/>
      <c r="AJ26" s="146"/>
      <c r="AL26" s="146"/>
      <c r="AM26" s="146"/>
      <c r="AN26" s="147"/>
      <c r="AO26" s="146"/>
    </row>
    <row r="27" spans="1:41" s="135" customFormat="1" ht="28.5" customHeight="1">
      <c r="A27" s="275"/>
      <c r="B27" s="137">
        <v>5</v>
      </c>
      <c r="C27" s="149">
        <v>45425</v>
      </c>
      <c r="D27" s="138" t="s">
        <v>47</v>
      </c>
      <c r="E27" s="139">
        <f>VLOOKUP(D27,매출!C:J,8,0)</f>
        <v>128028400</v>
      </c>
      <c r="F27" s="140">
        <f>IFERROR(VLOOKUP($D27,매장경비정리!$C:$K,F$1,FALSE),0)</f>
        <v>117000</v>
      </c>
      <c r="G27" s="140">
        <f>IFERROR(VLOOKUP($D27,매장경비정리!$C:$K,G$1,FALSE),0)</f>
        <v>29</v>
      </c>
      <c r="H27" s="140">
        <f>IFERROR(VLOOKUP($D27,매장경비정리!$C:$K,H$1,FALSE),0)</f>
        <v>108400</v>
      </c>
      <c r="I27" s="140">
        <f>IFERROR(VLOOKUP($D27,매장경비정리!$C:$K,I$1,FALSE),0)</f>
        <v>27</v>
      </c>
      <c r="J27" s="140">
        <f>IFERROR(VLOOKUP($D27,매장경비정리!$C:$K,J$1,FALSE),0)</f>
        <v>22000</v>
      </c>
      <c r="K27" s="140">
        <f>IFERROR(VLOOKUP($D27,매장경비정리!$C:$K,K$1,FALSE),0)</f>
        <v>3</v>
      </c>
      <c r="L27" s="140">
        <f>SUM(F27,H27,J27)</f>
        <v>247400</v>
      </c>
      <c r="M27" s="141">
        <f>L27/E27</f>
        <v>1.9323837523549463E-3</v>
      </c>
      <c r="N27" s="142"/>
      <c r="O27"/>
      <c r="P27" s="143">
        <f>VLOOKUP($D27,'[1]25년 5월경비'!$D:$M,P$1,FALSE)</f>
        <v>101004360</v>
      </c>
      <c r="Q27" s="140">
        <f>VLOOKUP($D27,'[1]25년 5월경비'!$D:$M,Q$1,FALSE)</f>
        <v>166000</v>
      </c>
      <c r="R27" s="140">
        <f>VLOOKUP($D27,'[1]25년 5월경비'!$D:$M,R$1,FALSE)</f>
        <v>29</v>
      </c>
      <c r="S27" s="140">
        <f>VLOOKUP($D27,'[1]25년 5월경비'!$D:$M,S$1,FALSE)</f>
        <v>150100</v>
      </c>
      <c r="T27" s="140">
        <f>VLOOKUP($D27,'[1]25년 5월경비'!$D:$M,T$1,FALSE)</f>
        <v>38</v>
      </c>
      <c r="U27" s="140">
        <f>VLOOKUP($D27,'[1]25년 5월경비'!$D:$M,U$1,FALSE)</f>
        <v>62700</v>
      </c>
      <c r="V27" s="140">
        <f>VLOOKUP($D27,'[1]25년 5월경비'!$D:$M,V$1,FALSE)</f>
        <v>4</v>
      </c>
      <c r="W27" s="140">
        <f>VLOOKUP($D27,'[1]25년 5월경비'!$D:$M,W$1,FALSE)</f>
        <v>378800</v>
      </c>
      <c r="X27" s="141">
        <f>W27/P27</f>
        <v>3.750333153935137E-3</v>
      </c>
      <c r="Y27" s="142"/>
      <c r="Z27" s="144">
        <f t="shared" si="26"/>
        <v>27024040</v>
      </c>
      <c r="AA27" s="140">
        <f t="shared" si="26"/>
        <v>-49000</v>
      </c>
      <c r="AB27" s="140">
        <f t="shared" si="26"/>
        <v>0</v>
      </c>
      <c r="AC27" s="140">
        <f t="shared" si="26"/>
        <v>-41700</v>
      </c>
      <c r="AD27" s="140">
        <f t="shared" si="26"/>
        <v>-11</v>
      </c>
      <c r="AE27" s="140">
        <f t="shared" si="26"/>
        <v>-40700</v>
      </c>
      <c r="AF27" s="140">
        <f t="shared" si="26"/>
        <v>-1</v>
      </c>
      <c r="AG27" s="140">
        <f t="shared" si="26"/>
        <v>-131400</v>
      </c>
      <c r="AH27" s="148"/>
      <c r="AI27" s="210"/>
      <c r="AJ27" s="147"/>
      <c r="AL27" s="147"/>
      <c r="AM27" s="147"/>
      <c r="AN27" s="146"/>
      <c r="AO27" s="147"/>
    </row>
    <row r="28" spans="1:41" s="135" customFormat="1" ht="28.5" customHeight="1">
      <c r="A28" s="275"/>
      <c r="B28" s="137">
        <v>6</v>
      </c>
      <c r="C28" s="149">
        <v>45411</v>
      </c>
      <c r="D28" s="138" t="s">
        <v>49</v>
      </c>
      <c r="E28" s="139">
        <f>VLOOKUP(D28,매출!C:J,8,0)</f>
        <v>53860630</v>
      </c>
      <c r="F28" s="140">
        <f>IFERROR(VLOOKUP($D28,매장경비정리!$C:$K,F$1,FALSE),0)</f>
        <v>87000</v>
      </c>
      <c r="G28" s="140">
        <f>IFERROR(VLOOKUP($D28,매장경비정리!$C:$K,G$1,FALSE),0)</f>
        <v>22</v>
      </c>
      <c r="H28" s="140">
        <f>IFERROR(VLOOKUP($D28,매장경비정리!$C:$K,H$1,FALSE),0)</f>
        <v>42000</v>
      </c>
      <c r="I28" s="140">
        <f>IFERROR(VLOOKUP($D28,매장경비정리!$C:$K,I$1,FALSE),0)</f>
        <v>11</v>
      </c>
      <c r="J28" s="140">
        <f>IFERROR(VLOOKUP($D28,매장경비정리!$C:$K,J$1,FALSE),0)</f>
        <v>15900</v>
      </c>
      <c r="K28" s="140">
        <f>IFERROR(VLOOKUP($D28,매장경비정리!$C:$K,K$1,FALSE),0)</f>
        <v>1</v>
      </c>
      <c r="L28" s="140">
        <f>SUM(F28,H28,J28)</f>
        <v>144900</v>
      </c>
      <c r="M28" s="141">
        <f>L28/E28</f>
        <v>2.6902767383151665E-3</v>
      </c>
      <c r="N28" s="142"/>
      <c r="O28"/>
      <c r="P28" s="143">
        <f>VLOOKUP($D28,'[1]25년 5월경비'!$D:$M,P$1,FALSE)</f>
        <v>41503950</v>
      </c>
      <c r="Q28" s="140">
        <f>VLOOKUP($D28,'[1]25년 5월경비'!$D:$M,Q$1,FALSE)</f>
        <v>85050</v>
      </c>
      <c r="R28" s="140">
        <f>VLOOKUP($D28,'[1]25년 5월경비'!$D:$M,R$1,FALSE)</f>
        <v>22</v>
      </c>
      <c r="S28" s="140">
        <f>VLOOKUP($D28,'[1]25년 5월경비'!$D:$M,S$1,FALSE)</f>
        <v>96500</v>
      </c>
      <c r="T28" s="140">
        <f>VLOOKUP($D28,'[1]25년 5월경비'!$D:$M,T$1,FALSE)</f>
        <v>19</v>
      </c>
      <c r="U28" s="140">
        <f>VLOOKUP($D28,'[1]25년 5월경비'!$D:$M,U$1,FALSE)</f>
        <v>0</v>
      </c>
      <c r="V28" s="140">
        <f>VLOOKUP($D28,'[1]25년 5월경비'!$D:$M,V$1,FALSE)</f>
        <v>0</v>
      </c>
      <c r="W28" s="140">
        <f>VLOOKUP($D28,'[1]25년 5월경비'!$D:$M,W$1,FALSE)</f>
        <v>181550</v>
      </c>
      <c r="X28" s="141">
        <f>W28/P28</f>
        <v>4.3742824478152078E-3</v>
      </c>
      <c r="Y28" s="142"/>
      <c r="Z28" s="144">
        <f t="shared" si="26"/>
        <v>12356680</v>
      </c>
      <c r="AA28" s="140">
        <f t="shared" si="26"/>
        <v>1950</v>
      </c>
      <c r="AB28" s="140">
        <f t="shared" si="26"/>
        <v>0</v>
      </c>
      <c r="AC28" s="140">
        <f t="shared" si="26"/>
        <v>-54500</v>
      </c>
      <c r="AD28" s="140">
        <f t="shared" si="26"/>
        <v>-8</v>
      </c>
      <c r="AE28" s="140">
        <f t="shared" si="26"/>
        <v>15900</v>
      </c>
      <c r="AF28" s="140">
        <f t="shared" si="26"/>
        <v>1</v>
      </c>
      <c r="AG28" s="140">
        <f t="shared" si="26"/>
        <v>-36650</v>
      </c>
      <c r="AH28" s="145"/>
      <c r="AI28" s="210"/>
      <c r="AJ28" s="147"/>
      <c r="AL28" s="147"/>
      <c r="AM28" s="147"/>
      <c r="AN28" s="146"/>
      <c r="AO28" s="146"/>
    </row>
    <row r="29" spans="1:41" s="135" customFormat="1" ht="28.5" customHeight="1">
      <c r="A29" s="275"/>
      <c r="B29" s="137">
        <v>7</v>
      </c>
      <c r="C29" s="149">
        <v>45411</v>
      </c>
      <c r="D29" s="138" t="s">
        <v>9</v>
      </c>
      <c r="E29" s="139">
        <f>VLOOKUP(D29,매출!C:J,8,0)</f>
        <v>73635020</v>
      </c>
      <c r="F29" s="140">
        <f>IFERROR(VLOOKUP($D29,매장경비정리!$C:$K,F$1,FALSE),0)</f>
        <v>0</v>
      </c>
      <c r="G29" s="140">
        <f>IFERROR(VLOOKUP($D29,매장경비정리!$C:$K,G$1,FALSE),0)</f>
        <v>0</v>
      </c>
      <c r="H29" s="140">
        <f>IFERROR(VLOOKUP($D29,매장경비정리!$C:$K,H$1,FALSE),0)</f>
        <v>0</v>
      </c>
      <c r="I29" s="140">
        <f>IFERROR(VLOOKUP($D29,매장경비정리!$C:$K,I$1,FALSE),0)</f>
        <v>0</v>
      </c>
      <c r="J29" s="140">
        <f>IFERROR(VLOOKUP($D29,매장경비정리!$C:$K,J$1,FALSE),0)</f>
        <v>0</v>
      </c>
      <c r="K29" s="140">
        <f>IFERROR(VLOOKUP($D29,매장경비정리!$C:$K,K$1,FALSE),0)</f>
        <v>0</v>
      </c>
      <c r="L29" s="140">
        <f>SUM(F29,H29,J29)</f>
        <v>0</v>
      </c>
      <c r="M29" s="141">
        <f>L29/E29</f>
        <v>0</v>
      </c>
      <c r="N29" s="142"/>
      <c r="O29"/>
      <c r="P29" s="143">
        <f>VLOOKUP($D29,'[1]25년 5월경비'!$D:$M,P$1,FALSE)</f>
        <v>66528480</v>
      </c>
      <c r="Q29" s="140">
        <f>VLOOKUP($D29,'[1]25년 5월경비'!$D:$M,Q$1,FALSE)</f>
        <v>0</v>
      </c>
      <c r="R29" s="140">
        <f>VLOOKUP($D29,'[1]25년 5월경비'!$D:$M,R$1,FALSE)</f>
        <v>0</v>
      </c>
      <c r="S29" s="140">
        <f>VLOOKUP($D29,'[1]25년 5월경비'!$D:$M,S$1,FALSE)</f>
        <v>0</v>
      </c>
      <c r="T29" s="140">
        <f>VLOOKUP($D29,'[1]25년 5월경비'!$D:$M,T$1,FALSE)</f>
        <v>0</v>
      </c>
      <c r="U29" s="140">
        <f>VLOOKUP($D29,'[1]25년 5월경비'!$D:$M,U$1,FALSE)</f>
        <v>0</v>
      </c>
      <c r="V29" s="140">
        <f>VLOOKUP($D29,'[1]25년 5월경비'!$D:$M,V$1,FALSE)</f>
        <v>0</v>
      </c>
      <c r="W29" s="140">
        <f>VLOOKUP($D29,'[1]25년 5월경비'!$D:$M,W$1,FALSE)</f>
        <v>0</v>
      </c>
      <c r="X29" s="141">
        <f>W29/P29</f>
        <v>0</v>
      </c>
      <c r="Y29" s="142"/>
      <c r="Z29" s="144">
        <f t="shared" si="26"/>
        <v>7106540</v>
      </c>
      <c r="AA29" s="140">
        <f t="shared" si="26"/>
        <v>0</v>
      </c>
      <c r="AB29" s="140">
        <f t="shared" si="26"/>
        <v>0</v>
      </c>
      <c r="AC29" s="140">
        <f t="shared" si="26"/>
        <v>0</v>
      </c>
      <c r="AD29" s="140">
        <f t="shared" si="26"/>
        <v>0</v>
      </c>
      <c r="AE29" s="140">
        <f t="shared" si="26"/>
        <v>0</v>
      </c>
      <c r="AF29" s="140">
        <f t="shared" si="26"/>
        <v>0</v>
      </c>
      <c r="AG29" s="140">
        <f t="shared" si="26"/>
        <v>0</v>
      </c>
      <c r="AH29" s="145"/>
      <c r="AI29" s="210"/>
      <c r="AJ29" s="147"/>
      <c r="AL29" s="147"/>
      <c r="AM29" s="147"/>
      <c r="AN29" s="147"/>
      <c r="AO29" s="147"/>
    </row>
    <row r="30" spans="1:41" s="135" customFormat="1" ht="28.5" customHeight="1">
      <c r="A30" s="275"/>
      <c r="B30" s="137">
        <v>8</v>
      </c>
      <c r="C30" s="149">
        <v>45432</v>
      </c>
      <c r="D30" s="138" t="s">
        <v>73</v>
      </c>
      <c r="E30" s="139">
        <f>VLOOKUP(D30,매출!C:J,8,0)</f>
        <v>83647550</v>
      </c>
      <c r="F30" s="140">
        <f>IFERROR(VLOOKUP($D30,매장경비정리!$C:$K,F$1,FALSE),0)</f>
        <v>0</v>
      </c>
      <c r="G30" s="140">
        <f>IFERROR(VLOOKUP($D30,매장경비정리!$C:$K,G$1,FALSE),0)</f>
        <v>0</v>
      </c>
      <c r="H30" s="140">
        <f>IFERROR(VLOOKUP($D30,매장경비정리!$C:$K,H$1,FALSE),0)</f>
        <v>0</v>
      </c>
      <c r="I30" s="140">
        <f>IFERROR(VLOOKUP($D30,매장경비정리!$C:$K,I$1,FALSE),0)</f>
        <v>0</v>
      </c>
      <c r="J30" s="140">
        <f>IFERROR(VLOOKUP($D30,매장경비정리!$C:$K,J$1,FALSE),0)</f>
        <v>0</v>
      </c>
      <c r="K30" s="140">
        <f>IFERROR(VLOOKUP($D30,매장경비정리!$C:$K,K$1,FALSE),0)</f>
        <v>0</v>
      </c>
      <c r="L30" s="140">
        <f t="shared" ref="L30" si="27">SUM(F30,H30,J30)</f>
        <v>0</v>
      </c>
      <c r="M30" s="141">
        <f t="shared" ref="M30" si="28">L30/E30</f>
        <v>0</v>
      </c>
      <c r="N30" s="142"/>
      <c r="O30"/>
      <c r="P30" s="143">
        <f>VLOOKUP($D30,'[1]25년 5월경비'!$D:$M,P$1,FALSE)</f>
        <v>62783580</v>
      </c>
      <c r="Q30" s="140">
        <f>VLOOKUP($D30,'[1]25년 5월경비'!$D:$M,Q$1,FALSE)</f>
        <v>0</v>
      </c>
      <c r="R30" s="140">
        <f>VLOOKUP($D30,'[1]25년 5월경비'!$D:$M,R$1,FALSE)</f>
        <v>0</v>
      </c>
      <c r="S30" s="140">
        <f>VLOOKUP($D30,'[1]25년 5월경비'!$D:$M,S$1,FALSE)</f>
        <v>0</v>
      </c>
      <c r="T30" s="140">
        <f>VLOOKUP($D30,'[1]25년 5월경비'!$D:$M,T$1,FALSE)</f>
        <v>0</v>
      </c>
      <c r="U30" s="140">
        <f>VLOOKUP($D30,'[1]25년 5월경비'!$D:$M,U$1,FALSE)</f>
        <v>0</v>
      </c>
      <c r="V30" s="140">
        <f>VLOOKUP($D30,'[1]25년 5월경비'!$D:$M,V$1,FALSE)</f>
        <v>0</v>
      </c>
      <c r="W30" s="140">
        <f>VLOOKUP($D30,'[1]25년 5월경비'!$D:$M,W$1,FALSE)</f>
        <v>0</v>
      </c>
      <c r="X30" s="141">
        <f>W30/P30</f>
        <v>0</v>
      </c>
      <c r="Y30" s="142"/>
      <c r="Z30" s="144">
        <f t="shared" si="26"/>
        <v>20863970</v>
      </c>
      <c r="AA30" s="140">
        <f t="shared" si="26"/>
        <v>0</v>
      </c>
      <c r="AB30" s="140">
        <f t="shared" si="26"/>
        <v>0</v>
      </c>
      <c r="AC30" s="140">
        <f t="shared" si="26"/>
        <v>0</v>
      </c>
      <c r="AD30" s="140">
        <f t="shared" si="26"/>
        <v>0</v>
      </c>
      <c r="AE30" s="140">
        <f t="shared" si="26"/>
        <v>0</v>
      </c>
      <c r="AF30" s="140">
        <f t="shared" si="26"/>
        <v>0</v>
      </c>
      <c r="AG30" s="140">
        <f t="shared" si="26"/>
        <v>0</v>
      </c>
      <c r="AH30" s="145"/>
      <c r="AI30" s="208"/>
      <c r="AJ30" s="147"/>
      <c r="AL30" s="147"/>
      <c r="AM30" s="147"/>
      <c r="AN30" s="146"/>
      <c r="AO30" s="146"/>
    </row>
    <row r="31" spans="1:41" s="135" customFormat="1" ht="28.5" customHeight="1">
      <c r="A31" s="275"/>
      <c r="B31" s="137">
        <v>9</v>
      </c>
      <c r="C31" s="149">
        <v>45404</v>
      </c>
      <c r="D31" s="138" t="s">
        <v>21</v>
      </c>
      <c r="E31" s="139">
        <f>VLOOKUP(D31,매출!C:J,8,0)</f>
        <v>128665630</v>
      </c>
      <c r="F31" s="140">
        <f>IFERROR(VLOOKUP($D31,매장경비정리!$C:$K,F$1,FALSE),0)</f>
        <v>0</v>
      </c>
      <c r="G31" s="140">
        <f>IFERROR(VLOOKUP($D31,매장경비정리!$C:$K,G$1,FALSE),0)</f>
        <v>0</v>
      </c>
      <c r="H31" s="140">
        <f>IFERROR(VLOOKUP($D31,매장경비정리!$C:$K,H$1,FALSE),0)</f>
        <v>0</v>
      </c>
      <c r="I31" s="140">
        <f>IFERROR(VLOOKUP($D31,매장경비정리!$C:$K,I$1,FALSE),0)</f>
        <v>0</v>
      </c>
      <c r="J31" s="140">
        <f>IFERROR(VLOOKUP($D31,매장경비정리!$C:$K,J$1,FALSE),0)</f>
        <v>0</v>
      </c>
      <c r="K31" s="140">
        <f>IFERROR(VLOOKUP($D31,매장경비정리!$C:$K,K$1,FALSE),0)</f>
        <v>0</v>
      </c>
      <c r="L31" s="140">
        <f t="shared" si="23"/>
        <v>0</v>
      </c>
      <c r="M31" s="141">
        <f t="shared" si="24"/>
        <v>0</v>
      </c>
      <c r="N31" s="142"/>
      <c r="O31"/>
      <c r="P31" s="143">
        <f>VLOOKUP($D31,'[1]25년 5월경비'!$D:$M,P$1,FALSE)</f>
        <v>104992240</v>
      </c>
      <c r="Q31" s="140">
        <f>VLOOKUP($D31,'[1]25년 5월경비'!$D:$M,Q$1,FALSE)</f>
        <v>60500</v>
      </c>
      <c r="R31" s="140">
        <f>VLOOKUP($D31,'[1]25년 5월경비'!$D:$M,R$1,FALSE)</f>
        <v>13</v>
      </c>
      <c r="S31" s="140">
        <f>VLOOKUP($D31,'[1]25년 5월경비'!$D:$M,S$1,FALSE)</f>
        <v>66000</v>
      </c>
      <c r="T31" s="140">
        <f>VLOOKUP($D31,'[1]25년 5월경비'!$D:$M,T$1,FALSE)</f>
        <v>15</v>
      </c>
      <c r="U31" s="140">
        <f>VLOOKUP($D31,'[1]25년 5월경비'!$D:$M,U$1,FALSE)</f>
        <v>0</v>
      </c>
      <c r="V31" s="140">
        <f>VLOOKUP($D31,'[1]25년 5월경비'!$D:$M,V$1,FALSE)</f>
        <v>0</v>
      </c>
      <c r="W31" s="140">
        <f>VLOOKUP($D31,'[1]25년 5월경비'!$D:$M,W$1,FALSE)</f>
        <v>126500</v>
      </c>
      <c r="X31" s="141">
        <f t="shared" si="25"/>
        <v>1.2048509489844203E-3</v>
      </c>
      <c r="Y31" s="142"/>
      <c r="Z31" s="144">
        <f t="shared" si="26"/>
        <v>23673390</v>
      </c>
      <c r="AA31" s="140">
        <f t="shared" si="26"/>
        <v>-60500</v>
      </c>
      <c r="AB31" s="140">
        <f t="shared" si="26"/>
        <v>-13</v>
      </c>
      <c r="AC31" s="140">
        <f t="shared" si="26"/>
        <v>-66000</v>
      </c>
      <c r="AD31" s="140">
        <f t="shared" si="26"/>
        <v>-15</v>
      </c>
      <c r="AE31" s="140">
        <f t="shared" si="26"/>
        <v>0</v>
      </c>
      <c r="AF31" s="140">
        <f t="shared" si="26"/>
        <v>0</v>
      </c>
      <c r="AG31" s="140">
        <f t="shared" si="26"/>
        <v>-126500</v>
      </c>
      <c r="AH31" s="145"/>
      <c r="AI31" s="215"/>
      <c r="AJ31" s="147"/>
      <c r="AL31" s="147"/>
      <c r="AM31" s="162"/>
      <c r="AN31" s="147"/>
      <c r="AO31" s="147"/>
    </row>
    <row r="32" spans="1:41" s="135" customFormat="1" ht="28.5" customHeight="1">
      <c r="A32" s="275"/>
      <c r="B32" s="137">
        <v>10</v>
      </c>
      <c r="C32" s="149">
        <v>45411</v>
      </c>
      <c r="D32" s="138" t="s">
        <v>10</v>
      </c>
      <c r="E32" s="139">
        <f>VLOOKUP(D32,매출!C:J,8,0)</f>
        <v>100163700</v>
      </c>
      <c r="F32" s="140">
        <f>IFERROR(VLOOKUP($D32,매장경비정리!$C:$K,F$1,FALSE),0)</f>
        <v>0</v>
      </c>
      <c r="G32" s="140">
        <f>IFERROR(VLOOKUP($D32,매장경비정리!$C:$K,G$1,FALSE),0)</f>
        <v>0</v>
      </c>
      <c r="H32" s="140">
        <f>IFERROR(VLOOKUP($D32,매장경비정리!$C:$K,H$1,FALSE),0)</f>
        <v>0</v>
      </c>
      <c r="I32" s="140">
        <f>IFERROR(VLOOKUP($D32,매장경비정리!$C:$K,I$1,FALSE),0)</f>
        <v>0</v>
      </c>
      <c r="J32" s="140">
        <f>IFERROR(VLOOKUP($D32,매장경비정리!$C:$K,J$1,FALSE),0)</f>
        <v>0</v>
      </c>
      <c r="K32" s="140">
        <f>IFERROR(VLOOKUP($D32,매장경비정리!$C:$K,K$1,FALSE),0)</f>
        <v>0</v>
      </c>
      <c r="L32" s="140">
        <f t="shared" si="23"/>
        <v>0</v>
      </c>
      <c r="M32" s="141">
        <f t="shared" si="24"/>
        <v>0</v>
      </c>
      <c r="N32" s="142"/>
      <c r="O32"/>
      <c r="P32" s="143">
        <f>VLOOKUP($D32,'[1]25년 5월경비'!$D:$M,P$1,FALSE)</f>
        <v>80394050</v>
      </c>
      <c r="Q32" s="140">
        <f>VLOOKUP($D32,'[1]25년 5월경비'!$D:$M,Q$1,FALSE)</f>
        <v>0</v>
      </c>
      <c r="R32" s="140">
        <f>VLOOKUP($D32,'[1]25년 5월경비'!$D:$M,R$1,FALSE)</f>
        <v>0</v>
      </c>
      <c r="S32" s="140">
        <f>VLOOKUP($D32,'[1]25년 5월경비'!$D:$M,S$1,FALSE)</f>
        <v>0</v>
      </c>
      <c r="T32" s="140">
        <f>VLOOKUP($D32,'[1]25년 5월경비'!$D:$M,T$1,FALSE)</f>
        <v>0</v>
      </c>
      <c r="U32" s="140">
        <f>VLOOKUP($D32,'[1]25년 5월경비'!$D:$M,U$1,FALSE)</f>
        <v>0</v>
      </c>
      <c r="V32" s="140">
        <f>VLOOKUP($D32,'[1]25년 5월경비'!$D:$M,V$1,FALSE)</f>
        <v>0</v>
      </c>
      <c r="W32" s="140">
        <f>VLOOKUP($D32,'[1]25년 5월경비'!$D:$M,W$1,FALSE)</f>
        <v>0</v>
      </c>
      <c r="X32" s="141">
        <f t="shared" si="25"/>
        <v>0</v>
      </c>
      <c r="Y32" s="142"/>
      <c r="Z32" s="144">
        <f t="shared" si="26"/>
        <v>19769650</v>
      </c>
      <c r="AA32" s="140">
        <f t="shared" si="26"/>
        <v>0</v>
      </c>
      <c r="AB32" s="140">
        <f t="shared" si="26"/>
        <v>0</v>
      </c>
      <c r="AC32" s="140">
        <f t="shared" si="26"/>
        <v>0</v>
      </c>
      <c r="AD32" s="140">
        <f t="shared" si="26"/>
        <v>0</v>
      </c>
      <c r="AE32" s="140">
        <f t="shared" si="26"/>
        <v>0</v>
      </c>
      <c r="AF32" s="140">
        <f t="shared" si="26"/>
        <v>0</v>
      </c>
      <c r="AG32" s="140">
        <f t="shared" si="26"/>
        <v>0</v>
      </c>
      <c r="AH32" s="145"/>
      <c r="AI32" s="209"/>
      <c r="AJ32" s="147"/>
      <c r="AL32" s="147"/>
      <c r="AM32" s="146"/>
      <c r="AN32" s="146"/>
      <c r="AO32" s="146"/>
    </row>
    <row r="33" spans="1:41" s="135" customFormat="1" ht="28.5" customHeight="1">
      <c r="A33" s="275"/>
      <c r="B33" s="137">
        <v>11</v>
      </c>
      <c r="C33" s="149">
        <v>45425</v>
      </c>
      <c r="D33" s="138" t="s">
        <v>22</v>
      </c>
      <c r="E33" s="139">
        <f>VLOOKUP(D33,매출!C:J,8,0)</f>
        <v>140435320</v>
      </c>
      <c r="F33" s="140">
        <f>IFERROR(VLOOKUP($D33,매장경비정리!$C:$K,F$1,FALSE),0)</f>
        <v>0</v>
      </c>
      <c r="G33" s="140">
        <f>IFERROR(VLOOKUP($D33,매장경비정리!$C:$K,G$1,FALSE),0)</f>
        <v>0</v>
      </c>
      <c r="H33" s="140">
        <f>IFERROR(VLOOKUP($D33,매장경비정리!$C:$K,H$1,FALSE),0)</f>
        <v>0</v>
      </c>
      <c r="I33" s="140">
        <f>IFERROR(VLOOKUP($D33,매장경비정리!$C:$K,I$1,FALSE),0)</f>
        <v>0</v>
      </c>
      <c r="J33" s="140">
        <f>IFERROR(VLOOKUP($D33,매장경비정리!$C:$K,J$1,FALSE),0)</f>
        <v>0</v>
      </c>
      <c r="K33" s="140">
        <f>IFERROR(VLOOKUP($D33,매장경비정리!$C:$K,K$1,FALSE),0)</f>
        <v>0</v>
      </c>
      <c r="L33" s="140">
        <f t="shared" si="23"/>
        <v>0</v>
      </c>
      <c r="M33" s="141">
        <f t="shared" si="24"/>
        <v>0</v>
      </c>
      <c r="N33" s="142"/>
      <c r="O33"/>
      <c r="P33" s="143">
        <f>VLOOKUP($D33,'[1]25년 5월경비'!$D:$M,P$1,FALSE)</f>
        <v>120767583</v>
      </c>
      <c r="Q33" s="140">
        <f>VLOOKUP($D33,'[1]25년 5월경비'!$D:$M,Q$1,FALSE)</f>
        <v>0</v>
      </c>
      <c r="R33" s="140">
        <f>VLOOKUP($D33,'[1]25년 5월경비'!$D:$M,R$1,FALSE)</f>
        <v>0</v>
      </c>
      <c r="S33" s="140">
        <f>VLOOKUP($D33,'[1]25년 5월경비'!$D:$M,S$1,FALSE)</f>
        <v>0</v>
      </c>
      <c r="T33" s="140">
        <f>VLOOKUP($D33,'[1]25년 5월경비'!$D:$M,T$1,FALSE)</f>
        <v>0</v>
      </c>
      <c r="U33" s="140">
        <f>VLOOKUP($D33,'[1]25년 5월경비'!$D:$M,U$1,FALSE)</f>
        <v>0</v>
      </c>
      <c r="V33" s="140">
        <f>VLOOKUP($D33,'[1]25년 5월경비'!$D:$M,V$1,FALSE)</f>
        <v>0</v>
      </c>
      <c r="W33" s="140">
        <f>VLOOKUP($D33,'[1]25년 5월경비'!$D:$M,W$1,FALSE)</f>
        <v>0</v>
      </c>
      <c r="X33" s="141">
        <f t="shared" ref="X33:X45" si="29">W33/P33</f>
        <v>0</v>
      </c>
      <c r="Y33" s="142"/>
      <c r="Z33" s="144">
        <f t="shared" si="26"/>
        <v>19667737</v>
      </c>
      <c r="AA33" s="140">
        <f t="shared" si="26"/>
        <v>0</v>
      </c>
      <c r="AB33" s="140">
        <f t="shared" si="26"/>
        <v>0</v>
      </c>
      <c r="AC33" s="140">
        <f t="shared" si="26"/>
        <v>0</v>
      </c>
      <c r="AD33" s="140">
        <f t="shared" si="26"/>
        <v>0</v>
      </c>
      <c r="AE33" s="140">
        <f t="shared" si="26"/>
        <v>0</v>
      </c>
      <c r="AF33" s="140">
        <f t="shared" si="26"/>
        <v>0</v>
      </c>
      <c r="AG33" s="140">
        <f t="shared" si="26"/>
        <v>0</v>
      </c>
      <c r="AH33" s="145"/>
      <c r="AI33" s="208"/>
      <c r="AJ33" s="147"/>
      <c r="AL33" s="147"/>
      <c r="AM33" s="147"/>
      <c r="AN33" s="147"/>
      <c r="AO33" s="147"/>
    </row>
    <row r="34" spans="1:41" s="135" customFormat="1" ht="28.5" customHeight="1">
      <c r="A34" s="275"/>
      <c r="B34" s="137">
        <v>12</v>
      </c>
      <c r="C34" s="149">
        <v>45411</v>
      </c>
      <c r="D34" s="158" t="s">
        <v>53</v>
      </c>
      <c r="E34" s="139">
        <f>VLOOKUP(D34,매출!C:J,8,0)</f>
        <v>115875950</v>
      </c>
      <c r="F34" s="140">
        <f>IFERROR(VLOOKUP($D34,매장경비정리!$C:$K,F$1,FALSE),0)</f>
        <v>0</v>
      </c>
      <c r="G34" s="140">
        <f>IFERROR(VLOOKUP($D34,매장경비정리!$C:$K,G$1,FALSE),0)</f>
        <v>0</v>
      </c>
      <c r="H34" s="140">
        <f>IFERROR(VLOOKUP($D34,매장경비정리!$C:$K,H$1,FALSE),0)</f>
        <v>0</v>
      </c>
      <c r="I34" s="140">
        <f>IFERROR(VLOOKUP($D34,매장경비정리!$C:$K,I$1,FALSE),0)</f>
        <v>0</v>
      </c>
      <c r="J34" s="140">
        <f>IFERROR(VLOOKUP($D34,매장경비정리!$C:$K,J$1,FALSE),0)</f>
        <v>0</v>
      </c>
      <c r="K34" s="140">
        <f>IFERROR(VLOOKUP($D34,매장경비정리!$C:$K,K$1,FALSE),0)</f>
        <v>0</v>
      </c>
      <c r="L34" s="140">
        <f t="shared" si="23"/>
        <v>0</v>
      </c>
      <c r="M34" s="141">
        <f t="shared" si="24"/>
        <v>0</v>
      </c>
      <c r="N34" s="142"/>
      <c r="O34"/>
      <c r="P34" s="143">
        <f>VLOOKUP($D34,'[1]25년 5월경비'!$D:$M,P$1,FALSE)</f>
        <v>91924790</v>
      </c>
      <c r="Q34" s="140">
        <f>VLOOKUP($D34,'[1]25년 5월경비'!$D:$M,Q$1,FALSE)</f>
        <v>0</v>
      </c>
      <c r="R34" s="140">
        <f>VLOOKUP($D34,'[1]25년 5월경비'!$D:$M,R$1,FALSE)</f>
        <v>0</v>
      </c>
      <c r="S34" s="140">
        <f>VLOOKUP($D34,'[1]25년 5월경비'!$D:$M,S$1,FALSE)</f>
        <v>0</v>
      </c>
      <c r="T34" s="140">
        <f>VLOOKUP($D34,'[1]25년 5월경비'!$D:$M,T$1,FALSE)</f>
        <v>0</v>
      </c>
      <c r="U34" s="140">
        <f>VLOOKUP($D34,'[1]25년 5월경비'!$D:$M,U$1,FALSE)</f>
        <v>0</v>
      </c>
      <c r="V34" s="140">
        <f>VLOOKUP($D34,'[1]25년 5월경비'!$D:$M,V$1,FALSE)</f>
        <v>0</v>
      </c>
      <c r="W34" s="140">
        <f>VLOOKUP($D34,'[1]25년 5월경비'!$D:$M,W$1,FALSE)</f>
        <v>0</v>
      </c>
      <c r="X34" s="141">
        <f t="shared" si="29"/>
        <v>0</v>
      </c>
      <c r="Y34" s="142"/>
      <c r="Z34" s="144">
        <f t="shared" si="26"/>
        <v>23951160</v>
      </c>
      <c r="AA34" s="140">
        <f t="shared" si="26"/>
        <v>0</v>
      </c>
      <c r="AB34" s="140">
        <f t="shared" si="26"/>
        <v>0</v>
      </c>
      <c r="AC34" s="140">
        <f t="shared" si="26"/>
        <v>0</v>
      </c>
      <c r="AD34" s="140">
        <f t="shared" si="26"/>
        <v>0</v>
      </c>
      <c r="AE34" s="140">
        <f t="shared" si="26"/>
        <v>0</v>
      </c>
      <c r="AF34" s="140">
        <f t="shared" si="26"/>
        <v>0</v>
      </c>
      <c r="AG34" s="140">
        <f t="shared" si="26"/>
        <v>0</v>
      </c>
      <c r="AH34" s="145"/>
      <c r="AI34" s="208"/>
      <c r="AJ34" s="147"/>
      <c r="AL34" s="147"/>
      <c r="AM34" s="146"/>
      <c r="AN34" s="147"/>
      <c r="AO34" s="147"/>
    </row>
    <row r="35" spans="1:41" s="135" customFormat="1" ht="28.5" customHeight="1">
      <c r="A35" s="275"/>
      <c r="B35" s="137">
        <v>13</v>
      </c>
      <c r="C35" s="149">
        <v>45425</v>
      </c>
      <c r="D35" s="138" t="s">
        <v>52</v>
      </c>
      <c r="E35" s="139">
        <f>VLOOKUP(D35,매출!C:J,8,0)</f>
        <v>65219490</v>
      </c>
      <c r="F35" s="140">
        <f>IFERROR(VLOOKUP($D35,매장경비정리!$C:$K,F$1,FALSE),0)</f>
        <v>247000</v>
      </c>
      <c r="G35" s="140">
        <f>IFERROR(VLOOKUP($D35,매장경비정리!$C:$K,G$1,FALSE),0)</f>
        <v>58</v>
      </c>
      <c r="H35" s="140">
        <f>IFERROR(VLOOKUP($D35,매장경비정리!$C:$K,H$1,FALSE),0)</f>
        <v>84500</v>
      </c>
      <c r="I35" s="140">
        <f>IFERROR(VLOOKUP($D35,매장경비정리!$C:$K,I$1,FALSE),0)</f>
        <v>21</v>
      </c>
      <c r="J35" s="140">
        <f>IFERROR(VLOOKUP($D35,매장경비정리!$C:$K,J$1,FALSE),0)</f>
        <v>0</v>
      </c>
      <c r="K35" s="140">
        <f>IFERROR(VLOOKUP($D35,매장경비정리!$C:$K,K$1,FALSE),0)</f>
        <v>0</v>
      </c>
      <c r="L35" s="140">
        <f>SUM(F35,H35,J35)</f>
        <v>331500</v>
      </c>
      <c r="M35" s="141">
        <f>L35/E35</f>
        <v>5.0828364343235436E-3</v>
      </c>
      <c r="N35" s="142"/>
      <c r="O35"/>
      <c r="P35" s="143">
        <f>VLOOKUP($D35,'[1]25년 5월경비'!$D:$M,P$1,FALSE)</f>
        <v>41384350</v>
      </c>
      <c r="Q35" s="140">
        <f>VLOOKUP($D35,'[1]25년 5월경비'!$D:$M,Q$1,FALSE)</f>
        <v>183400</v>
      </c>
      <c r="R35" s="140">
        <f>VLOOKUP($D35,'[1]25년 5월경비'!$D:$M,R$1,FALSE)</f>
        <v>39</v>
      </c>
      <c r="S35" s="140">
        <f>VLOOKUP($D35,'[1]25년 5월경비'!$D:$M,S$1,FALSE)</f>
        <v>79000</v>
      </c>
      <c r="T35" s="140">
        <f>VLOOKUP($D35,'[1]25년 5월경비'!$D:$M,T$1,FALSE)</f>
        <v>19</v>
      </c>
      <c r="U35" s="140">
        <f>VLOOKUP($D35,'[1]25년 5월경비'!$D:$M,U$1,FALSE)</f>
        <v>6000</v>
      </c>
      <c r="V35" s="140">
        <f>VLOOKUP($D35,'[1]25년 5월경비'!$D:$M,V$1,FALSE)</f>
        <v>1</v>
      </c>
      <c r="W35" s="140">
        <f>VLOOKUP($D35,'[1]25년 5월경비'!$D:$M,W$1,FALSE)</f>
        <v>268400</v>
      </c>
      <c r="X35" s="141">
        <f t="shared" si="29"/>
        <v>6.4855434481875399E-3</v>
      </c>
      <c r="Y35" s="142"/>
      <c r="Z35" s="144">
        <f t="shared" si="26"/>
        <v>23835140</v>
      </c>
      <c r="AA35" s="140">
        <f t="shared" si="26"/>
        <v>63600</v>
      </c>
      <c r="AB35" s="140">
        <f t="shared" si="26"/>
        <v>19</v>
      </c>
      <c r="AC35" s="140">
        <f t="shared" si="26"/>
        <v>5500</v>
      </c>
      <c r="AD35" s="140">
        <f t="shared" si="26"/>
        <v>2</v>
      </c>
      <c r="AE35" s="140">
        <f t="shared" si="26"/>
        <v>-6000</v>
      </c>
      <c r="AF35" s="140">
        <f t="shared" si="26"/>
        <v>-1</v>
      </c>
      <c r="AG35" s="140">
        <f t="shared" si="26"/>
        <v>63100</v>
      </c>
      <c r="AH35" s="145"/>
      <c r="AI35" s="208"/>
      <c r="AJ35" s="147"/>
      <c r="AL35" s="147"/>
      <c r="AM35" s="146"/>
      <c r="AN35" s="146"/>
      <c r="AO35" s="146"/>
    </row>
    <row r="36" spans="1:41" s="135" customFormat="1" ht="28.5" customHeight="1">
      <c r="A36" s="275"/>
      <c r="B36" s="137">
        <v>14</v>
      </c>
      <c r="C36" s="149"/>
      <c r="D36" s="138" t="s">
        <v>382</v>
      </c>
      <c r="E36" s="139">
        <f>VLOOKUP(D36,매출!C:J,8,0)</f>
        <v>57987500</v>
      </c>
      <c r="F36" s="140">
        <f>IFERROR(VLOOKUP($D36,매장경비정리!$C:$K,F$1,FALSE),0)</f>
        <v>187000</v>
      </c>
      <c r="G36" s="140">
        <f>IFERROR(VLOOKUP($D36,매장경비정리!$C:$K,G$1,FALSE),0)</f>
        <v>39</v>
      </c>
      <c r="H36" s="140">
        <f>IFERROR(VLOOKUP($D36,매장경비정리!$C:$K,H$1,FALSE),0)</f>
        <v>140500</v>
      </c>
      <c r="I36" s="140">
        <f>IFERROR(VLOOKUP($D36,매장경비정리!$C:$K,I$1,FALSE),0)</f>
        <v>34</v>
      </c>
      <c r="J36" s="140">
        <f>IFERROR(VLOOKUP($D36,매장경비정리!$C:$K,J$1,FALSE),0)</f>
        <v>13000</v>
      </c>
      <c r="K36" s="140">
        <f>IFERROR(VLOOKUP($D36,매장경비정리!$C:$K,K$1,FALSE),0)</f>
        <v>2</v>
      </c>
      <c r="L36" s="140">
        <f>SUM(F36,H36,J36)</f>
        <v>340500</v>
      </c>
      <c r="M36" s="141">
        <f>L36/E36</f>
        <v>5.8719551627505924E-3</v>
      </c>
      <c r="N36" s="142"/>
      <c r="O36"/>
      <c r="P36" s="143">
        <f>VLOOKUP($D36,'[1]25년 5월경비'!$D:$M,P$1,FALSE)</f>
        <v>28330030</v>
      </c>
      <c r="Q36" s="140">
        <f>VLOOKUP($D36,'[1]25년 5월경비'!$D:$M,Q$1,FALSE)</f>
        <v>54000</v>
      </c>
      <c r="R36" s="140">
        <f>VLOOKUP($D36,'[1]25년 5월경비'!$D:$M,R$1,FALSE)</f>
        <v>13</v>
      </c>
      <c r="S36" s="140">
        <f>VLOOKUP($D36,'[1]25년 5월경비'!$D:$M,S$1,FALSE)</f>
        <v>138800</v>
      </c>
      <c r="T36" s="140">
        <f>VLOOKUP($D36,'[1]25년 5월경비'!$D:$M,T$1,FALSE)</f>
        <v>31</v>
      </c>
      <c r="U36" s="140">
        <f>VLOOKUP($D36,'[1]25년 5월경비'!$D:$M,U$1,FALSE)</f>
        <v>22900</v>
      </c>
      <c r="V36" s="140">
        <f>VLOOKUP($D36,'[1]25년 5월경비'!$D:$M,V$1,FALSE)</f>
        <v>2</v>
      </c>
      <c r="W36" s="140">
        <f>VLOOKUP($D36,'[1]25년 5월경비'!$D:$M,W$1,FALSE)</f>
        <v>215700</v>
      </c>
      <c r="X36" s="141">
        <f t="shared" ref="X36" si="30">W36/P36</f>
        <v>7.6138288593411299E-3</v>
      </c>
      <c r="Y36" s="142"/>
      <c r="Z36" s="144">
        <f t="shared" ref="Z36" si="31">E36-P36</f>
        <v>29657470</v>
      </c>
      <c r="AA36" s="140">
        <f t="shared" ref="AA36" si="32">F36-Q36</f>
        <v>133000</v>
      </c>
      <c r="AB36" s="140">
        <f t="shared" ref="AB36" si="33">G36-R36</f>
        <v>26</v>
      </c>
      <c r="AC36" s="140">
        <f t="shared" ref="AC36" si="34">H36-S36</f>
        <v>1700</v>
      </c>
      <c r="AD36" s="140">
        <f t="shared" ref="AD36" si="35">I36-T36</f>
        <v>3</v>
      </c>
      <c r="AE36" s="140">
        <f t="shared" ref="AE36" si="36">J36-U36</f>
        <v>-9900</v>
      </c>
      <c r="AF36" s="140">
        <f t="shared" ref="AF36" si="37">K36-V36</f>
        <v>0</v>
      </c>
      <c r="AG36" s="140">
        <f t="shared" ref="AG36" si="38">L36-W36</f>
        <v>124800</v>
      </c>
      <c r="AH36" s="145"/>
      <c r="AI36" s="210"/>
      <c r="AJ36" s="147"/>
      <c r="AL36" s="147"/>
      <c r="AM36" s="146"/>
      <c r="AN36" s="146"/>
      <c r="AO36" s="146"/>
    </row>
    <row r="37" spans="1:41" s="135" customFormat="1" ht="28.5" customHeight="1">
      <c r="A37" s="275"/>
      <c r="B37" s="137">
        <v>15</v>
      </c>
      <c r="C37" s="149">
        <v>45338</v>
      </c>
      <c r="D37" s="138" t="s">
        <v>106</v>
      </c>
      <c r="E37" s="139">
        <f>VLOOKUP(D37,매출!C:J,8,0)</f>
        <v>54807810</v>
      </c>
      <c r="F37" s="140">
        <f>IFERROR(VLOOKUP($D37,매장경비정리!$C:$K,F$1,FALSE),0)</f>
        <v>472000</v>
      </c>
      <c r="G37" s="140">
        <f>IFERROR(VLOOKUP($D37,매장경비정리!$C:$K,G$1,FALSE),0)</f>
        <v>91</v>
      </c>
      <c r="H37" s="140">
        <f>IFERROR(VLOOKUP($D37,매장경비정리!$C:$K,H$1,FALSE),0)</f>
        <v>46000</v>
      </c>
      <c r="I37" s="140">
        <f>IFERROR(VLOOKUP($D37,매장경비정리!$C:$K,I$1,FALSE),0)</f>
        <v>12</v>
      </c>
      <c r="J37" s="140">
        <f>IFERROR(VLOOKUP($D37,매장경비정리!$C:$K,J$1,FALSE),0)</f>
        <v>24000</v>
      </c>
      <c r="K37" s="140">
        <f>IFERROR(VLOOKUP($D37,매장경비정리!$C:$K,K$1,FALSE),0)</f>
        <v>1</v>
      </c>
      <c r="L37" s="140">
        <f t="shared" si="23"/>
        <v>542000</v>
      </c>
      <c r="M37" s="141">
        <f t="shared" si="24"/>
        <v>9.8891015714731162E-3</v>
      </c>
      <c r="N37" s="142"/>
      <c r="O37"/>
      <c r="P37" s="143">
        <f>VLOOKUP($D37,'[1]25년 5월경비'!$D:$M,P$1,FALSE)</f>
        <v>47166320</v>
      </c>
      <c r="Q37" s="140">
        <f>VLOOKUP($D37,'[1]25년 5월경비'!$D:$M,Q$1,FALSE)</f>
        <v>437000</v>
      </c>
      <c r="R37" s="140">
        <f>VLOOKUP($D37,'[1]25년 5월경비'!$D:$M,R$1,FALSE)</f>
        <v>73</v>
      </c>
      <c r="S37" s="140">
        <f>VLOOKUP($D37,'[1]25년 5월경비'!$D:$M,S$1,FALSE)</f>
        <v>95000</v>
      </c>
      <c r="T37" s="140">
        <f>VLOOKUP($D37,'[1]25년 5월경비'!$D:$M,T$1,FALSE)</f>
        <v>23</v>
      </c>
      <c r="U37" s="140">
        <f>VLOOKUP($D37,'[1]25년 5월경비'!$D:$M,U$1,FALSE)</f>
        <v>0</v>
      </c>
      <c r="V37" s="140">
        <f>VLOOKUP($D37,'[1]25년 5월경비'!$D:$M,V$1,FALSE)</f>
        <v>0</v>
      </c>
      <c r="W37" s="140">
        <f>VLOOKUP($D37,'[1]25년 5월경비'!$D:$M,W$1,FALSE)</f>
        <v>532000</v>
      </c>
      <c r="X37" s="141">
        <f t="shared" si="29"/>
        <v>1.1279234843846202E-2</v>
      </c>
      <c r="Y37" s="142"/>
      <c r="Z37" s="144">
        <f t="shared" si="26"/>
        <v>7641490</v>
      </c>
      <c r="AA37" s="140">
        <f t="shared" si="26"/>
        <v>35000</v>
      </c>
      <c r="AB37" s="140">
        <f t="shared" si="26"/>
        <v>18</v>
      </c>
      <c r="AC37" s="140">
        <f t="shared" si="26"/>
        <v>-49000</v>
      </c>
      <c r="AD37" s="140">
        <f t="shared" si="26"/>
        <v>-11</v>
      </c>
      <c r="AE37" s="140">
        <f t="shared" si="26"/>
        <v>24000</v>
      </c>
      <c r="AF37" s="140">
        <f t="shared" si="26"/>
        <v>1</v>
      </c>
      <c r="AG37" s="140">
        <f t="shared" si="26"/>
        <v>10000</v>
      </c>
      <c r="AH37" s="145"/>
      <c r="AI37" s="210"/>
      <c r="AJ37" s="159"/>
      <c r="AL37" s="147"/>
      <c r="AM37" s="146"/>
      <c r="AN37" s="146"/>
      <c r="AO37" s="146"/>
    </row>
    <row r="38" spans="1:41" s="135" customFormat="1" ht="28.5" customHeight="1">
      <c r="A38" s="275"/>
      <c r="B38" s="137">
        <v>16</v>
      </c>
      <c r="C38" s="149">
        <v>45404</v>
      </c>
      <c r="D38" s="138" t="s">
        <v>48</v>
      </c>
      <c r="E38" s="139">
        <f>VLOOKUP(D38,매출!C:J,8,0)</f>
        <v>44564230</v>
      </c>
      <c r="F38" s="140">
        <f>IFERROR(VLOOKUP($D38,매장경비정리!$C:$K,F$1,FALSE),0)</f>
        <v>0</v>
      </c>
      <c r="G38" s="140">
        <f>IFERROR(VLOOKUP($D38,매장경비정리!$C:$K,G$1,FALSE),0)</f>
        <v>0</v>
      </c>
      <c r="H38" s="140">
        <f>IFERROR(VLOOKUP($D38,매장경비정리!$C:$K,H$1,FALSE),0)</f>
        <v>0</v>
      </c>
      <c r="I38" s="140">
        <f>IFERROR(VLOOKUP($D38,매장경비정리!$C:$K,I$1,FALSE),0)</f>
        <v>0</v>
      </c>
      <c r="J38" s="140">
        <f>IFERROR(VLOOKUP($D38,매장경비정리!$C:$K,J$1,FALSE),0)</f>
        <v>0</v>
      </c>
      <c r="K38" s="140">
        <f>IFERROR(VLOOKUP($D38,매장경비정리!$C:$K,K$1,FALSE),0)</f>
        <v>0</v>
      </c>
      <c r="L38" s="140">
        <f t="shared" si="23"/>
        <v>0</v>
      </c>
      <c r="M38" s="141">
        <f t="shared" si="24"/>
        <v>0</v>
      </c>
      <c r="N38" s="142"/>
      <c r="O38"/>
      <c r="P38" s="143">
        <f>VLOOKUP($D38,'[1]25년 5월경비'!$D:$M,P$1,FALSE)</f>
        <v>34423650</v>
      </c>
      <c r="Q38" s="140">
        <f>VLOOKUP($D38,'[1]25년 5월경비'!$D:$M,Q$1,FALSE)</f>
        <v>0</v>
      </c>
      <c r="R38" s="140">
        <f>VLOOKUP($D38,'[1]25년 5월경비'!$D:$M,R$1,FALSE)</f>
        <v>0</v>
      </c>
      <c r="S38" s="140">
        <f>VLOOKUP($D38,'[1]25년 5월경비'!$D:$M,S$1,FALSE)</f>
        <v>0</v>
      </c>
      <c r="T38" s="140">
        <f>VLOOKUP($D38,'[1]25년 5월경비'!$D:$M,T$1,FALSE)</f>
        <v>0</v>
      </c>
      <c r="U38" s="140">
        <f>VLOOKUP($D38,'[1]25년 5월경비'!$D:$M,U$1,FALSE)</f>
        <v>0</v>
      </c>
      <c r="V38" s="140">
        <f>VLOOKUP($D38,'[1]25년 5월경비'!$D:$M,V$1,FALSE)</f>
        <v>0</v>
      </c>
      <c r="W38" s="140">
        <f>VLOOKUP($D38,'[1]25년 5월경비'!$D:$M,W$1,FALSE)</f>
        <v>0</v>
      </c>
      <c r="X38" s="141">
        <f t="shared" si="29"/>
        <v>0</v>
      </c>
      <c r="Y38" s="142"/>
      <c r="Z38" s="144">
        <f t="shared" si="26"/>
        <v>10140580</v>
      </c>
      <c r="AA38" s="140">
        <f t="shared" si="26"/>
        <v>0</v>
      </c>
      <c r="AB38" s="140">
        <f t="shared" si="26"/>
        <v>0</v>
      </c>
      <c r="AC38" s="140">
        <f t="shared" si="26"/>
        <v>0</v>
      </c>
      <c r="AD38" s="140">
        <f t="shared" si="26"/>
        <v>0</v>
      </c>
      <c r="AE38" s="140">
        <f t="shared" si="26"/>
        <v>0</v>
      </c>
      <c r="AF38" s="140">
        <f t="shared" si="26"/>
        <v>0</v>
      </c>
      <c r="AG38" s="140">
        <f t="shared" si="26"/>
        <v>0</v>
      </c>
      <c r="AH38" s="148"/>
      <c r="AI38" s="210"/>
      <c r="AJ38" s="147"/>
      <c r="AL38" s="146"/>
      <c r="AM38" s="146"/>
      <c r="AN38" s="146"/>
      <c r="AO38" s="146"/>
    </row>
    <row r="39" spans="1:41" s="135" customFormat="1" ht="28.5" customHeight="1">
      <c r="A39" s="275"/>
      <c r="B39" s="137">
        <v>17</v>
      </c>
      <c r="C39" s="149">
        <v>45425</v>
      </c>
      <c r="D39" s="138" t="s">
        <v>23</v>
      </c>
      <c r="E39" s="139">
        <f>VLOOKUP(D39,매출!C:J,8,0)</f>
        <v>131578880</v>
      </c>
      <c r="F39" s="140">
        <f>IFERROR(VLOOKUP($D39,매장경비정리!$C:$K,F$1,FALSE),0)</f>
        <v>0</v>
      </c>
      <c r="G39" s="140">
        <f>IFERROR(VLOOKUP($D39,매장경비정리!$C:$K,G$1,FALSE),0)</f>
        <v>0</v>
      </c>
      <c r="H39" s="140">
        <f>IFERROR(VLOOKUP($D39,매장경비정리!$C:$K,H$1,FALSE),0)</f>
        <v>0</v>
      </c>
      <c r="I39" s="140">
        <f>IFERROR(VLOOKUP($D39,매장경비정리!$C:$K,I$1,FALSE),0)</f>
        <v>0</v>
      </c>
      <c r="J39" s="140">
        <f>IFERROR(VLOOKUP($D39,매장경비정리!$C:$K,J$1,FALSE),0)</f>
        <v>0</v>
      </c>
      <c r="K39" s="140">
        <f>IFERROR(VLOOKUP($D39,매장경비정리!$C:$K,K$1,FALSE),0)</f>
        <v>0</v>
      </c>
      <c r="L39" s="140">
        <f t="shared" si="23"/>
        <v>0</v>
      </c>
      <c r="M39" s="141">
        <f t="shared" si="24"/>
        <v>0</v>
      </c>
      <c r="N39" s="142"/>
      <c r="O39"/>
      <c r="P39" s="143">
        <f>VLOOKUP($D39,'[1]25년 5월경비'!$D:$M,P$1,FALSE)</f>
        <v>134501410</v>
      </c>
      <c r="Q39" s="140">
        <f>VLOOKUP($D39,'[1]25년 5월경비'!$D:$M,Q$1,FALSE)</f>
        <v>0</v>
      </c>
      <c r="R39" s="140">
        <f>VLOOKUP($D39,'[1]25년 5월경비'!$D:$M,R$1,FALSE)</f>
        <v>0</v>
      </c>
      <c r="S39" s="140">
        <f>VLOOKUP($D39,'[1]25년 5월경비'!$D:$M,S$1,FALSE)</f>
        <v>0</v>
      </c>
      <c r="T39" s="140">
        <f>VLOOKUP($D39,'[1]25년 5월경비'!$D:$M,T$1,FALSE)</f>
        <v>0</v>
      </c>
      <c r="U39" s="140">
        <f>VLOOKUP($D39,'[1]25년 5월경비'!$D:$M,U$1,FALSE)</f>
        <v>0</v>
      </c>
      <c r="V39" s="140">
        <f>VLOOKUP($D39,'[1]25년 5월경비'!$D:$M,V$1,FALSE)</f>
        <v>0</v>
      </c>
      <c r="W39" s="140">
        <f>VLOOKUP($D39,'[1]25년 5월경비'!$D:$M,W$1,FALSE)</f>
        <v>0</v>
      </c>
      <c r="X39" s="141">
        <f t="shared" si="29"/>
        <v>0</v>
      </c>
      <c r="Y39" s="142"/>
      <c r="Z39" s="144">
        <f t="shared" si="26"/>
        <v>-2922530</v>
      </c>
      <c r="AA39" s="140">
        <f t="shared" si="26"/>
        <v>0</v>
      </c>
      <c r="AB39" s="140">
        <f t="shared" si="26"/>
        <v>0</v>
      </c>
      <c r="AC39" s="140">
        <f t="shared" si="26"/>
        <v>0</v>
      </c>
      <c r="AD39" s="140">
        <f t="shared" si="26"/>
        <v>0</v>
      </c>
      <c r="AE39" s="140">
        <f t="shared" si="26"/>
        <v>0</v>
      </c>
      <c r="AF39" s="140">
        <f t="shared" si="26"/>
        <v>0</v>
      </c>
      <c r="AG39" s="140">
        <f t="shared" si="26"/>
        <v>0</v>
      </c>
      <c r="AH39" s="145"/>
      <c r="AI39" s="208"/>
      <c r="AJ39" s="147"/>
      <c r="AL39" s="147"/>
      <c r="AM39" s="147"/>
      <c r="AN39" s="146"/>
      <c r="AO39" s="146"/>
    </row>
    <row r="40" spans="1:41" s="135" customFormat="1" ht="28.5" customHeight="1">
      <c r="A40" s="275"/>
      <c r="B40" s="137">
        <v>18</v>
      </c>
      <c r="C40" s="149">
        <v>45432</v>
      </c>
      <c r="D40" s="138" t="s">
        <v>155</v>
      </c>
      <c r="E40" s="139">
        <f>VLOOKUP(D40,매출!C:J,8,0)</f>
        <v>109556570</v>
      </c>
      <c r="F40" s="140">
        <f>IFERROR(VLOOKUP($D40,매장경비정리!$C:$K,F$1,FALSE),0)</f>
        <v>220600</v>
      </c>
      <c r="G40" s="140">
        <f>IFERROR(VLOOKUP($D40,매장경비정리!$C:$K,G$1,FALSE),0)</f>
        <v>37</v>
      </c>
      <c r="H40" s="140">
        <f>IFERROR(VLOOKUP($D40,매장경비정리!$C:$K,H$1,FALSE),0)</f>
        <v>77200</v>
      </c>
      <c r="I40" s="140">
        <f>IFERROR(VLOOKUP($D40,매장경비정리!$C:$K,I$1,FALSE),0)</f>
        <v>18</v>
      </c>
      <c r="J40" s="140">
        <f>IFERROR(VLOOKUP($D40,매장경비정리!$C:$K,J$1,FALSE),0)</f>
        <v>20000</v>
      </c>
      <c r="K40" s="140">
        <f>IFERROR(VLOOKUP($D40,매장경비정리!$C:$K,K$1,FALSE),0)</f>
        <v>1</v>
      </c>
      <c r="L40" s="140">
        <f t="shared" si="23"/>
        <v>317800</v>
      </c>
      <c r="M40" s="141">
        <f t="shared" si="24"/>
        <v>2.9007844988210201E-3</v>
      </c>
      <c r="N40" s="142"/>
      <c r="O40"/>
      <c r="P40" s="143">
        <f>VLOOKUP($D40,'[1]25년 5월경비'!$D:$M,P$1,FALSE)</f>
        <v>103625400</v>
      </c>
      <c r="Q40" s="140">
        <f>VLOOKUP($D40,'[1]25년 5월경비'!$D:$M,Q$1,FALSE)</f>
        <v>85300</v>
      </c>
      <c r="R40" s="140">
        <f>VLOOKUP($D40,'[1]25년 5월경비'!$D:$M,R$1,FALSE)</f>
        <v>12</v>
      </c>
      <c r="S40" s="140">
        <f>VLOOKUP($D40,'[1]25년 5월경비'!$D:$M,S$1,FALSE)</f>
        <v>194500</v>
      </c>
      <c r="T40" s="140">
        <f>VLOOKUP($D40,'[1]25년 5월경비'!$D:$M,T$1,FALSE)</f>
        <v>48</v>
      </c>
      <c r="U40" s="140">
        <f>VLOOKUP($D40,'[1]25년 5월경비'!$D:$M,U$1,FALSE)</f>
        <v>10000</v>
      </c>
      <c r="V40" s="140">
        <f>VLOOKUP($D40,'[1]25년 5월경비'!$D:$M,V$1,FALSE)</f>
        <v>1</v>
      </c>
      <c r="W40" s="140">
        <f>VLOOKUP($D40,'[1]25년 5월경비'!$D:$M,W$1,FALSE)</f>
        <v>289800</v>
      </c>
      <c r="X40" s="141">
        <f t="shared" si="29"/>
        <v>2.7966116415473427E-3</v>
      </c>
      <c r="Y40" s="142"/>
      <c r="Z40" s="144">
        <f t="shared" si="26"/>
        <v>5931170</v>
      </c>
      <c r="AA40" s="140">
        <f t="shared" si="26"/>
        <v>135300</v>
      </c>
      <c r="AB40" s="140">
        <f t="shared" si="26"/>
        <v>25</v>
      </c>
      <c r="AC40" s="140">
        <f t="shared" si="26"/>
        <v>-117300</v>
      </c>
      <c r="AD40" s="140">
        <f t="shared" si="26"/>
        <v>-30</v>
      </c>
      <c r="AE40" s="140">
        <f t="shared" si="26"/>
        <v>10000</v>
      </c>
      <c r="AF40" s="140">
        <f t="shared" si="26"/>
        <v>0</v>
      </c>
      <c r="AG40" s="140">
        <f t="shared" si="26"/>
        <v>28000</v>
      </c>
      <c r="AH40" s="145"/>
      <c r="AI40" s="216"/>
      <c r="AJ40" s="147"/>
      <c r="AL40" s="147"/>
      <c r="AM40" s="147"/>
      <c r="AN40" s="146"/>
      <c r="AO40" s="146"/>
    </row>
    <row r="41" spans="1:41" s="135" customFormat="1" ht="28.5" customHeight="1">
      <c r="A41" s="275"/>
      <c r="B41" s="137">
        <v>19</v>
      </c>
      <c r="C41" s="149">
        <v>45411</v>
      </c>
      <c r="D41" s="138" t="s">
        <v>168</v>
      </c>
      <c r="E41" s="139">
        <f>VLOOKUP(D41,매출!C:J,8,0)</f>
        <v>56748840</v>
      </c>
      <c r="F41" s="140">
        <f>IFERROR(VLOOKUP($D41,매장경비정리!$C:$K,F$1,FALSE),0)</f>
        <v>211000</v>
      </c>
      <c r="G41" s="140">
        <f>IFERROR(VLOOKUP($D41,매장경비정리!$C:$K,G$1,FALSE),0)</f>
        <v>48</v>
      </c>
      <c r="H41" s="140">
        <f>IFERROR(VLOOKUP($D41,매장경비정리!$C:$K,H$1,FALSE),0)</f>
        <v>42000</v>
      </c>
      <c r="I41" s="140">
        <f>IFERROR(VLOOKUP($D41,매장경비정리!$C:$K,I$1,FALSE),0)</f>
        <v>10</v>
      </c>
      <c r="J41" s="140">
        <f>IFERROR(VLOOKUP($D41,매장경비정리!$C:$K,J$1,FALSE),0)</f>
        <v>19900</v>
      </c>
      <c r="K41" s="140">
        <f>IFERROR(VLOOKUP($D41,매장경비정리!$C:$K,K$1,FALSE),0)</f>
        <v>2</v>
      </c>
      <c r="L41" s="140">
        <f t="shared" si="23"/>
        <v>272900</v>
      </c>
      <c r="M41" s="141">
        <f t="shared" si="24"/>
        <v>4.8089088693266686E-3</v>
      </c>
      <c r="N41" s="142"/>
      <c r="O41"/>
      <c r="P41" s="143">
        <f>VLOOKUP($D41,'[1]25년 5월경비'!$D:$M,P$1,FALSE)</f>
        <v>47372530</v>
      </c>
      <c r="Q41" s="140">
        <f>VLOOKUP($D41,'[1]25년 5월경비'!$D:$M,Q$1,FALSE)</f>
        <v>0</v>
      </c>
      <c r="R41" s="140">
        <f>VLOOKUP($D41,'[1]25년 5월경비'!$D:$M,R$1,FALSE)</f>
        <v>0</v>
      </c>
      <c r="S41" s="140">
        <f>VLOOKUP($D41,'[1]25년 5월경비'!$D:$M,S$1,FALSE)</f>
        <v>63500</v>
      </c>
      <c r="T41" s="140">
        <f>VLOOKUP($D41,'[1]25년 5월경비'!$D:$M,T$1,FALSE)</f>
        <v>16</v>
      </c>
      <c r="U41" s="140">
        <f>VLOOKUP($D41,'[1]25년 5월경비'!$D:$M,U$1,FALSE)</f>
        <v>29100</v>
      </c>
      <c r="V41" s="140">
        <f>VLOOKUP($D41,'[1]25년 5월경비'!$D:$M,V$1,FALSE)</f>
        <v>2</v>
      </c>
      <c r="W41" s="140">
        <f>VLOOKUP($D41,'[1]25년 5월경비'!$D:$M,W$1,FALSE)</f>
        <v>92600</v>
      </c>
      <c r="X41" s="141">
        <f t="shared" si="29"/>
        <v>1.9547193278467499E-3</v>
      </c>
      <c r="Y41" s="142"/>
      <c r="Z41" s="144">
        <f t="shared" si="26"/>
        <v>9376310</v>
      </c>
      <c r="AA41" s="140">
        <f t="shared" si="26"/>
        <v>211000</v>
      </c>
      <c r="AB41" s="140">
        <f t="shared" si="26"/>
        <v>48</v>
      </c>
      <c r="AC41" s="140">
        <f t="shared" si="26"/>
        <v>-21500</v>
      </c>
      <c r="AD41" s="140">
        <f t="shared" si="26"/>
        <v>-6</v>
      </c>
      <c r="AE41" s="140">
        <f t="shared" si="26"/>
        <v>-9200</v>
      </c>
      <c r="AF41" s="140">
        <f t="shared" si="26"/>
        <v>0</v>
      </c>
      <c r="AG41" s="140">
        <f t="shared" si="26"/>
        <v>180300</v>
      </c>
      <c r="AH41" s="140"/>
      <c r="AI41" s="208"/>
      <c r="AJ41" s="146"/>
      <c r="AL41" s="147"/>
      <c r="AM41" s="147"/>
      <c r="AN41" s="147"/>
      <c r="AO41" s="147"/>
    </row>
    <row r="42" spans="1:41" s="135" customFormat="1" ht="28.5" customHeight="1">
      <c r="A42" s="275"/>
      <c r="B42" s="137">
        <v>20</v>
      </c>
      <c r="C42" s="149">
        <v>45418</v>
      </c>
      <c r="D42" s="138" t="s">
        <v>8</v>
      </c>
      <c r="E42" s="139">
        <f>VLOOKUP(D42,매출!C:J,8,0)</f>
        <v>44937200</v>
      </c>
      <c r="F42" s="140">
        <f>IFERROR(VLOOKUP($D42,매장경비정리!$C:$K,F$1,FALSE),0)</f>
        <v>0</v>
      </c>
      <c r="G42" s="140">
        <f>IFERROR(VLOOKUP($D42,매장경비정리!$C:$K,G$1,FALSE),0)</f>
        <v>0</v>
      </c>
      <c r="H42" s="140">
        <f>IFERROR(VLOOKUP($D42,매장경비정리!$C:$K,H$1,FALSE),0)</f>
        <v>0</v>
      </c>
      <c r="I42" s="140">
        <f>IFERROR(VLOOKUP($D42,매장경비정리!$C:$K,I$1,FALSE),0)</f>
        <v>0</v>
      </c>
      <c r="J42" s="140">
        <f>IFERROR(VLOOKUP($D42,매장경비정리!$C:$K,J$1,FALSE),0)</f>
        <v>0</v>
      </c>
      <c r="K42" s="140">
        <f>IFERROR(VLOOKUP($D42,매장경비정리!$C:$K,K$1,FALSE),0)</f>
        <v>0</v>
      </c>
      <c r="L42" s="140">
        <f t="shared" si="23"/>
        <v>0</v>
      </c>
      <c r="M42" s="141">
        <f t="shared" si="24"/>
        <v>0</v>
      </c>
      <c r="N42" s="142"/>
      <c r="O42"/>
      <c r="P42" s="143">
        <f>VLOOKUP($D42,'[1]25년 5월경비'!$D:$M,P$1,FALSE)</f>
        <v>36369300</v>
      </c>
      <c r="Q42" s="140">
        <f>VLOOKUP($D42,'[1]25년 5월경비'!$D:$M,Q$1,FALSE)</f>
        <v>0</v>
      </c>
      <c r="R42" s="140">
        <f>VLOOKUP($D42,'[1]25년 5월경비'!$D:$M,R$1,FALSE)</f>
        <v>0</v>
      </c>
      <c r="S42" s="140">
        <f>VLOOKUP($D42,'[1]25년 5월경비'!$D:$M,S$1,FALSE)</f>
        <v>0</v>
      </c>
      <c r="T42" s="140">
        <f>VLOOKUP($D42,'[1]25년 5월경비'!$D:$M,T$1,FALSE)</f>
        <v>0</v>
      </c>
      <c r="U42" s="140">
        <f>VLOOKUP($D42,'[1]25년 5월경비'!$D:$M,U$1,FALSE)</f>
        <v>0</v>
      </c>
      <c r="V42" s="140">
        <f>VLOOKUP($D42,'[1]25년 5월경비'!$D:$M,V$1,FALSE)</f>
        <v>0</v>
      </c>
      <c r="W42" s="140">
        <f>VLOOKUP($D42,'[1]25년 5월경비'!$D:$M,W$1,FALSE)</f>
        <v>0</v>
      </c>
      <c r="X42" s="141">
        <f t="shared" si="29"/>
        <v>0</v>
      </c>
      <c r="Y42" s="142"/>
      <c r="Z42" s="144">
        <f t="shared" ref="Z42:AG44" si="39">E42-P42</f>
        <v>8567900</v>
      </c>
      <c r="AA42" s="140">
        <f t="shared" si="39"/>
        <v>0</v>
      </c>
      <c r="AB42" s="140">
        <f t="shared" si="39"/>
        <v>0</v>
      </c>
      <c r="AC42" s="140">
        <f t="shared" si="39"/>
        <v>0</v>
      </c>
      <c r="AD42" s="140">
        <f t="shared" si="39"/>
        <v>0</v>
      </c>
      <c r="AE42" s="140">
        <f t="shared" si="39"/>
        <v>0</v>
      </c>
      <c r="AF42" s="140">
        <f t="shared" si="39"/>
        <v>0</v>
      </c>
      <c r="AG42" s="140">
        <f t="shared" si="39"/>
        <v>0</v>
      </c>
      <c r="AH42" s="145"/>
      <c r="AI42" s="208"/>
      <c r="AJ42" s="147"/>
      <c r="AL42" s="147"/>
      <c r="AM42" s="147"/>
      <c r="AN42" s="146"/>
      <c r="AO42" s="146"/>
    </row>
    <row r="43" spans="1:41" s="135" customFormat="1" ht="28.5" customHeight="1">
      <c r="A43" s="275"/>
      <c r="B43" s="137">
        <v>21</v>
      </c>
      <c r="C43" s="149">
        <v>45425</v>
      </c>
      <c r="D43" s="138" t="s">
        <v>169</v>
      </c>
      <c r="E43" s="139">
        <f>VLOOKUP(D43,매출!C:J,8,0)</f>
        <v>56037950</v>
      </c>
      <c r="F43" s="140">
        <f>IFERROR(VLOOKUP($D43,매장경비정리!$C:$K,F$1,FALSE),0)</f>
        <v>0</v>
      </c>
      <c r="G43" s="140">
        <f>IFERROR(VLOOKUP($D43,매장경비정리!$C:$K,G$1,FALSE),0)</f>
        <v>0</v>
      </c>
      <c r="H43" s="140">
        <f>IFERROR(VLOOKUP($D43,매장경비정리!$C:$K,H$1,FALSE),0)</f>
        <v>0</v>
      </c>
      <c r="I43" s="140">
        <f>IFERROR(VLOOKUP($D43,매장경비정리!$C:$K,I$1,FALSE),0)</f>
        <v>0</v>
      </c>
      <c r="J43" s="140">
        <f>IFERROR(VLOOKUP($D43,매장경비정리!$C:$K,J$1,FALSE),0)</f>
        <v>0</v>
      </c>
      <c r="K43" s="140">
        <f>IFERROR(VLOOKUP($D43,매장경비정리!$C:$K,K$1,FALSE),0)</f>
        <v>0</v>
      </c>
      <c r="L43" s="140">
        <f t="shared" si="23"/>
        <v>0</v>
      </c>
      <c r="M43" s="141">
        <f t="shared" si="24"/>
        <v>0</v>
      </c>
      <c r="N43" s="142"/>
      <c r="O43"/>
      <c r="P43" s="143">
        <f>VLOOKUP($D43,'[1]25년 5월경비'!$D:$M,P$1,FALSE)</f>
        <v>51802400</v>
      </c>
      <c r="Q43" s="140">
        <f>VLOOKUP($D43,'[1]25년 5월경비'!$D:$M,Q$1,FALSE)</f>
        <v>0</v>
      </c>
      <c r="R43" s="140">
        <f>VLOOKUP($D43,'[1]25년 5월경비'!$D:$M,R$1,FALSE)</f>
        <v>0</v>
      </c>
      <c r="S43" s="140">
        <f>VLOOKUP($D43,'[1]25년 5월경비'!$D:$M,S$1,FALSE)</f>
        <v>0</v>
      </c>
      <c r="T43" s="140">
        <f>VLOOKUP($D43,'[1]25년 5월경비'!$D:$M,T$1,FALSE)</f>
        <v>0</v>
      </c>
      <c r="U43" s="140">
        <f>VLOOKUP($D43,'[1]25년 5월경비'!$D:$M,U$1,FALSE)</f>
        <v>0</v>
      </c>
      <c r="V43" s="140">
        <f>VLOOKUP($D43,'[1]25년 5월경비'!$D:$M,V$1,FALSE)</f>
        <v>0</v>
      </c>
      <c r="W43" s="140">
        <f>VLOOKUP($D43,'[1]25년 5월경비'!$D:$M,W$1,FALSE)</f>
        <v>0</v>
      </c>
      <c r="X43" s="141">
        <f t="shared" si="29"/>
        <v>0</v>
      </c>
      <c r="Y43" s="142"/>
      <c r="Z43" s="144">
        <f t="shared" si="39"/>
        <v>4235550</v>
      </c>
      <c r="AA43" s="140">
        <f t="shared" si="39"/>
        <v>0</v>
      </c>
      <c r="AB43" s="140">
        <f t="shared" si="39"/>
        <v>0</v>
      </c>
      <c r="AC43" s="140">
        <f t="shared" si="39"/>
        <v>0</v>
      </c>
      <c r="AD43" s="140">
        <f t="shared" si="39"/>
        <v>0</v>
      </c>
      <c r="AE43" s="140">
        <f t="shared" si="39"/>
        <v>0</v>
      </c>
      <c r="AF43" s="140">
        <f t="shared" si="39"/>
        <v>0</v>
      </c>
      <c r="AG43" s="140">
        <f t="shared" si="39"/>
        <v>0</v>
      </c>
      <c r="AH43" s="140"/>
      <c r="AI43" s="208"/>
      <c r="AJ43" s="146"/>
      <c r="AL43" s="146"/>
      <c r="AM43" s="146"/>
      <c r="AN43" s="146"/>
      <c r="AO43" s="146"/>
    </row>
    <row r="44" spans="1:41" s="135" customFormat="1" ht="28.5" customHeight="1">
      <c r="A44" s="276"/>
      <c r="B44" s="137">
        <v>22</v>
      </c>
      <c r="C44" s="149">
        <v>45418</v>
      </c>
      <c r="D44" s="138" t="s">
        <v>12</v>
      </c>
      <c r="E44" s="139">
        <f>VLOOKUP(D44,매출!C:J,8,0)</f>
        <v>90644770</v>
      </c>
      <c r="F44" s="140">
        <f>IFERROR(VLOOKUP($D44,매장경비정리!$C:$K,F$1,FALSE),0)</f>
        <v>0</v>
      </c>
      <c r="G44" s="140">
        <f>IFERROR(VLOOKUP($D44,매장경비정리!$C:$K,G$1,FALSE),0)</f>
        <v>0</v>
      </c>
      <c r="H44" s="140">
        <f>IFERROR(VLOOKUP($D44,매장경비정리!$C:$K,H$1,FALSE),0)</f>
        <v>0</v>
      </c>
      <c r="I44" s="140">
        <f>IFERROR(VLOOKUP($D44,매장경비정리!$C:$K,I$1,FALSE),0)</f>
        <v>0</v>
      </c>
      <c r="J44" s="140">
        <f>IFERROR(VLOOKUP($D44,매장경비정리!$C:$K,J$1,FALSE),0)</f>
        <v>0</v>
      </c>
      <c r="K44" s="140">
        <f>IFERROR(VLOOKUP($D44,매장경비정리!$C:$K,K$1,FALSE),0)</f>
        <v>0</v>
      </c>
      <c r="L44" s="140">
        <f t="shared" si="23"/>
        <v>0</v>
      </c>
      <c r="M44" s="141">
        <f t="shared" si="24"/>
        <v>0</v>
      </c>
      <c r="N44" s="142"/>
      <c r="O44"/>
      <c r="P44" s="143">
        <f>VLOOKUP($D44,'[1]25년 5월경비'!$D:$M,P$1,FALSE)</f>
        <v>90570540</v>
      </c>
      <c r="Q44" s="140">
        <f>VLOOKUP($D44,'[1]25년 5월경비'!$D:$M,Q$1,FALSE)</f>
        <v>0</v>
      </c>
      <c r="R44" s="140">
        <f>VLOOKUP($D44,'[1]25년 5월경비'!$D:$M,R$1,FALSE)</f>
        <v>0</v>
      </c>
      <c r="S44" s="140">
        <f>VLOOKUP($D44,'[1]25년 5월경비'!$D:$M,S$1,FALSE)</f>
        <v>0</v>
      </c>
      <c r="T44" s="140">
        <f>VLOOKUP($D44,'[1]25년 5월경비'!$D:$M,T$1,FALSE)</f>
        <v>0</v>
      </c>
      <c r="U44" s="140">
        <f>VLOOKUP($D44,'[1]25년 5월경비'!$D:$M,U$1,FALSE)</f>
        <v>0</v>
      </c>
      <c r="V44" s="140">
        <f>VLOOKUP($D44,'[1]25년 5월경비'!$D:$M,V$1,FALSE)</f>
        <v>0</v>
      </c>
      <c r="W44" s="140">
        <f>VLOOKUP($D44,'[1]25년 5월경비'!$D:$M,W$1,FALSE)</f>
        <v>0</v>
      </c>
      <c r="X44" s="141">
        <f t="shared" si="29"/>
        <v>0</v>
      </c>
      <c r="Y44" s="142"/>
      <c r="Z44" s="144">
        <f t="shared" si="39"/>
        <v>74230</v>
      </c>
      <c r="AA44" s="140">
        <f t="shared" si="39"/>
        <v>0</v>
      </c>
      <c r="AB44" s="140">
        <f t="shared" si="39"/>
        <v>0</v>
      </c>
      <c r="AC44" s="140">
        <f t="shared" si="39"/>
        <v>0</v>
      </c>
      <c r="AD44" s="140">
        <f t="shared" si="39"/>
        <v>0</v>
      </c>
      <c r="AE44" s="140">
        <f t="shared" si="39"/>
        <v>0</v>
      </c>
      <c r="AF44" s="140">
        <f t="shared" si="39"/>
        <v>0</v>
      </c>
      <c r="AG44" s="140">
        <f t="shared" si="39"/>
        <v>0</v>
      </c>
      <c r="AH44" s="145"/>
      <c r="AI44" s="208"/>
      <c r="AJ44" s="147"/>
      <c r="AL44" s="146"/>
      <c r="AM44" s="146"/>
      <c r="AN44" s="146"/>
      <c r="AO44" s="146"/>
    </row>
    <row r="45" spans="1:41" s="157" customFormat="1" ht="28.5" customHeight="1">
      <c r="A45" s="152"/>
      <c r="B45" s="152"/>
      <c r="C45" s="153"/>
      <c r="D45" s="152"/>
      <c r="E45" s="154">
        <f t="shared" ref="E45:L45" si="40">SUM(E23:E44)</f>
        <v>1733472680</v>
      </c>
      <c r="F45" s="154">
        <f t="shared" si="40"/>
        <v>1812800</v>
      </c>
      <c r="G45" s="154">
        <f t="shared" si="40"/>
        <v>372</v>
      </c>
      <c r="H45" s="154">
        <f t="shared" si="40"/>
        <v>722100</v>
      </c>
      <c r="I45" s="154">
        <f t="shared" si="40"/>
        <v>178</v>
      </c>
      <c r="J45" s="154">
        <f t="shared" si="40"/>
        <v>118800</v>
      </c>
      <c r="K45" s="154">
        <f t="shared" si="40"/>
        <v>11</v>
      </c>
      <c r="L45" s="154">
        <f t="shared" si="40"/>
        <v>2653700</v>
      </c>
      <c r="M45" s="155">
        <f t="shared" si="24"/>
        <v>1.5308577000475139E-3</v>
      </c>
      <c r="N45" s="156"/>
      <c r="O45"/>
      <c r="P45" s="154">
        <f t="shared" ref="P45:W45" si="41">SUM(P23:P44)</f>
        <v>1491989973</v>
      </c>
      <c r="Q45" s="154">
        <f t="shared" si="41"/>
        <v>1446650</v>
      </c>
      <c r="R45" s="154">
        <f t="shared" si="41"/>
        <v>263</v>
      </c>
      <c r="S45" s="154">
        <f t="shared" si="41"/>
        <v>1146170</v>
      </c>
      <c r="T45" s="154">
        <f t="shared" si="41"/>
        <v>274</v>
      </c>
      <c r="U45" s="154">
        <f t="shared" si="41"/>
        <v>130700</v>
      </c>
      <c r="V45" s="154">
        <f t="shared" si="41"/>
        <v>10</v>
      </c>
      <c r="W45" s="154">
        <f t="shared" si="41"/>
        <v>2723520</v>
      </c>
      <c r="X45" s="155">
        <f t="shared" si="29"/>
        <v>1.8254278174026307E-3</v>
      </c>
      <c r="Y45" s="156"/>
      <c r="Z45" s="154">
        <f t="shared" ref="Z45:AG45" si="42">SUM(Z23:Z44)</f>
        <v>241482707</v>
      </c>
      <c r="AA45" s="154">
        <f t="shared" si="42"/>
        <v>366150</v>
      </c>
      <c r="AB45" s="154">
        <f t="shared" si="42"/>
        <v>109</v>
      </c>
      <c r="AC45" s="154">
        <f t="shared" si="42"/>
        <v>-424070</v>
      </c>
      <c r="AD45" s="154">
        <f t="shared" si="42"/>
        <v>-96</v>
      </c>
      <c r="AE45" s="154">
        <f t="shared" si="42"/>
        <v>-11900</v>
      </c>
      <c r="AF45" s="154">
        <f t="shared" si="42"/>
        <v>1</v>
      </c>
      <c r="AG45" s="154">
        <f t="shared" si="42"/>
        <v>-69820</v>
      </c>
      <c r="AH45" s="160"/>
      <c r="AI45" s="154"/>
      <c r="AJ45" s="154"/>
      <c r="AK45" s="121"/>
      <c r="AL45" s="154"/>
      <c r="AM45" s="154"/>
      <c r="AN45" s="154"/>
      <c r="AO45" s="154"/>
    </row>
    <row r="46" spans="1:41" ht="15" customHeight="1">
      <c r="L46" s="167"/>
      <c r="M46" s="167"/>
      <c r="N46" s="167"/>
      <c r="W46" s="167"/>
      <c r="X46" s="167"/>
      <c r="Y46" s="167"/>
      <c r="AA46" s="167"/>
      <c r="AB46" s="167"/>
      <c r="AC46" s="167"/>
      <c r="AD46" s="167"/>
      <c r="AE46" s="167"/>
      <c r="AF46" s="167"/>
      <c r="AG46" s="167"/>
      <c r="AH46" s="168"/>
      <c r="AN46" s="135"/>
    </row>
    <row r="47" spans="1:41" s="135" customFormat="1" ht="39.75" customHeight="1">
      <c r="A47" s="124" t="s">
        <v>246</v>
      </c>
      <c r="B47" s="124" t="s">
        <v>354</v>
      </c>
      <c r="C47" s="122" t="s">
        <v>200</v>
      </c>
      <c r="D47" s="124" t="s">
        <v>2</v>
      </c>
      <c r="E47" s="124" t="s">
        <v>417</v>
      </c>
      <c r="F47" s="127" t="s">
        <v>3</v>
      </c>
      <c r="G47" s="127" t="s">
        <v>42</v>
      </c>
      <c r="H47" s="127" t="s">
        <v>4</v>
      </c>
      <c r="I47" s="127" t="s">
        <v>42</v>
      </c>
      <c r="J47" s="127" t="s">
        <v>5</v>
      </c>
      <c r="K47" s="127" t="s">
        <v>42</v>
      </c>
      <c r="L47" s="124" t="s">
        <v>6</v>
      </c>
      <c r="M47" s="122" t="s">
        <v>127</v>
      </c>
      <c r="N47" s="128"/>
      <c r="O47"/>
      <c r="P47" s="129" t="s">
        <v>418</v>
      </c>
      <c r="Q47" s="130" t="s">
        <v>3</v>
      </c>
      <c r="R47" s="130" t="s">
        <v>42</v>
      </c>
      <c r="S47" s="130" t="s">
        <v>4</v>
      </c>
      <c r="T47" s="130" t="s">
        <v>42</v>
      </c>
      <c r="U47" s="130" t="s">
        <v>5</v>
      </c>
      <c r="V47" s="130" t="s">
        <v>42</v>
      </c>
      <c r="W47" s="129" t="s">
        <v>6</v>
      </c>
      <c r="X47" s="131" t="s">
        <v>127</v>
      </c>
      <c r="Y47" s="128"/>
      <c r="Z47" s="132" t="s">
        <v>195</v>
      </c>
      <c r="AA47" s="133" t="s">
        <v>3</v>
      </c>
      <c r="AB47" s="133" t="s">
        <v>42</v>
      </c>
      <c r="AC47" s="133" t="s">
        <v>4</v>
      </c>
      <c r="AD47" s="133" t="s">
        <v>42</v>
      </c>
      <c r="AE47" s="133" t="s">
        <v>5</v>
      </c>
      <c r="AF47" s="133" t="s">
        <v>42</v>
      </c>
      <c r="AG47" s="132" t="s">
        <v>6</v>
      </c>
      <c r="AH47" s="134" t="s">
        <v>7</v>
      </c>
      <c r="AI47" s="124" t="s">
        <v>41</v>
      </c>
      <c r="AJ47" s="124" t="s">
        <v>103</v>
      </c>
      <c r="AL47" s="136" t="s">
        <v>123</v>
      </c>
      <c r="AM47" s="136" t="s">
        <v>124</v>
      </c>
      <c r="AN47" s="136" t="s">
        <v>126</v>
      </c>
      <c r="AO47" s="136" t="s">
        <v>125</v>
      </c>
    </row>
    <row r="48" spans="1:41" s="135" customFormat="1" ht="28.5" customHeight="1">
      <c r="A48" s="274" t="s">
        <v>247</v>
      </c>
      <c r="B48" s="137">
        <v>1</v>
      </c>
      <c r="C48" s="149">
        <v>45418</v>
      </c>
      <c r="D48" s="138" t="s">
        <v>65</v>
      </c>
      <c r="E48" s="139">
        <f>VLOOKUP(D48,매출!C:J,8,0)</f>
        <v>57108710</v>
      </c>
      <c r="F48" s="140">
        <f>IFERROR(VLOOKUP($D48,매장경비정리!$C:$K,F$1,FALSE),0)</f>
        <v>0</v>
      </c>
      <c r="G48" s="140">
        <f>IFERROR(VLOOKUP($D48,매장경비정리!$C:$K,G$1,FALSE),0)</f>
        <v>0</v>
      </c>
      <c r="H48" s="140">
        <f>IFERROR(VLOOKUP($D48,매장경비정리!$C:$K,H$1,FALSE),0)</f>
        <v>0</v>
      </c>
      <c r="I48" s="140">
        <f>IFERROR(VLOOKUP($D48,매장경비정리!$C:$K,I$1,FALSE),0)</f>
        <v>0</v>
      </c>
      <c r="J48" s="140">
        <f>IFERROR(VLOOKUP($D48,매장경비정리!$C:$K,J$1,FALSE),0)</f>
        <v>0</v>
      </c>
      <c r="K48" s="140">
        <f>IFERROR(VLOOKUP($D48,매장경비정리!$C:$K,K$1,FALSE),0)</f>
        <v>0</v>
      </c>
      <c r="L48" s="140">
        <f t="shared" ref="L48:L62" si="43">SUM(F48,H48,J48)</f>
        <v>0</v>
      </c>
      <c r="M48" s="141">
        <f>L48/E48</f>
        <v>0</v>
      </c>
      <c r="N48" s="142"/>
      <c r="O48"/>
      <c r="P48" s="143">
        <f>VLOOKUP($D48,'[1]25년 5월경비'!$D:$M,P$1,FALSE)</f>
        <v>50358830</v>
      </c>
      <c r="Q48" s="140">
        <f>VLOOKUP($D48,'[1]25년 5월경비'!$D:$M,Q$1,FALSE)</f>
        <v>0</v>
      </c>
      <c r="R48" s="140">
        <f>VLOOKUP($D48,'[1]25년 5월경비'!$D:$M,R$1,FALSE)</f>
        <v>0</v>
      </c>
      <c r="S48" s="140">
        <f>VLOOKUP($D48,'[1]25년 5월경비'!$D:$M,S$1,FALSE)</f>
        <v>0</v>
      </c>
      <c r="T48" s="140">
        <f>VLOOKUP($D48,'[1]25년 5월경비'!$D:$M,T$1,FALSE)</f>
        <v>0</v>
      </c>
      <c r="U48" s="140">
        <f>VLOOKUP($D48,'[1]25년 5월경비'!$D:$M,U$1,FALSE)</f>
        <v>0</v>
      </c>
      <c r="V48" s="140">
        <f>VLOOKUP($D48,'[1]25년 5월경비'!$D:$M,V$1,FALSE)</f>
        <v>0</v>
      </c>
      <c r="W48" s="140">
        <f>VLOOKUP($D48,'[1]25년 5월경비'!$D:$M,W$1,FALSE)</f>
        <v>0</v>
      </c>
      <c r="X48" s="141">
        <f t="shared" ref="X48" si="44">W48/P48</f>
        <v>0</v>
      </c>
      <c r="Y48" s="142"/>
      <c r="Z48" s="144">
        <f t="shared" ref="Z48:AG62" si="45">E48-P48</f>
        <v>6749880</v>
      </c>
      <c r="AA48" s="140">
        <f t="shared" si="45"/>
        <v>0</v>
      </c>
      <c r="AB48" s="140">
        <f t="shared" si="45"/>
        <v>0</v>
      </c>
      <c r="AC48" s="140">
        <f t="shared" si="45"/>
        <v>0</v>
      </c>
      <c r="AD48" s="140">
        <f t="shared" si="45"/>
        <v>0</v>
      </c>
      <c r="AE48" s="140">
        <f t="shared" si="45"/>
        <v>0</v>
      </c>
      <c r="AF48" s="140">
        <f t="shared" si="45"/>
        <v>0</v>
      </c>
      <c r="AG48" s="140">
        <f t="shared" si="45"/>
        <v>0</v>
      </c>
      <c r="AH48" s="145"/>
      <c r="AI48" s="208"/>
      <c r="AJ48" s="147"/>
      <c r="AL48" s="147"/>
      <c r="AM48" s="147"/>
      <c r="AN48" s="147"/>
      <c r="AO48" s="147"/>
    </row>
    <row r="49" spans="1:41" s="135" customFormat="1" ht="28.5" customHeight="1">
      <c r="A49" s="275"/>
      <c r="B49" s="137">
        <v>2</v>
      </c>
      <c r="C49" s="149">
        <v>45357</v>
      </c>
      <c r="D49" s="158" t="s">
        <v>27</v>
      </c>
      <c r="E49" s="139">
        <f>VLOOKUP(D49,매출!C:J,8,0)</f>
        <v>47415170</v>
      </c>
      <c r="F49" s="140">
        <f>IFERROR(VLOOKUP($D49,매장경비정리!$C:$K,F$1,FALSE),0)</f>
        <v>49000</v>
      </c>
      <c r="G49" s="140">
        <f>IFERROR(VLOOKUP($D49,매장경비정리!$C:$K,G$1,FALSE),0)</f>
        <v>13</v>
      </c>
      <c r="H49" s="140">
        <f>IFERROR(VLOOKUP($D49,매장경비정리!$C:$K,H$1,FALSE),0)</f>
        <v>91500</v>
      </c>
      <c r="I49" s="140">
        <f>IFERROR(VLOOKUP($D49,매장경비정리!$C:$K,I$1,FALSE),0)</f>
        <v>22</v>
      </c>
      <c r="J49" s="140">
        <f>IFERROR(VLOOKUP($D49,매장경비정리!$C:$K,J$1,FALSE),0)</f>
        <v>0</v>
      </c>
      <c r="K49" s="140">
        <f>IFERROR(VLOOKUP($D49,매장경비정리!$C:$K,K$1,FALSE),0)</f>
        <v>0</v>
      </c>
      <c r="L49" s="140">
        <f t="shared" si="43"/>
        <v>140500</v>
      </c>
      <c r="M49" s="141">
        <f>L49/E49</f>
        <v>2.9631866763316465E-3</v>
      </c>
      <c r="N49" s="142"/>
      <c r="O49"/>
      <c r="P49" s="143">
        <f>VLOOKUP($D49,'[1]25년 5월경비'!$D:$M,P$1,FALSE)</f>
        <v>35185850</v>
      </c>
      <c r="Q49" s="140">
        <f>VLOOKUP($D49,'[1]25년 5월경비'!$D:$M,Q$1,FALSE)</f>
        <v>54000</v>
      </c>
      <c r="R49" s="140">
        <f>VLOOKUP($D49,'[1]25년 5월경비'!$D:$M,R$1,FALSE)</f>
        <v>13</v>
      </c>
      <c r="S49" s="140">
        <f>VLOOKUP($D49,'[1]25년 5월경비'!$D:$M,S$1,FALSE)</f>
        <v>111170</v>
      </c>
      <c r="T49" s="140">
        <f>VLOOKUP($D49,'[1]25년 5월경비'!$D:$M,T$1,FALSE)</f>
        <v>28</v>
      </c>
      <c r="U49" s="140">
        <f>VLOOKUP($D49,'[1]25년 5월경비'!$D:$M,U$1,FALSE)</f>
        <v>0</v>
      </c>
      <c r="V49" s="140">
        <f>VLOOKUP($D49,'[1]25년 5월경비'!$D:$M,V$1,FALSE)</f>
        <v>0</v>
      </c>
      <c r="W49" s="140">
        <f>VLOOKUP($D49,'[1]25년 5월경비'!$D:$M,W$1,FALSE)</f>
        <v>165170</v>
      </c>
      <c r="X49" s="141">
        <f>W49/P49</f>
        <v>4.6942165671711783E-3</v>
      </c>
      <c r="Y49" s="142"/>
      <c r="Z49" s="144">
        <f t="shared" si="45"/>
        <v>12229320</v>
      </c>
      <c r="AA49" s="140">
        <f t="shared" si="45"/>
        <v>-5000</v>
      </c>
      <c r="AB49" s="140">
        <f t="shared" si="45"/>
        <v>0</v>
      </c>
      <c r="AC49" s="140">
        <f t="shared" si="45"/>
        <v>-19670</v>
      </c>
      <c r="AD49" s="140">
        <f t="shared" si="45"/>
        <v>-6</v>
      </c>
      <c r="AE49" s="140">
        <f t="shared" si="45"/>
        <v>0</v>
      </c>
      <c r="AF49" s="140">
        <f t="shared" si="45"/>
        <v>0</v>
      </c>
      <c r="AG49" s="140">
        <f t="shared" si="45"/>
        <v>-24670</v>
      </c>
      <c r="AH49" s="145"/>
      <c r="AI49" s="210"/>
      <c r="AJ49" s="147"/>
      <c r="AL49" s="147"/>
      <c r="AM49" s="146"/>
      <c r="AN49" s="147"/>
      <c r="AO49" s="147"/>
    </row>
    <row r="50" spans="1:41" s="135" customFormat="1" ht="28.5" customHeight="1">
      <c r="A50" s="275"/>
      <c r="B50" s="137">
        <v>3</v>
      </c>
      <c r="C50" s="149">
        <v>45357</v>
      </c>
      <c r="D50" s="138" t="s">
        <v>135</v>
      </c>
      <c r="E50" s="139">
        <f>VLOOKUP(D50,매출!C:J,8,0)</f>
        <v>80829040</v>
      </c>
      <c r="F50" s="140">
        <f>IFERROR(VLOOKUP($D50,매장경비정리!$C:$K,F$1,FALSE),0)</f>
        <v>137500</v>
      </c>
      <c r="G50" s="140">
        <f>IFERROR(VLOOKUP($D50,매장경비정리!$C:$K,G$1,FALSE),0)</f>
        <v>0</v>
      </c>
      <c r="H50" s="140">
        <f>IFERROR(VLOOKUP($D50,매장경비정리!$C:$K,H$1,FALSE),0)</f>
        <v>53500</v>
      </c>
      <c r="I50" s="140">
        <f>IFERROR(VLOOKUP($D50,매장경비정리!$C:$K,I$1,FALSE),0)</f>
        <v>12</v>
      </c>
      <c r="J50" s="140">
        <f>IFERROR(VLOOKUP($D50,매장경비정리!$C:$K,J$1,FALSE),0)</f>
        <v>5000</v>
      </c>
      <c r="K50" s="140">
        <f>IFERROR(VLOOKUP($D50,매장경비정리!$C:$K,K$1,FALSE),0)</f>
        <v>1</v>
      </c>
      <c r="L50" s="140">
        <f>SUM(F50,H50,J50)</f>
        <v>196000</v>
      </c>
      <c r="M50" s="141">
        <f>L50/E50</f>
        <v>2.4248710611928584E-3</v>
      </c>
      <c r="N50" s="142"/>
      <c r="O50"/>
      <c r="P50" s="143">
        <f>VLOOKUP($D50,'[1]25년 5월경비'!$D:$M,P$1,FALSE)</f>
        <v>57999990</v>
      </c>
      <c r="Q50" s="140">
        <f>VLOOKUP($D50,'[1]25년 5월경비'!$D:$M,Q$1,FALSE)</f>
        <v>129000</v>
      </c>
      <c r="R50" s="140">
        <f>VLOOKUP($D50,'[1]25년 5월경비'!$D:$M,R$1,FALSE)</f>
        <v>26</v>
      </c>
      <c r="S50" s="140">
        <f>VLOOKUP($D50,'[1]25년 5월경비'!$D:$M,S$1,FALSE)</f>
        <v>81500</v>
      </c>
      <c r="T50" s="140">
        <f>VLOOKUP($D50,'[1]25년 5월경비'!$D:$M,T$1,FALSE)</f>
        <v>19</v>
      </c>
      <c r="U50" s="140">
        <f>VLOOKUP($D50,'[1]25년 5월경비'!$D:$M,U$1,FALSE)</f>
        <v>5000</v>
      </c>
      <c r="V50" s="140">
        <f>VLOOKUP($D50,'[1]25년 5월경비'!$D:$M,V$1,FALSE)</f>
        <v>1</v>
      </c>
      <c r="W50" s="140">
        <f>VLOOKUP($D50,'[1]25년 5월경비'!$D:$M,W$1,FALSE)</f>
        <v>215500</v>
      </c>
      <c r="X50" s="141">
        <f>W50/P50</f>
        <v>3.7155178819858418E-3</v>
      </c>
      <c r="Y50" s="142"/>
      <c r="Z50" s="144">
        <f t="shared" si="45"/>
        <v>22829050</v>
      </c>
      <c r="AA50" s="140">
        <f t="shared" si="45"/>
        <v>8500</v>
      </c>
      <c r="AB50" s="140">
        <f t="shared" si="45"/>
        <v>-26</v>
      </c>
      <c r="AC50" s="140">
        <f t="shared" si="45"/>
        <v>-28000</v>
      </c>
      <c r="AD50" s="140">
        <f t="shared" si="45"/>
        <v>-7</v>
      </c>
      <c r="AE50" s="140">
        <f t="shared" si="45"/>
        <v>0</v>
      </c>
      <c r="AF50" s="140">
        <f t="shared" si="45"/>
        <v>0</v>
      </c>
      <c r="AG50" s="140">
        <f t="shared" si="45"/>
        <v>-19500</v>
      </c>
      <c r="AH50" s="148"/>
      <c r="AI50" s="210" t="s">
        <v>393</v>
      </c>
      <c r="AJ50" s="147"/>
      <c r="AL50" s="147"/>
      <c r="AM50" s="147"/>
      <c r="AN50" s="147"/>
      <c r="AO50" s="147"/>
    </row>
    <row r="51" spans="1:41" s="135" customFormat="1" ht="28.5" customHeight="1">
      <c r="A51" s="275"/>
      <c r="B51" s="137">
        <v>4</v>
      </c>
      <c r="C51" s="149">
        <v>45338</v>
      </c>
      <c r="D51" s="138" t="s">
        <v>95</v>
      </c>
      <c r="E51" s="139">
        <f>VLOOKUP(D51,매출!C:J,8,0)</f>
        <v>19497740</v>
      </c>
      <c r="F51" s="140">
        <f>IFERROR(VLOOKUP($D51,매장경비정리!$C:$K,F$1,FALSE),0)</f>
        <v>9500</v>
      </c>
      <c r="G51" s="140">
        <f>IFERROR(VLOOKUP($D51,매장경비정리!$C:$K,G$1,FALSE),0)</f>
        <v>2</v>
      </c>
      <c r="H51" s="140">
        <f>IFERROR(VLOOKUP($D51,매장경비정리!$C:$K,H$1,FALSE),0)</f>
        <v>98000</v>
      </c>
      <c r="I51" s="140">
        <f>IFERROR(VLOOKUP($D51,매장경비정리!$C:$K,I$1,FALSE),0)</f>
        <v>20</v>
      </c>
      <c r="J51" s="140">
        <f>IFERROR(VLOOKUP($D51,매장경비정리!$C:$K,J$1,FALSE),0)</f>
        <v>3500</v>
      </c>
      <c r="K51" s="140">
        <f>IFERROR(VLOOKUP($D51,매장경비정리!$C:$K,K$1,FALSE),0)</f>
        <v>1</v>
      </c>
      <c r="L51" s="140">
        <f t="shared" si="43"/>
        <v>111000</v>
      </c>
      <c r="M51" s="141">
        <f t="shared" ref="M51:M56" si="46">L51/E51</f>
        <v>5.6929674926427367E-3</v>
      </c>
      <c r="N51" s="142"/>
      <c r="O51"/>
      <c r="P51" s="143">
        <f>VLOOKUP($D51,'[1]25년 5월경비'!$D:$M,P$1,FALSE)</f>
        <v>24860060</v>
      </c>
      <c r="Q51" s="140">
        <f>VLOOKUP($D51,'[1]25년 5월경비'!$D:$M,Q$1,FALSE)</f>
        <v>4200</v>
      </c>
      <c r="R51" s="140">
        <f>VLOOKUP($D51,'[1]25년 5월경비'!$D:$M,R$1,FALSE)</f>
        <v>1</v>
      </c>
      <c r="S51" s="140">
        <f>VLOOKUP($D51,'[1]25년 5월경비'!$D:$M,S$1,FALSE)</f>
        <v>66100</v>
      </c>
      <c r="T51" s="140">
        <f>VLOOKUP($D51,'[1]25년 5월경비'!$D:$M,T$1,FALSE)</f>
        <v>16</v>
      </c>
      <c r="U51" s="140">
        <f>VLOOKUP($D51,'[1]25년 5월경비'!$D:$M,U$1,FALSE)</f>
        <v>3700</v>
      </c>
      <c r="V51" s="140">
        <f>VLOOKUP($D51,'[1]25년 5월경비'!$D:$M,V$1,FALSE)</f>
        <v>1</v>
      </c>
      <c r="W51" s="140">
        <f>VLOOKUP($D51,'[1]25년 5월경비'!$D:$M,W$1,FALSE)</f>
        <v>74000</v>
      </c>
      <c r="X51" s="141">
        <f t="shared" ref="X51:X63" si="47">W51/P51</f>
        <v>2.9766621641299337E-3</v>
      </c>
      <c r="Y51" s="142"/>
      <c r="Z51" s="144">
        <f t="shared" si="45"/>
        <v>-5362320</v>
      </c>
      <c r="AA51" s="140">
        <f t="shared" si="45"/>
        <v>5300</v>
      </c>
      <c r="AB51" s="140">
        <f t="shared" si="45"/>
        <v>1</v>
      </c>
      <c r="AC51" s="140">
        <f t="shared" si="45"/>
        <v>31900</v>
      </c>
      <c r="AD51" s="140">
        <f t="shared" si="45"/>
        <v>4</v>
      </c>
      <c r="AE51" s="140">
        <f t="shared" si="45"/>
        <v>-200</v>
      </c>
      <c r="AF51" s="140">
        <f t="shared" si="45"/>
        <v>0</v>
      </c>
      <c r="AG51" s="140">
        <f t="shared" si="45"/>
        <v>37000</v>
      </c>
      <c r="AH51" s="148"/>
      <c r="AI51" s="210"/>
      <c r="AJ51" s="159"/>
      <c r="AL51" s="147"/>
      <c r="AM51" s="146"/>
      <c r="AN51" s="146"/>
      <c r="AO51" s="147"/>
    </row>
    <row r="52" spans="1:41" s="135" customFormat="1" ht="28.5" customHeight="1">
      <c r="A52" s="275"/>
      <c r="B52" s="137">
        <v>5</v>
      </c>
      <c r="C52" s="149">
        <v>45411</v>
      </c>
      <c r="D52" s="138" t="s">
        <v>89</v>
      </c>
      <c r="E52" s="139">
        <f>VLOOKUP(D52,매출!C:J,8,0)</f>
        <v>47025330</v>
      </c>
      <c r="F52" s="140">
        <f>IFERROR(VLOOKUP($D52,매장경비정리!$C:$K,F$1,FALSE),0)</f>
        <v>49400</v>
      </c>
      <c r="G52" s="140">
        <f>IFERROR(VLOOKUP($D52,매장경비정리!$C:$K,G$1,FALSE),0)</f>
        <v>13</v>
      </c>
      <c r="H52" s="140">
        <f>IFERROR(VLOOKUP($D52,매장경비정리!$C:$K,H$1,FALSE),0)</f>
        <v>30500</v>
      </c>
      <c r="I52" s="140">
        <f>IFERROR(VLOOKUP($D52,매장경비정리!$C:$K,I$1,FALSE),0)</f>
        <v>8</v>
      </c>
      <c r="J52" s="140">
        <f>IFERROR(VLOOKUP($D52,매장경비정리!$C:$K,J$1,FALSE),0)</f>
        <v>0</v>
      </c>
      <c r="K52" s="140">
        <f>IFERROR(VLOOKUP($D52,매장경비정리!$C:$K,K$1,FALSE),0)</f>
        <v>0</v>
      </c>
      <c r="L52" s="140">
        <f t="shared" si="43"/>
        <v>79900</v>
      </c>
      <c r="M52" s="141">
        <f t="shared" si="46"/>
        <v>1.6990843020134043E-3</v>
      </c>
      <c r="N52" s="142"/>
      <c r="O52"/>
      <c r="P52" s="143">
        <f>VLOOKUP($D52,'[1]25년 5월경비'!$D:$M,P$1,FALSE)</f>
        <v>42165390</v>
      </c>
      <c r="Q52" s="140">
        <f>VLOOKUP($D52,'[1]25년 5월경비'!$D:$M,Q$1,FALSE)</f>
        <v>88000</v>
      </c>
      <c r="R52" s="140">
        <f>VLOOKUP($D52,'[1]25년 5월경비'!$D:$M,R$1,FALSE)</f>
        <v>22</v>
      </c>
      <c r="S52" s="140">
        <f>VLOOKUP($D52,'[1]25년 5월경비'!$D:$M,S$1,FALSE)</f>
        <v>102670</v>
      </c>
      <c r="T52" s="140">
        <f>VLOOKUP($D52,'[1]25년 5월경비'!$D:$M,T$1,FALSE)</f>
        <v>24</v>
      </c>
      <c r="U52" s="140">
        <f>VLOOKUP($D52,'[1]25년 5월경비'!$D:$M,U$1,FALSE)</f>
        <v>0</v>
      </c>
      <c r="V52" s="140">
        <f>VLOOKUP($D52,'[1]25년 5월경비'!$D:$M,V$1,FALSE)</f>
        <v>0</v>
      </c>
      <c r="W52" s="140">
        <f>VLOOKUP($D52,'[1]25년 5월경비'!$D:$M,W$1,FALSE)</f>
        <v>190670</v>
      </c>
      <c r="X52" s="141">
        <f t="shared" si="47"/>
        <v>4.5219550916047501E-3</v>
      </c>
      <c r="Y52" s="142"/>
      <c r="Z52" s="144">
        <f t="shared" si="45"/>
        <v>4859940</v>
      </c>
      <c r="AA52" s="140">
        <f t="shared" si="45"/>
        <v>-38600</v>
      </c>
      <c r="AB52" s="140">
        <f t="shared" si="45"/>
        <v>-9</v>
      </c>
      <c r="AC52" s="140">
        <f t="shared" si="45"/>
        <v>-72170</v>
      </c>
      <c r="AD52" s="140">
        <f t="shared" si="45"/>
        <v>-16</v>
      </c>
      <c r="AE52" s="140">
        <f t="shared" si="45"/>
        <v>0</v>
      </c>
      <c r="AF52" s="140">
        <f t="shared" si="45"/>
        <v>0</v>
      </c>
      <c r="AG52" s="140">
        <f t="shared" si="45"/>
        <v>-110770</v>
      </c>
      <c r="AH52" s="140"/>
      <c r="AI52" s="208"/>
      <c r="AJ52" s="146"/>
      <c r="AL52" s="147"/>
      <c r="AM52" s="147"/>
      <c r="AN52" s="147"/>
      <c r="AO52" s="147"/>
    </row>
    <row r="53" spans="1:41" s="135" customFormat="1" ht="28.5" customHeight="1">
      <c r="A53" s="275"/>
      <c r="B53" s="137">
        <v>6</v>
      </c>
      <c r="C53" s="149">
        <v>45418</v>
      </c>
      <c r="D53" s="138" t="s">
        <v>79</v>
      </c>
      <c r="E53" s="139">
        <f>VLOOKUP(D53,매출!C:J,8,0)</f>
        <v>92603710</v>
      </c>
      <c r="F53" s="140">
        <f>IFERROR(VLOOKUP($D53,매장경비정리!$C:$K,F$1,FALSE),0)</f>
        <v>0</v>
      </c>
      <c r="G53" s="140">
        <f>IFERROR(VLOOKUP($D53,매장경비정리!$C:$K,G$1,FALSE),0)</f>
        <v>0</v>
      </c>
      <c r="H53" s="140">
        <f>IFERROR(VLOOKUP($D53,매장경비정리!$C:$K,H$1,FALSE),0)</f>
        <v>0</v>
      </c>
      <c r="I53" s="140">
        <f>IFERROR(VLOOKUP($D53,매장경비정리!$C:$K,I$1,FALSE),0)</f>
        <v>0</v>
      </c>
      <c r="J53" s="140">
        <f>IFERROR(VLOOKUP($D53,매장경비정리!$C:$K,J$1,FALSE),0)</f>
        <v>0</v>
      </c>
      <c r="K53" s="140">
        <f>IFERROR(VLOOKUP($D53,매장경비정리!$C:$K,K$1,FALSE),0)</f>
        <v>0</v>
      </c>
      <c r="L53" s="140">
        <f t="shared" si="43"/>
        <v>0</v>
      </c>
      <c r="M53" s="141">
        <f t="shared" si="46"/>
        <v>0</v>
      </c>
      <c r="N53" s="142"/>
      <c r="O53"/>
      <c r="P53" s="143">
        <f>VLOOKUP($D53,'[1]25년 5월경비'!$D:$M,P$1,FALSE)</f>
        <v>89934950</v>
      </c>
      <c r="Q53" s="140">
        <f>VLOOKUP($D53,'[1]25년 5월경비'!$D:$M,Q$1,FALSE)</f>
        <v>0</v>
      </c>
      <c r="R53" s="140">
        <f>VLOOKUP($D53,'[1]25년 5월경비'!$D:$M,R$1,FALSE)</f>
        <v>0</v>
      </c>
      <c r="S53" s="140">
        <f>VLOOKUP($D53,'[1]25년 5월경비'!$D:$M,S$1,FALSE)</f>
        <v>0</v>
      </c>
      <c r="T53" s="140">
        <f>VLOOKUP($D53,'[1]25년 5월경비'!$D:$M,T$1,FALSE)</f>
        <v>0</v>
      </c>
      <c r="U53" s="140">
        <f>VLOOKUP($D53,'[1]25년 5월경비'!$D:$M,U$1,FALSE)</f>
        <v>0</v>
      </c>
      <c r="V53" s="140">
        <f>VLOOKUP($D53,'[1]25년 5월경비'!$D:$M,V$1,FALSE)</f>
        <v>0</v>
      </c>
      <c r="W53" s="140">
        <f>VLOOKUP($D53,'[1]25년 5월경비'!$D:$M,W$1,FALSE)</f>
        <v>0</v>
      </c>
      <c r="X53" s="141">
        <f t="shared" si="47"/>
        <v>0</v>
      </c>
      <c r="Y53" s="142"/>
      <c r="Z53" s="144">
        <f t="shared" si="45"/>
        <v>2668760</v>
      </c>
      <c r="AA53" s="140">
        <f t="shared" si="45"/>
        <v>0</v>
      </c>
      <c r="AB53" s="140">
        <f t="shared" si="45"/>
        <v>0</v>
      </c>
      <c r="AC53" s="140">
        <f t="shared" si="45"/>
        <v>0</v>
      </c>
      <c r="AD53" s="140">
        <f t="shared" si="45"/>
        <v>0</v>
      </c>
      <c r="AE53" s="140">
        <f t="shared" si="45"/>
        <v>0</v>
      </c>
      <c r="AF53" s="140">
        <f t="shared" si="45"/>
        <v>0</v>
      </c>
      <c r="AG53" s="140">
        <f t="shared" si="45"/>
        <v>0</v>
      </c>
      <c r="AH53" s="140"/>
      <c r="AI53" s="208"/>
      <c r="AJ53" s="146"/>
      <c r="AL53" s="147"/>
      <c r="AM53" s="147"/>
      <c r="AN53" s="147"/>
      <c r="AO53" s="147"/>
    </row>
    <row r="54" spans="1:41" s="135" customFormat="1" ht="28.5" customHeight="1">
      <c r="A54" s="275"/>
      <c r="B54" s="137">
        <v>7</v>
      </c>
      <c r="C54" s="149">
        <v>45418</v>
      </c>
      <c r="D54" s="138" t="s">
        <v>11</v>
      </c>
      <c r="E54" s="139">
        <f>VLOOKUP(D54,매출!C:J,8,0)</f>
        <v>113884530</v>
      </c>
      <c r="F54" s="140">
        <f>IFERROR(VLOOKUP($D54,매장경비정리!$C:$K,F$1,FALSE),0)</f>
        <v>0</v>
      </c>
      <c r="G54" s="140">
        <f>IFERROR(VLOOKUP($D54,매장경비정리!$C:$K,G$1,FALSE),0)</f>
        <v>0</v>
      </c>
      <c r="H54" s="140">
        <f>IFERROR(VLOOKUP($D54,매장경비정리!$C:$K,H$1,FALSE),0)</f>
        <v>0</v>
      </c>
      <c r="I54" s="140">
        <f>IFERROR(VLOOKUP($D54,매장경비정리!$C:$K,I$1,FALSE),0)</f>
        <v>0</v>
      </c>
      <c r="J54" s="140">
        <f>IFERROR(VLOOKUP($D54,매장경비정리!$C:$K,J$1,FALSE),0)</f>
        <v>0</v>
      </c>
      <c r="K54" s="140">
        <f>IFERROR(VLOOKUP($D54,매장경비정리!$C:$K,K$1,FALSE),0)</f>
        <v>0</v>
      </c>
      <c r="L54" s="140">
        <f t="shared" si="43"/>
        <v>0</v>
      </c>
      <c r="M54" s="141">
        <f t="shared" si="46"/>
        <v>0</v>
      </c>
      <c r="N54" s="142"/>
      <c r="O54"/>
      <c r="P54" s="143">
        <f>VLOOKUP($D54,'[1]25년 5월경비'!$D:$M,P$1,FALSE)</f>
        <v>110837850</v>
      </c>
      <c r="Q54" s="140">
        <f>VLOOKUP($D54,'[1]25년 5월경비'!$D:$M,Q$1,FALSE)</f>
        <v>0</v>
      </c>
      <c r="R54" s="140">
        <f>VLOOKUP($D54,'[1]25년 5월경비'!$D:$M,R$1,FALSE)</f>
        <v>0</v>
      </c>
      <c r="S54" s="140">
        <f>VLOOKUP($D54,'[1]25년 5월경비'!$D:$M,S$1,FALSE)</f>
        <v>0</v>
      </c>
      <c r="T54" s="140">
        <f>VLOOKUP($D54,'[1]25년 5월경비'!$D:$M,T$1,FALSE)</f>
        <v>0</v>
      </c>
      <c r="U54" s="140">
        <f>VLOOKUP($D54,'[1]25년 5월경비'!$D:$M,U$1,FALSE)</f>
        <v>0</v>
      </c>
      <c r="V54" s="140">
        <f>VLOOKUP($D54,'[1]25년 5월경비'!$D:$M,V$1,FALSE)</f>
        <v>0</v>
      </c>
      <c r="W54" s="140">
        <f>VLOOKUP($D54,'[1]25년 5월경비'!$D:$M,W$1,FALSE)</f>
        <v>0</v>
      </c>
      <c r="X54" s="141">
        <f t="shared" si="47"/>
        <v>0</v>
      </c>
      <c r="Y54" s="142"/>
      <c r="Z54" s="144">
        <f t="shared" si="45"/>
        <v>3046680</v>
      </c>
      <c r="AA54" s="140">
        <f t="shared" si="45"/>
        <v>0</v>
      </c>
      <c r="AB54" s="140">
        <f t="shared" si="45"/>
        <v>0</v>
      </c>
      <c r="AC54" s="140">
        <f t="shared" si="45"/>
        <v>0</v>
      </c>
      <c r="AD54" s="140">
        <f t="shared" si="45"/>
        <v>0</v>
      </c>
      <c r="AE54" s="140">
        <f t="shared" si="45"/>
        <v>0</v>
      </c>
      <c r="AF54" s="140">
        <f t="shared" si="45"/>
        <v>0</v>
      </c>
      <c r="AG54" s="140">
        <f t="shared" si="45"/>
        <v>0</v>
      </c>
      <c r="AH54" s="140"/>
      <c r="AI54" s="208"/>
      <c r="AJ54" s="146"/>
      <c r="AL54" s="146"/>
      <c r="AM54" s="146"/>
      <c r="AN54" s="146"/>
      <c r="AO54" s="146"/>
    </row>
    <row r="55" spans="1:41" s="135" customFormat="1" ht="28.5" customHeight="1">
      <c r="A55" s="275"/>
      <c r="B55" s="137">
        <v>8</v>
      </c>
      <c r="C55" s="149">
        <v>45432</v>
      </c>
      <c r="D55" s="138" t="s">
        <v>245</v>
      </c>
      <c r="E55" s="139">
        <f>VLOOKUP(D55,매출!C:J,8,0)</f>
        <v>36733150</v>
      </c>
      <c r="F55" s="140">
        <f>IFERROR(VLOOKUP($D55,매장경비정리!$C:$K,F$1,FALSE),0)</f>
        <v>119500</v>
      </c>
      <c r="G55" s="140">
        <f>IFERROR(VLOOKUP($D55,매장경비정리!$C:$K,G$1,FALSE),0)</f>
        <v>34</v>
      </c>
      <c r="H55" s="140">
        <f>IFERROR(VLOOKUP($D55,매장경비정리!$C:$K,H$1,FALSE),0)</f>
        <v>33800</v>
      </c>
      <c r="I55" s="140">
        <f>IFERROR(VLOOKUP($D55,매장경비정리!$C:$K,I$1,FALSE),0)</f>
        <v>9</v>
      </c>
      <c r="J55" s="140">
        <f>IFERROR(VLOOKUP($D55,매장경비정리!$C:$K,J$1,FALSE),0)</f>
        <v>103100</v>
      </c>
      <c r="K55" s="140">
        <f>IFERROR(VLOOKUP($D55,매장경비정리!$C:$K,K$1,FALSE),0)</f>
        <v>2</v>
      </c>
      <c r="L55" s="140">
        <f t="shared" si="43"/>
        <v>256400</v>
      </c>
      <c r="M55" s="141">
        <f t="shared" si="46"/>
        <v>6.9800711346562983E-3</v>
      </c>
      <c r="N55" s="142"/>
      <c r="O55"/>
      <c r="P55" s="143">
        <f>VLOOKUP($D55,'[1]25년 5월경비'!$D:$M,P$1,FALSE)</f>
        <v>33434150</v>
      </c>
      <c r="Q55" s="140">
        <f>VLOOKUP($D55,'[1]25년 5월경비'!$D:$M,Q$1,FALSE)</f>
        <v>0</v>
      </c>
      <c r="R55" s="140">
        <f>VLOOKUP($D55,'[1]25년 5월경비'!$D:$M,R$1,FALSE)</f>
        <v>0</v>
      </c>
      <c r="S55" s="140">
        <f>VLOOKUP($D55,'[1]25년 5월경비'!$D:$M,S$1,FALSE)</f>
        <v>26000</v>
      </c>
      <c r="T55" s="140">
        <f>VLOOKUP($D55,'[1]25년 5월경비'!$D:$M,T$1,FALSE)</f>
        <v>6</v>
      </c>
      <c r="U55" s="140">
        <f>VLOOKUP($D55,'[1]25년 5월경비'!$D:$M,U$1,FALSE)</f>
        <v>18000</v>
      </c>
      <c r="V55" s="140">
        <f>VLOOKUP($D55,'[1]25년 5월경비'!$D:$M,V$1,FALSE)</f>
        <v>2</v>
      </c>
      <c r="W55" s="140">
        <f>VLOOKUP($D55,'[1]25년 5월경비'!$D:$M,W$1,FALSE)</f>
        <v>44000</v>
      </c>
      <c r="X55" s="141">
        <f t="shared" si="47"/>
        <v>1.3160196984221223E-3</v>
      </c>
      <c r="Y55" s="142"/>
      <c r="Z55" s="144">
        <f t="shared" si="45"/>
        <v>3299000</v>
      </c>
      <c r="AA55" s="140">
        <f t="shared" si="45"/>
        <v>119500</v>
      </c>
      <c r="AB55" s="140">
        <f t="shared" si="45"/>
        <v>34</v>
      </c>
      <c r="AC55" s="140">
        <f t="shared" si="45"/>
        <v>7800</v>
      </c>
      <c r="AD55" s="140">
        <f t="shared" si="45"/>
        <v>3</v>
      </c>
      <c r="AE55" s="140">
        <f t="shared" si="45"/>
        <v>85100</v>
      </c>
      <c r="AF55" s="140">
        <f t="shared" si="45"/>
        <v>0</v>
      </c>
      <c r="AG55" s="140">
        <f t="shared" si="45"/>
        <v>212400</v>
      </c>
      <c r="AH55" s="145"/>
      <c r="AI55" s="216"/>
      <c r="AJ55" s="147"/>
      <c r="AL55" s="147"/>
      <c r="AM55" s="147"/>
      <c r="AN55" s="146"/>
      <c r="AO55" s="147"/>
    </row>
    <row r="56" spans="1:41" s="135" customFormat="1" ht="28.5" customHeight="1">
      <c r="A56" s="275"/>
      <c r="B56" s="137">
        <v>9</v>
      </c>
      <c r="C56" s="149">
        <v>45425</v>
      </c>
      <c r="D56" s="138" t="s">
        <v>87</v>
      </c>
      <c r="E56" s="139">
        <f>VLOOKUP(D56,매출!C:J,8,0)</f>
        <v>43425790</v>
      </c>
      <c r="F56" s="140">
        <f>IFERROR(VLOOKUP($D56,매장경비정리!$C:$K,F$1,FALSE),0)</f>
        <v>204500</v>
      </c>
      <c r="G56" s="140">
        <f>IFERROR(VLOOKUP($D56,매장경비정리!$C:$K,G$1,FALSE),0)</f>
        <v>37</v>
      </c>
      <c r="H56" s="140">
        <f>IFERROR(VLOOKUP($D56,매장경비정리!$C:$K,H$1,FALSE),0)</f>
        <v>37200</v>
      </c>
      <c r="I56" s="140">
        <f>IFERROR(VLOOKUP($D56,매장경비정리!$C:$K,I$1,FALSE),0)</f>
        <v>9</v>
      </c>
      <c r="J56" s="140">
        <f>IFERROR(VLOOKUP($D56,매장경비정리!$C:$K,J$1,FALSE),0)</f>
        <v>0</v>
      </c>
      <c r="K56" s="140">
        <f>IFERROR(VLOOKUP($D56,매장경비정리!$C:$K,K$1,FALSE),0)</f>
        <v>0</v>
      </c>
      <c r="L56" s="140">
        <f t="shared" si="43"/>
        <v>241700</v>
      </c>
      <c r="M56" s="141">
        <f t="shared" si="46"/>
        <v>5.5658169949239838E-3</v>
      </c>
      <c r="N56" s="142"/>
      <c r="O56"/>
      <c r="P56" s="143">
        <f>VLOOKUP($D56,'[1]25년 5월경비'!$D:$M,P$1,FALSE)</f>
        <v>32426830</v>
      </c>
      <c r="Q56" s="140">
        <f>VLOOKUP($D56,'[1]25년 5월경비'!$D:$M,Q$1,FALSE)</f>
        <v>0</v>
      </c>
      <c r="R56" s="140">
        <f>VLOOKUP($D56,'[1]25년 5월경비'!$D:$M,R$1,FALSE)</f>
        <v>0</v>
      </c>
      <c r="S56" s="140">
        <f>VLOOKUP($D56,'[1]25년 5월경비'!$D:$M,S$1,FALSE)</f>
        <v>0</v>
      </c>
      <c r="T56" s="140">
        <f>VLOOKUP($D56,'[1]25년 5월경비'!$D:$M,T$1,FALSE)</f>
        <v>0</v>
      </c>
      <c r="U56" s="140">
        <f>VLOOKUP($D56,'[1]25년 5월경비'!$D:$M,U$1,FALSE)</f>
        <v>0</v>
      </c>
      <c r="V56" s="140">
        <f>VLOOKUP($D56,'[1]25년 5월경비'!$D:$M,V$1,FALSE)</f>
        <v>0</v>
      </c>
      <c r="W56" s="140">
        <f>VLOOKUP($D56,'[1]25년 5월경비'!$D:$M,W$1,FALSE)</f>
        <v>0</v>
      </c>
      <c r="X56" s="141">
        <f t="shared" si="47"/>
        <v>0</v>
      </c>
      <c r="Y56" s="142"/>
      <c r="Z56" s="144">
        <f t="shared" si="45"/>
        <v>10998960</v>
      </c>
      <c r="AA56" s="140">
        <f t="shared" si="45"/>
        <v>204500</v>
      </c>
      <c r="AB56" s="140">
        <f t="shared" si="45"/>
        <v>37</v>
      </c>
      <c r="AC56" s="140">
        <f t="shared" si="45"/>
        <v>37200</v>
      </c>
      <c r="AD56" s="140">
        <f t="shared" si="45"/>
        <v>9</v>
      </c>
      <c r="AE56" s="140">
        <f t="shared" si="45"/>
        <v>0</v>
      </c>
      <c r="AF56" s="140">
        <f t="shared" si="45"/>
        <v>0</v>
      </c>
      <c r="AG56" s="140">
        <f t="shared" si="45"/>
        <v>241700</v>
      </c>
      <c r="AH56" s="140"/>
      <c r="AI56" s="208"/>
      <c r="AJ56" s="146"/>
      <c r="AL56" s="146"/>
      <c r="AM56" s="146"/>
      <c r="AN56" s="147"/>
      <c r="AO56" s="146"/>
    </row>
    <row r="57" spans="1:41" s="135" customFormat="1" ht="28.5" customHeight="1">
      <c r="A57" s="275"/>
      <c r="B57" s="137">
        <v>10</v>
      </c>
      <c r="C57" s="149">
        <v>45357</v>
      </c>
      <c r="D57" s="138" t="s">
        <v>132</v>
      </c>
      <c r="E57" s="139">
        <f>VLOOKUP(D57,매출!C:J,8,0)</f>
        <v>125031550</v>
      </c>
      <c r="F57" s="140">
        <f>IFERROR(VLOOKUP($D57,매장경비정리!$C:$K,F$1,FALSE),0)</f>
        <v>0</v>
      </c>
      <c r="G57" s="140">
        <f>IFERROR(VLOOKUP($D57,매장경비정리!$C:$K,G$1,FALSE),0)</f>
        <v>0</v>
      </c>
      <c r="H57" s="140">
        <f>IFERROR(VLOOKUP($D57,매장경비정리!$C:$K,H$1,FALSE),0)</f>
        <v>0</v>
      </c>
      <c r="I57" s="140">
        <f>IFERROR(VLOOKUP($D57,매장경비정리!$C:$K,I$1,FALSE),0)</f>
        <v>0</v>
      </c>
      <c r="J57" s="140">
        <f>IFERROR(VLOOKUP($D57,매장경비정리!$C:$K,J$1,FALSE),0)</f>
        <v>0</v>
      </c>
      <c r="K57" s="140">
        <f>IFERROR(VLOOKUP($D57,매장경비정리!$C:$K,K$1,FALSE),0)</f>
        <v>0</v>
      </c>
      <c r="L57" s="140">
        <f t="shared" si="43"/>
        <v>0</v>
      </c>
      <c r="M57" s="141">
        <f>L57/E57</f>
        <v>0</v>
      </c>
      <c r="N57" s="142"/>
      <c r="O57"/>
      <c r="P57" s="143">
        <f>VLOOKUP($D57,'[1]25년 5월경비'!$D:$M,P$1,FALSE)</f>
        <v>104625940</v>
      </c>
      <c r="Q57" s="140">
        <f>VLOOKUP($D57,'[1]25년 5월경비'!$D:$M,Q$1,FALSE)</f>
        <v>0</v>
      </c>
      <c r="R57" s="140">
        <f>VLOOKUP($D57,'[1]25년 5월경비'!$D:$M,R$1,FALSE)</f>
        <v>0</v>
      </c>
      <c r="S57" s="140">
        <f>VLOOKUP($D57,'[1]25년 5월경비'!$D:$M,S$1,FALSE)</f>
        <v>0</v>
      </c>
      <c r="T57" s="140">
        <f>VLOOKUP($D57,'[1]25년 5월경비'!$D:$M,T$1,FALSE)</f>
        <v>0</v>
      </c>
      <c r="U57" s="140">
        <f>VLOOKUP($D57,'[1]25년 5월경비'!$D:$M,U$1,FALSE)</f>
        <v>0</v>
      </c>
      <c r="V57" s="140">
        <f>VLOOKUP($D57,'[1]25년 5월경비'!$D:$M,V$1,FALSE)</f>
        <v>0</v>
      </c>
      <c r="W57" s="140">
        <f>VLOOKUP($D57,'[1]25년 5월경비'!$D:$M,W$1,FALSE)</f>
        <v>0</v>
      </c>
      <c r="X57" s="141">
        <f t="shared" si="47"/>
        <v>0</v>
      </c>
      <c r="Y57" s="142"/>
      <c r="Z57" s="144">
        <f t="shared" si="45"/>
        <v>20405610</v>
      </c>
      <c r="AA57" s="140">
        <f t="shared" si="45"/>
        <v>0</v>
      </c>
      <c r="AB57" s="140">
        <f t="shared" si="45"/>
        <v>0</v>
      </c>
      <c r="AC57" s="140">
        <f t="shared" si="45"/>
        <v>0</v>
      </c>
      <c r="AD57" s="140">
        <f t="shared" si="45"/>
        <v>0</v>
      </c>
      <c r="AE57" s="140">
        <f t="shared" si="45"/>
        <v>0</v>
      </c>
      <c r="AF57" s="140">
        <f t="shared" si="45"/>
        <v>0</v>
      </c>
      <c r="AG57" s="140">
        <f t="shared" si="45"/>
        <v>0</v>
      </c>
      <c r="AH57" s="140"/>
      <c r="AI57" s="208"/>
      <c r="AJ57" s="146"/>
      <c r="AL57" s="146"/>
      <c r="AM57" s="146"/>
      <c r="AN57" s="137"/>
      <c r="AO57" s="146"/>
    </row>
    <row r="58" spans="1:41" s="135" customFormat="1" ht="28.5" customHeight="1">
      <c r="A58" s="275"/>
      <c r="B58" s="137">
        <v>11</v>
      </c>
      <c r="C58" s="149">
        <v>45338</v>
      </c>
      <c r="D58" s="138" t="s">
        <v>69</v>
      </c>
      <c r="E58" s="139">
        <f>VLOOKUP(D58,매출!C:J,8,0)</f>
        <v>62000000</v>
      </c>
      <c r="F58" s="140">
        <f>IFERROR(VLOOKUP($D58,매장경비정리!$C:$K,F$1,FALSE),0)</f>
        <v>128000</v>
      </c>
      <c r="G58" s="140">
        <f>IFERROR(VLOOKUP($D58,매장경비정리!$C:$K,G$1,FALSE),0)</f>
        <v>31</v>
      </c>
      <c r="H58" s="140">
        <f>IFERROR(VLOOKUP($D58,매장경비정리!$C:$K,H$1,FALSE),0)</f>
        <v>79700</v>
      </c>
      <c r="I58" s="140">
        <f>IFERROR(VLOOKUP($D58,매장경비정리!$C:$K,I$1,FALSE),0)</f>
        <v>18</v>
      </c>
      <c r="J58" s="140">
        <f>IFERROR(VLOOKUP($D58,매장경비정리!$C:$K,J$1,FALSE),0)</f>
        <v>0</v>
      </c>
      <c r="K58" s="140">
        <f>IFERROR(VLOOKUP($D58,매장경비정리!$C:$K,K$1,FALSE),0)</f>
        <v>0</v>
      </c>
      <c r="L58" s="140">
        <f t="shared" si="43"/>
        <v>207700</v>
      </c>
      <c r="M58" s="141">
        <f t="shared" ref="M58" si="48">L58/E58</f>
        <v>3.3500000000000001E-3</v>
      </c>
      <c r="N58" s="142"/>
      <c r="O58"/>
      <c r="P58" s="143">
        <f>VLOOKUP($D58,'[1]25년 5월경비'!$D:$M,P$1,FALSE)</f>
        <v>45744570</v>
      </c>
      <c r="Q58" s="140">
        <f>VLOOKUP($D58,'[1]25년 5월경비'!$D:$M,Q$1,FALSE)</f>
        <v>142500</v>
      </c>
      <c r="R58" s="140">
        <f>VLOOKUP($D58,'[1]25년 5월경비'!$D:$M,R$1,FALSE)</f>
        <v>32</v>
      </c>
      <c r="S58" s="140">
        <f>VLOOKUP($D58,'[1]25년 5월경비'!$D:$M,S$1,FALSE)</f>
        <v>119400</v>
      </c>
      <c r="T58" s="140">
        <f>VLOOKUP($D58,'[1]25년 5월경비'!$D:$M,T$1,FALSE)</f>
        <v>26</v>
      </c>
      <c r="U58" s="140">
        <f>VLOOKUP($D58,'[1]25년 5월경비'!$D:$M,U$1,FALSE)</f>
        <v>10000</v>
      </c>
      <c r="V58" s="140">
        <f>VLOOKUP($D58,'[1]25년 5월경비'!$D:$M,V$1,FALSE)</f>
        <v>1</v>
      </c>
      <c r="W58" s="140">
        <f>VLOOKUP($D58,'[1]25년 5월경비'!$D:$M,W$1,FALSE)</f>
        <v>271900</v>
      </c>
      <c r="X58" s="141">
        <f t="shared" si="47"/>
        <v>5.9438748686456121E-3</v>
      </c>
      <c r="Y58" s="142"/>
      <c r="Z58" s="144">
        <f t="shared" si="45"/>
        <v>16255430</v>
      </c>
      <c r="AA58" s="140">
        <f t="shared" si="45"/>
        <v>-14500</v>
      </c>
      <c r="AB58" s="140">
        <f t="shared" si="45"/>
        <v>-1</v>
      </c>
      <c r="AC58" s="140">
        <f t="shared" si="45"/>
        <v>-39700</v>
      </c>
      <c r="AD58" s="140">
        <f t="shared" si="45"/>
        <v>-8</v>
      </c>
      <c r="AE58" s="140">
        <f t="shared" si="45"/>
        <v>-10000</v>
      </c>
      <c r="AF58" s="140">
        <f t="shared" si="45"/>
        <v>-1</v>
      </c>
      <c r="AG58" s="140">
        <f t="shared" si="45"/>
        <v>-64200</v>
      </c>
      <c r="AH58" s="151"/>
      <c r="AI58" s="210"/>
      <c r="AJ58" s="140"/>
      <c r="AL58" s="146"/>
      <c r="AM58" s="146"/>
      <c r="AN58" s="146"/>
      <c r="AO58" s="146"/>
    </row>
    <row r="59" spans="1:41" s="135" customFormat="1" ht="28.5" customHeight="1">
      <c r="A59" s="275"/>
      <c r="B59" s="137">
        <v>12</v>
      </c>
      <c r="C59" s="149">
        <v>45411</v>
      </c>
      <c r="D59" s="138" t="s">
        <v>104</v>
      </c>
      <c r="E59" s="139">
        <f>VLOOKUP(D59,매출!C:J,8,0)</f>
        <v>113477660</v>
      </c>
      <c r="F59" s="140">
        <f>IFERROR(VLOOKUP($D59,매장경비정리!$C:$K,F$1,FALSE),0)</f>
        <v>0</v>
      </c>
      <c r="G59" s="140">
        <f>IFERROR(VLOOKUP($D59,매장경비정리!$C:$K,G$1,FALSE),0)</f>
        <v>0</v>
      </c>
      <c r="H59" s="140">
        <f>IFERROR(VLOOKUP($D59,매장경비정리!$C:$K,H$1,FALSE),0)</f>
        <v>0</v>
      </c>
      <c r="I59" s="140">
        <f>IFERROR(VLOOKUP($D59,매장경비정리!$C:$K,I$1,FALSE),0)</f>
        <v>0</v>
      </c>
      <c r="J59" s="140">
        <f>IFERROR(VLOOKUP($D59,매장경비정리!$C:$K,J$1,FALSE),0)</f>
        <v>0</v>
      </c>
      <c r="K59" s="140">
        <f>IFERROR(VLOOKUP($D59,매장경비정리!$C:$K,K$1,FALSE),0)</f>
        <v>0</v>
      </c>
      <c r="L59" s="140">
        <f t="shared" si="43"/>
        <v>0</v>
      </c>
      <c r="M59" s="141">
        <f t="shared" ref="M59:M63" si="49">L59/E59</f>
        <v>0</v>
      </c>
      <c r="N59" s="142"/>
      <c r="O59"/>
      <c r="P59" s="143">
        <f>VLOOKUP($D59,'[1]25년 5월경비'!$D:$M,P$1,FALSE)</f>
        <v>104027390</v>
      </c>
      <c r="Q59" s="140">
        <f>VLOOKUP($D59,'[1]25년 5월경비'!$D:$M,Q$1,FALSE)</f>
        <v>0</v>
      </c>
      <c r="R59" s="140">
        <f>VLOOKUP($D59,'[1]25년 5월경비'!$D:$M,R$1,FALSE)</f>
        <v>0</v>
      </c>
      <c r="S59" s="140">
        <f>VLOOKUP($D59,'[1]25년 5월경비'!$D:$M,S$1,FALSE)</f>
        <v>0</v>
      </c>
      <c r="T59" s="140">
        <f>VLOOKUP($D59,'[1]25년 5월경비'!$D:$M,T$1,FALSE)</f>
        <v>0</v>
      </c>
      <c r="U59" s="140">
        <f>VLOOKUP($D59,'[1]25년 5월경비'!$D:$M,U$1,FALSE)</f>
        <v>0</v>
      </c>
      <c r="V59" s="140">
        <f>VLOOKUP($D59,'[1]25년 5월경비'!$D:$M,V$1,FALSE)</f>
        <v>0</v>
      </c>
      <c r="W59" s="140">
        <f>VLOOKUP($D59,'[1]25년 5월경비'!$D:$M,W$1,FALSE)</f>
        <v>0</v>
      </c>
      <c r="X59" s="141">
        <f t="shared" si="47"/>
        <v>0</v>
      </c>
      <c r="Y59" s="142"/>
      <c r="Z59" s="144">
        <f t="shared" si="45"/>
        <v>9450270</v>
      </c>
      <c r="AA59" s="140">
        <f t="shared" si="45"/>
        <v>0</v>
      </c>
      <c r="AB59" s="140">
        <f t="shared" si="45"/>
        <v>0</v>
      </c>
      <c r="AC59" s="140">
        <f t="shared" si="45"/>
        <v>0</v>
      </c>
      <c r="AD59" s="140">
        <f t="shared" si="45"/>
        <v>0</v>
      </c>
      <c r="AE59" s="140">
        <f t="shared" si="45"/>
        <v>0</v>
      </c>
      <c r="AF59" s="140">
        <f t="shared" si="45"/>
        <v>0</v>
      </c>
      <c r="AG59" s="140">
        <f t="shared" si="45"/>
        <v>0</v>
      </c>
      <c r="AH59" s="140"/>
      <c r="AI59" s="208"/>
      <c r="AJ59" s="146"/>
      <c r="AL59" s="147"/>
      <c r="AM59" s="147"/>
      <c r="AN59" s="147"/>
      <c r="AO59" s="147"/>
    </row>
    <row r="60" spans="1:41" s="135" customFormat="1" ht="28.5" customHeight="1">
      <c r="A60" s="275"/>
      <c r="B60" s="137">
        <v>13</v>
      </c>
      <c r="C60" s="149">
        <v>45432</v>
      </c>
      <c r="D60" s="138" t="s">
        <v>170</v>
      </c>
      <c r="E60" s="139">
        <f>VLOOKUP(D60,매출!C:J,8,0)</f>
        <v>43238250</v>
      </c>
      <c r="F60" s="140">
        <f>IFERROR(VLOOKUP($D60,매장경비정리!$C:$K,F$1,FALSE),0)</f>
        <v>154495</v>
      </c>
      <c r="G60" s="140">
        <f>IFERROR(VLOOKUP($D60,매장경비정리!$C:$K,G$1,FALSE),0)</f>
        <v>35</v>
      </c>
      <c r="H60" s="140">
        <f>IFERROR(VLOOKUP($D60,매장경비정리!$C:$K,H$1,FALSE),0)</f>
        <v>68495</v>
      </c>
      <c r="I60" s="140">
        <f>IFERROR(VLOOKUP($D60,매장경비정리!$C:$K,I$1,FALSE),0)</f>
        <v>16</v>
      </c>
      <c r="J60" s="140">
        <f>IFERROR(VLOOKUP($D60,매장경비정리!$C:$K,J$1,FALSE),0)</f>
        <v>0</v>
      </c>
      <c r="K60" s="140">
        <f>IFERROR(VLOOKUP($D60,매장경비정리!$C:$K,K$1,FALSE),0)</f>
        <v>0</v>
      </c>
      <c r="L60" s="140">
        <f t="shared" si="43"/>
        <v>222990</v>
      </c>
      <c r="M60" s="141">
        <f t="shared" si="49"/>
        <v>5.1572392499696449E-3</v>
      </c>
      <c r="N60" s="142"/>
      <c r="O60"/>
      <c r="P60" s="143">
        <f>VLOOKUP($D60,'[1]25년 5월경비'!$D:$M,P$1,FALSE)</f>
        <v>40317340</v>
      </c>
      <c r="Q60" s="140">
        <f>VLOOKUP($D60,'[1]25년 5월경비'!$D:$M,Q$1,FALSE)</f>
        <v>100265</v>
      </c>
      <c r="R60" s="140">
        <f>VLOOKUP($D60,'[1]25년 5월경비'!$D:$M,R$1,FALSE)</f>
        <v>22</v>
      </c>
      <c r="S60" s="140">
        <f>VLOOKUP($D60,'[1]25년 5월경비'!$D:$M,S$1,FALSE)</f>
        <v>47020</v>
      </c>
      <c r="T60" s="140">
        <f>VLOOKUP($D60,'[1]25년 5월경비'!$D:$M,T$1,FALSE)</f>
        <v>12</v>
      </c>
      <c r="U60" s="140">
        <f>VLOOKUP($D60,'[1]25년 5월경비'!$D:$M,U$1,FALSE)</f>
        <v>44000</v>
      </c>
      <c r="V60" s="140">
        <f>VLOOKUP($D60,'[1]25년 5월경비'!$D:$M,V$1,FALSE)</f>
        <v>2</v>
      </c>
      <c r="W60" s="140">
        <f>VLOOKUP($D60,'[1]25년 5월경비'!$D:$M,W$1,FALSE)</f>
        <v>191285</v>
      </c>
      <c r="X60" s="141">
        <f t="shared" si="47"/>
        <v>4.7444846311785454E-3</v>
      </c>
      <c r="Y60" s="142"/>
      <c r="Z60" s="144">
        <f t="shared" si="45"/>
        <v>2920910</v>
      </c>
      <c r="AA60" s="140">
        <f t="shared" si="45"/>
        <v>54230</v>
      </c>
      <c r="AB60" s="140">
        <f t="shared" si="45"/>
        <v>13</v>
      </c>
      <c r="AC60" s="140">
        <f t="shared" si="45"/>
        <v>21475</v>
      </c>
      <c r="AD60" s="140">
        <f t="shared" si="45"/>
        <v>4</v>
      </c>
      <c r="AE60" s="140">
        <f t="shared" si="45"/>
        <v>-44000</v>
      </c>
      <c r="AF60" s="140">
        <f t="shared" si="45"/>
        <v>-2</v>
      </c>
      <c r="AG60" s="140">
        <f t="shared" si="45"/>
        <v>31705</v>
      </c>
      <c r="AH60" s="140"/>
      <c r="AI60" s="208"/>
      <c r="AJ60" s="146"/>
      <c r="AL60" s="146"/>
      <c r="AM60" s="146"/>
      <c r="AN60" s="146"/>
      <c r="AO60" s="146"/>
    </row>
    <row r="61" spans="1:41" s="135" customFormat="1" ht="28.5" customHeight="1">
      <c r="A61" s="275"/>
      <c r="B61" s="137">
        <v>14</v>
      </c>
      <c r="C61" s="149">
        <v>45357</v>
      </c>
      <c r="D61" s="138" t="s">
        <v>84</v>
      </c>
      <c r="E61" s="139">
        <f>VLOOKUP(D61,매출!C:J,8,0)</f>
        <v>51827930</v>
      </c>
      <c r="F61" s="140">
        <f>IFERROR(VLOOKUP($D61,매장경비정리!$C:$K,F$1,FALSE),0)</f>
        <v>195000</v>
      </c>
      <c r="G61" s="140">
        <f>IFERROR(VLOOKUP($D61,매장경비정리!$C:$K,G$1,FALSE),0)</f>
        <v>35</v>
      </c>
      <c r="H61" s="140">
        <f>IFERROR(VLOOKUP($D61,매장경비정리!$C:$K,H$1,FALSE),0)</f>
        <v>54000</v>
      </c>
      <c r="I61" s="140">
        <f>IFERROR(VLOOKUP($D61,매장경비정리!$C:$K,I$1,FALSE),0)</f>
        <v>13</v>
      </c>
      <c r="J61" s="140">
        <f>IFERROR(VLOOKUP($D61,매장경비정리!$C:$K,J$1,FALSE),0)</f>
        <v>0</v>
      </c>
      <c r="K61" s="140">
        <f>IFERROR(VLOOKUP($D61,매장경비정리!$C:$K,K$1,FALSE),0)</f>
        <v>0</v>
      </c>
      <c r="L61" s="140">
        <f t="shared" si="43"/>
        <v>249000</v>
      </c>
      <c r="M61" s="141">
        <f t="shared" si="49"/>
        <v>4.8043593483282085E-3</v>
      </c>
      <c r="N61" s="142"/>
      <c r="O61"/>
      <c r="P61" s="143">
        <f>VLOOKUP($D61,'[1]25년 5월경비'!$D:$M,P$1,FALSE)</f>
        <v>48585120</v>
      </c>
      <c r="Q61" s="140">
        <f>VLOOKUP($D61,'[1]25년 5월경비'!$D:$M,Q$1,FALSE)</f>
        <v>132000</v>
      </c>
      <c r="R61" s="140">
        <f>VLOOKUP($D61,'[1]25년 5월경비'!$D:$M,R$1,FALSE)</f>
        <v>23</v>
      </c>
      <c r="S61" s="140">
        <f>VLOOKUP($D61,'[1]25년 5월경비'!$D:$M,S$1,FALSE)</f>
        <v>48000</v>
      </c>
      <c r="T61" s="140">
        <f>VLOOKUP($D61,'[1]25년 5월경비'!$D:$M,T$1,FALSE)</f>
        <v>12</v>
      </c>
      <c r="U61" s="140">
        <f>VLOOKUP($D61,'[1]25년 5월경비'!$D:$M,U$1,FALSE)</f>
        <v>0</v>
      </c>
      <c r="V61" s="140">
        <f>VLOOKUP($D61,'[1]25년 5월경비'!$D:$M,V$1,FALSE)</f>
        <v>0</v>
      </c>
      <c r="W61" s="140">
        <f>VLOOKUP($D61,'[1]25년 5월경비'!$D:$M,W$1,FALSE)</f>
        <v>180000</v>
      </c>
      <c r="X61" s="141">
        <f t="shared" si="47"/>
        <v>3.7048380244815698E-3</v>
      </c>
      <c r="Y61" s="142"/>
      <c r="Z61" s="144">
        <f t="shared" si="45"/>
        <v>3242810</v>
      </c>
      <c r="AA61" s="140">
        <f t="shared" si="45"/>
        <v>63000</v>
      </c>
      <c r="AB61" s="140">
        <f t="shared" si="45"/>
        <v>12</v>
      </c>
      <c r="AC61" s="140">
        <f t="shared" si="45"/>
        <v>6000</v>
      </c>
      <c r="AD61" s="140">
        <f t="shared" si="45"/>
        <v>1</v>
      </c>
      <c r="AE61" s="140">
        <f t="shared" si="45"/>
        <v>0</v>
      </c>
      <c r="AF61" s="140">
        <f t="shared" si="45"/>
        <v>0</v>
      </c>
      <c r="AG61" s="140">
        <f t="shared" si="45"/>
        <v>69000</v>
      </c>
      <c r="AH61" s="140"/>
      <c r="AI61" s="208"/>
      <c r="AJ61" s="146"/>
      <c r="AL61" s="146"/>
      <c r="AM61" s="146"/>
      <c r="AN61" s="146"/>
      <c r="AO61" s="146"/>
    </row>
    <row r="62" spans="1:41" s="135" customFormat="1" ht="28.5" customHeight="1">
      <c r="A62" s="276"/>
      <c r="B62" s="137">
        <v>15</v>
      </c>
      <c r="C62" s="149">
        <v>45404</v>
      </c>
      <c r="D62" s="138" t="s">
        <v>86</v>
      </c>
      <c r="E62" s="139">
        <f>VLOOKUP(D62,매출!C:J,8,0)</f>
        <v>73026250</v>
      </c>
      <c r="F62" s="140">
        <f>IFERROR(VLOOKUP($D62,매장경비정리!$C:$K,F$1,FALSE),0)</f>
        <v>0</v>
      </c>
      <c r="G62" s="140">
        <f>IFERROR(VLOOKUP($D62,매장경비정리!$C:$K,G$1,FALSE),0)</f>
        <v>0</v>
      </c>
      <c r="H62" s="140">
        <f>IFERROR(VLOOKUP($D62,매장경비정리!$C:$K,H$1,FALSE),0)</f>
        <v>0</v>
      </c>
      <c r="I62" s="140">
        <f>IFERROR(VLOOKUP($D62,매장경비정리!$C:$K,I$1,FALSE),0)</f>
        <v>0</v>
      </c>
      <c r="J62" s="140">
        <f>IFERROR(VLOOKUP($D62,매장경비정리!$C:$K,J$1,FALSE),0)</f>
        <v>0</v>
      </c>
      <c r="K62" s="140">
        <f>IFERROR(VLOOKUP($D62,매장경비정리!$C:$K,K$1,FALSE),0)</f>
        <v>0</v>
      </c>
      <c r="L62" s="140">
        <f t="shared" si="43"/>
        <v>0</v>
      </c>
      <c r="M62" s="141">
        <f t="shared" si="49"/>
        <v>0</v>
      </c>
      <c r="N62" s="142"/>
      <c r="O62"/>
      <c r="P62" s="143">
        <f>VLOOKUP($D62,'[1]25년 5월경비'!$D:$M,P$1,FALSE)</f>
        <v>58837250</v>
      </c>
      <c r="Q62" s="140">
        <f>VLOOKUP($D62,'[1]25년 5월경비'!$D:$M,Q$1,FALSE)</f>
        <v>0</v>
      </c>
      <c r="R62" s="140">
        <f>VLOOKUP($D62,'[1]25년 5월경비'!$D:$M,R$1,FALSE)</f>
        <v>0</v>
      </c>
      <c r="S62" s="140">
        <f>VLOOKUP($D62,'[1]25년 5월경비'!$D:$M,S$1,FALSE)</f>
        <v>0</v>
      </c>
      <c r="T62" s="140">
        <f>VLOOKUP($D62,'[1]25년 5월경비'!$D:$M,T$1,FALSE)</f>
        <v>0</v>
      </c>
      <c r="U62" s="140">
        <f>VLOOKUP($D62,'[1]25년 5월경비'!$D:$M,U$1,FALSE)</f>
        <v>0</v>
      </c>
      <c r="V62" s="140">
        <f>VLOOKUP($D62,'[1]25년 5월경비'!$D:$M,V$1,FALSE)</f>
        <v>0</v>
      </c>
      <c r="W62" s="140">
        <f>VLOOKUP($D62,'[1]25년 5월경비'!$D:$M,W$1,FALSE)</f>
        <v>0</v>
      </c>
      <c r="X62" s="141">
        <f t="shared" si="47"/>
        <v>0</v>
      </c>
      <c r="Y62" s="142"/>
      <c r="Z62" s="144">
        <f t="shared" si="45"/>
        <v>14189000</v>
      </c>
      <c r="AA62" s="140">
        <f t="shared" si="45"/>
        <v>0</v>
      </c>
      <c r="AB62" s="140">
        <f t="shared" si="45"/>
        <v>0</v>
      </c>
      <c r="AC62" s="140">
        <f t="shared" si="45"/>
        <v>0</v>
      </c>
      <c r="AD62" s="140">
        <f t="shared" si="45"/>
        <v>0</v>
      </c>
      <c r="AE62" s="140">
        <f t="shared" si="45"/>
        <v>0</v>
      </c>
      <c r="AF62" s="140">
        <f t="shared" si="45"/>
        <v>0</v>
      </c>
      <c r="AG62" s="140">
        <f t="shared" si="45"/>
        <v>0</v>
      </c>
      <c r="AH62" s="148"/>
      <c r="AI62" s="208"/>
      <c r="AJ62" s="147"/>
      <c r="AL62" s="147"/>
      <c r="AM62" s="147"/>
      <c r="AN62" s="147"/>
      <c r="AO62" s="162"/>
    </row>
    <row r="63" spans="1:41" s="157" customFormat="1" ht="28.5" customHeight="1">
      <c r="A63" s="152"/>
      <c r="B63" s="152"/>
      <c r="C63" s="153"/>
      <c r="D63" s="152"/>
      <c r="E63" s="154">
        <f t="shared" ref="E63:L63" si="50">SUM(E48:E62)</f>
        <v>1007124810</v>
      </c>
      <c r="F63" s="154">
        <f t="shared" si="50"/>
        <v>1046895</v>
      </c>
      <c r="G63" s="154">
        <f t="shared" si="50"/>
        <v>200</v>
      </c>
      <c r="H63" s="154">
        <f t="shared" si="50"/>
        <v>546695</v>
      </c>
      <c r="I63" s="154">
        <f t="shared" si="50"/>
        <v>127</v>
      </c>
      <c r="J63" s="154">
        <f t="shared" si="50"/>
        <v>111600</v>
      </c>
      <c r="K63" s="154">
        <f t="shared" si="50"/>
        <v>4</v>
      </c>
      <c r="L63" s="154">
        <f t="shared" si="50"/>
        <v>1705190</v>
      </c>
      <c r="M63" s="155">
        <f t="shared" si="49"/>
        <v>1.693126793291886E-3</v>
      </c>
      <c r="N63" s="156"/>
      <c r="O63"/>
      <c r="P63" s="154">
        <f t="shared" ref="P63:W63" si="51">SUM(P48:P62)</f>
        <v>879341510</v>
      </c>
      <c r="Q63" s="154">
        <f t="shared" si="51"/>
        <v>649965</v>
      </c>
      <c r="R63" s="154">
        <f t="shared" si="51"/>
        <v>139</v>
      </c>
      <c r="S63" s="154">
        <f t="shared" si="51"/>
        <v>601860</v>
      </c>
      <c r="T63" s="154">
        <f t="shared" si="51"/>
        <v>143</v>
      </c>
      <c r="U63" s="154">
        <f t="shared" si="51"/>
        <v>80700</v>
      </c>
      <c r="V63" s="154">
        <f t="shared" si="51"/>
        <v>7</v>
      </c>
      <c r="W63" s="154">
        <f t="shared" si="51"/>
        <v>1332525</v>
      </c>
      <c r="X63" s="155">
        <f t="shared" si="47"/>
        <v>1.5153668794732548E-3</v>
      </c>
      <c r="Y63" s="156"/>
      <c r="Z63" s="154">
        <f t="shared" ref="Z63:AG63" si="52">SUM(Z48:Z62)</f>
        <v>127783300</v>
      </c>
      <c r="AA63" s="154">
        <f t="shared" si="52"/>
        <v>396930</v>
      </c>
      <c r="AB63" s="154">
        <f t="shared" si="52"/>
        <v>61</v>
      </c>
      <c r="AC63" s="154">
        <f t="shared" si="52"/>
        <v>-55165</v>
      </c>
      <c r="AD63" s="154">
        <f t="shared" si="52"/>
        <v>-16</v>
      </c>
      <c r="AE63" s="154">
        <f t="shared" si="52"/>
        <v>30900</v>
      </c>
      <c r="AF63" s="154">
        <f t="shared" si="52"/>
        <v>-3</v>
      </c>
      <c r="AG63" s="154">
        <f t="shared" si="52"/>
        <v>372665</v>
      </c>
      <c r="AH63" s="154"/>
      <c r="AI63" s="211"/>
      <c r="AJ63" s="154"/>
      <c r="AK63" s="121"/>
      <c r="AL63" s="154"/>
      <c r="AM63" s="154"/>
      <c r="AN63" s="154"/>
      <c r="AO63" s="154"/>
    </row>
    <row r="64" spans="1:41" ht="15" customHeight="1">
      <c r="L64" s="167"/>
      <c r="M64" s="167"/>
      <c r="N64" s="167"/>
      <c r="W64" s="167"/>
      <c r="X64" s="167"/>
      <c r="Y64" s="167"/>
      <c r="AA64" s="167"/>
      <c r="AB64" s="167"/>
      <c r="AC64" s="167"/>
      <c r="AD64" s="167"/>
      <c r="AE64" s="167"/>
      <c r="AF64" s="167"/>
      <c r="AG64" s="167"/>
      <c r="AH64" s="168"/>
      <c r="AN64" s="135"/>
    </row>
    <row r="65" spans="1:41" s="135" customFormat="1" ht="39.75" customHeight="1">
      <c r="A65" s="124" t="s">
        <v>246</v>
      </c>
      <c r="B65" s="124" t="s">
        <v>354</v>
      </c>
      <c r="C65" s="122" t="s">
        <v>200</v>
      </c>
      <c r="D65" s="124" t="s">
        <v>2</v>
      </c>
      <c r="E65" s="124" t="s">
        <v>417</v>
      </c>
      <c r="F65" s="127" t="s">
        <v>3</v>
      </c>
      <c r="G65" s="127" t="s">
        <v>42</v>
      </c>
      <c r="H65" s="127" t="s">
        <v>4</v>
      </c>
      <c r="I65" s="127" t="s">
        <v>42</v>
      </c>
      <c r="J65" s="127" t="s">
        <v>5</v>
      </c>
      <c r="K65" s="127" t="s">
        <v>42</v>
      </c>
      <c r="L65" s="124" t="s">
        <v>6</v>
      </c>
      <c r="M65" s="122" t="s">
        <v>127</v>
      </c>
      <c r="N65" s="128"/>
      <c r="O65"/>
      <c r="P65" s="129" t="s">
        <v>418</v>
      </c>
      <c r="Q65" s="130" t="s">
        <v>3</v>
      </c>
      <c r="R65" s="130" t="s">
        <v>42</v>
      </c>
      <c r="S65" s="130" t="s">
        <v>4</v>
      </c>
      <c r="T65" s="130" t="s">
        <v>42</v>
      </c>
      <c r="U65" s="130" t="s">
        <v>5</v>
      </c>
      <c r="V65" s="130" t="s">
        <v>42</v>
      </c>
      <c r="W65" s="129" t="s">
        <v>6</v>
      </c>
      <c r="X65" s="131" t="s">
        <v>127</v>
      </c>
      <c r="Y65" s="128"/>
      <c r="Z65" s="132" t="s">
        <v>195</v>
      </c>
      <c r="AA65" s="133" t="s">
        <v>3</v>
      </c>
      <c r="AB65" s="133" t="s">
        <v>42</v>
      </c>
      <c r="AC65" s="133" t="s">
        <v>4</v>
      </c>
      <c r="AD65" s="133" t="s">
        <v>42</v>
      </c>
      <c r="AE65" s="133" t="s">
        <v>5</v>
      </c>
      <c r="AF65" s="133" t="s">
        <v>42</v>
      </c>
      <c r="AG65" s="132" t="s">
        <v>6</v>
      </c>
      <c r="AH65" s="134" t="s">
        <v>7</v>
      </c>
      <c r="AI65" s="124" t="s">
        <v>41</v>
      </c>
      <c r="AJ65" s="124" t="s">
        <v>103</v>
      </c>
      <c r="AL65" s="136" t="s">
        <v>123</v>
      </c>
      <c r="AM65" s="136" t="s">
        <v>124</v>
      </c>
      <c r="AN65" s="136" t="s">
        <v>126</v>
      </c>
      <c r="AO65" s="136" t="s">
        <v>125</v>
      </c>
    </row>
    <row r="66" spans="1:41" s="135" customFormat="1" ht="28.5" customHeight="1">
      <c r="A66" s="275" t="s">
        <v>429</v>
      </c>
      <c r="B66" s="137">
        <v>1</v>
      </c>
      <c r="C66" s="149">
        <v>45404</v>
      </c>
      <c r="D66" s="138" t="s">
        <v>24</v>
      </c>
      <c r="E66" s="139">
        <f>VLOOKUP(D66,매출!C:J,8,0)</f>
        <v>39681790</v>
      </c>
      <c r="F66" s="140">
        <f>IFERROR(VLOOKUP($D66,매장경비정리!$C:$K,F$1,FALSE),0)</f>
        <v>46000</v>
      </c>
      <c r="G66" s="140">
        <f>IFERROR(VLOOKUP($D66,매장경비정리!$C:$K,G$1,FALSE),0)</f>
        <v>8</v>
      </c>
      <c r="H66" s="140">
        <f>IFERROR(VLOOKUP($D66,매장경비정리!$C:$K,H$1,FALSE),0)</f>
        <v>60500</v>
      </c>
      <c r="I66" s="140">
        <f>IFERROR(VLOOKUP($D66,매장경비정리!$C:$K,I$1,FALSE),0)</f>
        <v>15</v>
      </c>
      <c r="J66" s="140">
        <f>IFERROR(VLOOKUP($D66,매장경비정리!$C:$K,J$1,FALSE),0)</f>
        <v>22000</v>
      </c>
      <c r="K66" s="140">
        <f>IFERROR(VLOOKUP($D66,매장경비정리!$C:$K,K$1,FALSE),0)</f>
        <v>1</v>
      </c>
      <c r="L66" s="140">
        <f>SUM(F66,H66,J66)</f>
        <v>128500</v>
      </c>
      <c r="M66" s="141">
        <f>L66/E66</f>
        <v>3.2382611772301603E-3</v>
      </c>
      <c r="N66" s="142"/>
      <c r="O66"/>
      <c r="P66" s="143">
        <f>VLOOKUP($D66,'[1]25년 5월경비'!$D:$M,P$1,FALSE)</f>
        <v>39779970</v>
      </c>
      <c r="Q66" s="140">
        <f>VLOOKUP($D66,'[1]25년 5월경비'!$D:$M,Q$1,FALSE)</f>
        <v>24000</v>
      </c>
      <c r="R66" s="140">
        <f>VLOOKUP($D66,'[1]25년 5월경비'!$D:$M,R$1,FALSE)</f>
        <v>6</v>
      </c>
      <c r="S66" s="140">
        <f>VLOOKUP($D66,'[1]25년 5월경비'!$D:$M,S$1,FALSE)</f>
        <v>75500</v>
      </c>
      <c r="T66" s="140">
        <f>VLOOKUP($D66,'[1]25년 5월경비'!$D:$M,T$1,FALSE)</f>
        <v>19</v>
      </c>
      <c r="U66" s="140">
        <f>VLOOKUP($D66,'[1]25년 5월경비'!$D:$M,U$1,FALSE)</f>
        <v>0</v>
      </c>
      <c r="V66" s="140">
        <f>VLOOKUP($D66,'[1]25년 5월경비'!$D:$M,V$1,FALSE)</f>
        <v>0</v>
      </c>
      <c r="W66" s="140">
        <f>VLOOKUP($D66,'[1]25년 5월경비'!$D:$M,W$1,FALSE)</f>
        <v>99500</v>
      </c>
      <c r="X66" s="141">
        <f>W66/P66</f>
        <v>2.501258799340472E-3</v>
      </c>
      <c r="Y66" s="142"/>
      <c r="Z66" s="144">
        <f t="shared" ref="Z66:AG77" si="53">E66-P66</f>
        <v>-98180</v>
      </c>
      <c r="AA66" s="140">
        <f t="shared" si="53"/>
        <v>22000</v>
      </c>
      <c r="AB66" s="140">
        <f t="shared" si="53"/>
        <v>2</v>
      </c>
      <c r="AC66" s="140">
        <f t="shared" si="53"/>
        <v>-15000</v>
      </c>
      <c r="AD66" s="140">
        <f t="shared" si="53"/>
        <v>-4</v>
      </c>
      <c r="AE66" s="140">
        <f t="shared" si="53"/>
        <v>22000</v>
      </c>
      <c r="AF66" s="140">
        <f t="shared" si="53"/>
        <v>1</v>
      </c>
      <c r="AG66" s="140">
        <f t="shared" si="53"/>
        <v>29000</v>
      </c>
      <c r="AH66" s="148"/>
      <c r="AI66" s="213"/>
      <c r="AJ66" s="147"/>
      <c r="AL66" s="147"/>
      <c r="AM66" s="147"/>
      <c r="AN66" s="150"/>
      <c r="AO66" s="150"/>
    </row>
    <row r="67" spans="1:41" s="135" customFormat="1" ht="28.5" customHeight="1">
      <c r="A67" s="275"/>
      <c r="B67" s="137">
        <v>2</v>
      </c>
      <c r="C67" s="149">
        <v>45404</v>
      </c>
      <c r="D67" s="138" t="s">
        <v>131</v>
      </c>
      <c r="E67" s="139">
        <f>VLOOKUP(D67,매출!C:J,8,0)</f>
        <v>90833470</v>
      </c>
      <c r="F67" s="140">
        <f>IFERROR(VLOOKUP($D67,매장경비정리!$C:$K,F$1,FALSE),0)</f>
        <v>231600</v>
      </c>
      <c r="G67" s="140">
        <f>IFERROR(VLOOKUP($D67,매장경비정리!$C:$K,G$1,FALSE),0)</f>
        <v>47</v>
      </c>
      <c r="H67" s="140">
        <f>IFERROR(VLOOKUP($D67,매장경비정리!$C:$K,H$1,FALSE),0)</f>
        <v>56000</v>
      </c>
      <c r="I67" s="140">
        <f>IFERROR(VLOOKUP($D67,매장경비정리!$C:$K,I$1,FALSE),0)</f>
        <v>14</v>
      </c>
      <c r="J67" s="140">
        <f>IFERROR(VLOOKUP($D67,매장경비정리!$C:$K,J$1,FALSE),0)</f>
        <v>0</v>
      </c>
      <c r="K67" s="140">
        <f>IFERROR(VLOOKUP($D67,매장경비정리!$C:$K,K$1,FALSE),0)</f>
        <v>0</v>
      </c>
      <c r="L67" s="140">
        <f t="shared" ref="L67" si="54">SUM(F67,H67,J67)</f>
        <v>287600</v>
      </c>
      <c r="M67" s="141">
        <f t="shared" ref="M67" si="55">L67/E67</f>
        <v>3.1662337682354311E-3</v>
      </c>
      <c r="N67" s="142"/>
      <c r="O67"/>
      <c r="P67" s="143">
        <f>VLOOKUP($D67,'[1]25년 5월경비'!$D:$M,P$1,FALSE)</f>
        <v>63247500</v>
      </c>
      <c r="Q67" s="140">
        <f>VLOOKUP($D67,'[1]25년 5월경비'!$D:$M,Q$1,FALSE)</f>
        <v>67500</v>
      </c>
      <c r="R67" s="140">
        <f>VLOOKUP($D67,'[1]25년 5월경비'!$D:$M,R$1,FALSE)</f>
        <v>8</v>
      </c>
      <c r="S67" s="140">
        <f>VLOOKUP($D67,'[1]25년 5월경비'!$D:$M,S$1,FALSE)</f>
        <v>101500</v>
      </c>
      <c r="T67" s="140">
        <f>VLOOKUP($D67,'[1]25년 5월경비'!$D:$M,T$1,FALSE)</f>
        <v>20</v>
      </c>
      <c r="U67" s="140">
        <f>VLOOKUP($D67,'[1]25년 5월경비'!$D:$M,U$1,FALSE)</f>
        <v>0</v>
      </c>
      <c r="V67" s="140">
        <f>VLOOKUP($D67,'[1]25년 5월경비'!$D:$M,V$1,FALSE)</f>
        <v>0</v>
      </c>
      <c r="W67" s="140">
        <f>VLOOKUP($D67,'[1]25년 5월경비'!$D:$M,W$1,FALSE)</f>
        <v>169000</v>
      </c>
      <c r="X67" s="141">
        <f t="shared" ref="X67" si="56">W67/P67</f>
        <v>2.6720423732163327E-3</v>
      </c>
      <c r="Y67" s="142"/>
      <c r="Z67" s="144">
        <f t="shared" si="53"/>
        <v>27585970</v>
      </c>
      <c r="AA67" s="140">
        <f t="shared" si="53"/>
        <v>164100</v>
      </c>
      <c r="AB67" s="140">
        <f t="shared" si="53"/>
        <v>39</v>
      </c>
      <c r="AC67" s="140">
        <f t="shared" si="53"/>
        <v>-45500</v>
      </c>
      <c r="AD67" s="140">
        <f t="shared" si="53"/>
        <v>-6</v>
      </c>
      <c r="AE67" s="140">
        <f t="shared" si="53"/>
        <v>0</v>
      </c>
      <c r="AF67" s="140">
        <f t="shared" si="53"/>
        <v>0</v>
      </c>
      <c r="AG67" s="140">
        <f t="shared" si="53"/>
        <v>118600</v>
      </c>
      <c r="AH67" s="145"/>
      <c r="AI67" s="208"/>
      <c r="AJ67" s="147"/>
      <c r="AL67" s="147"/>
      <c r="AM67" s="147"/>
      <c r="AN67" s="147"/>
      <c r="AO67" s="147"/>
    </row>
    <row r="68" spans="1:41" s="135" customFormat="1" ht="28.5" customHeight="1">
      <c r="A68" s="275"/>
      <c r="B68" s="137">
        <v>3</v>
      </c>
      <c r="C68" s="149">
        <v>45418</v>
      </c>
      <c r="D68" s="138" t="s">
        <v>19</v>
      </c>
      <c r="E68" s="139">
        <f>VLOOKUP(D68,매출!C:J,8,0)</f>
        <v>28664640</v>
      </c>
      <c r="F68" s="140">
        <f>IFERROR(VLOOKUP($D68,매장경비정리!$C:$K,F$1,FALSE),0)</f>
        <v>21000</v>
      </c>
      <c r="G68" s="140">
        <f>IFERROR(VLOOKUP($D68,매장경비정리!$C:$K,G$1,FALSE),0)</f>
        <v>2</v>
      </c>
      <c r="H68" s="140">
        <f>IFERROR(VLOOKUP($D68,매장경비정리!$C:$K,H$1,FALSE),0)</f>
        <v>38500</v>
      </c>
      <c r="I68" s="140">
        <f>IFERROR(VLOOKUP($D68,매장경비정리!$C:$K,I$1,FALSE),0)</f>
        <v>10</v>
      </c>
      <c r="J68" s="140">
        <f>IFERROR(VLOOKUP($D68,매장경비정리!$C:$K,J$1,FALSE),0)</f>
        <v>6500</v>
      </c>
      <c r="K68" s="140">
        <f>IFERROR(VLOOKUP($D68,매장경비정리!$C:$K,K$1,FALSE),0)</f>
        <v>2</v>
      </c>
      <c r="L68" s="140">
        <f>SUM(F68,H68,J68)</f>
        <v>66000</v>
      </c>
      <c r="M68" s="141">
        <f>L68/E68</f>
        <v>2.3024883619679158E-3</v>
      </c>
      <c r="N68" s="142"/>
      <c r="O68"/>
      <c r="P68" s="143">
        <f>VLOOKUP($D68,'[1]25년 5월경비'!$D:$M,P$1,FALSE)</f>
        <v>28347300</v>
      </c>
      <c r="Q68" s="140">
        <f>VLOOKUP($D68,'[1]25년 5월경비'!$D:$M,Q$1,FALSE)</f>
        <v>20000</v>
      </c>
      <c r="R68" s="140">
        <f>VLOOKUP($D68,'[1]25년 5월경비'!$D:$M,R$1,FALSE)</f>
        <v>3</v>
      </c>
      <c r="S68" s="140">
        <f>VLOOKUP($D68,'[1]25년 5월경비'!$D:$M,S$1,FALSE)</f>
        <v>12000</v>
      </c>
      <c r="T68" s="140">
        <f>VLOOKUP($D68,'[1]25년 5월경비'!$D:$M,T$1,FALSE)</f>
        <v>3</v>
      </c>
      <c r="U68" s="140">
        <f>VLOOKUP($D68,'[1]25년 5월경비'!$D:$M,U$1,FALSE)</f>
        <v>45300</v>
      </c>
      <c r="V68" s="140">
        <f>VLOOKUP($D68,'[1]25년 5월경비'!$D:$M,V$1,FALSE)</f>
        <v>3</v>
      </c>
      <c r="W68" s="140">
        <f>VLOOKUP($D68,'[1]25년 5월경비'!$D:$M,W$1,FALSE)</f>
        <v>77300</v>
      </c>
      <c r="X68" s="141">
        <f>W68/P68</f>
        <v>2.7268910972120803E-3</v>
      </c>
      <c r="Y68" s="142"/>
      <c r="Z68" s="144">
        <f t="shared" si="53"/>
        <v>317340</v>
      </c>
      <c r="AA68" s="140">
        <f t="shared" si="53"/>
        <v>1000</v>
      </c>
      <c r="AB68" s="140">
        <f t="shared" si="53"/>
        <v>-1</v>
      </c>
      <c r="AC68" s="140">
        <f t="shared" si="53"/>
        <v>26500</v>
      </c>
      <c r="AD68" s="140">
        <f t="shared" si="53"/>
        <v>7</v>
      </c>
      <c r="AE68" s="140">
        <f t="shared" si="53"/>
        <v>-38800</v>
      </c>
      <c r="AF68" s="140">
        <f t="shared" si="53"/>
        <v>-1</v>
      </c>
      <c r="AG68" s="140">
        <f t="shared" si="53"/>
        <v>-11300</v>
      </c>
      <c r="AH68" s="145"/>
      <c r="AI68" s="208"/>
      <c r="AJ68" s="147"/>
      <c r="AL68" s="147"/>
      <c r="AM68" s="147"/>
      <c r="AN68" s="147"/>
      <c r="AO68" s="147"/>
    </row>
    <row r="69" spans="1:41" s="135" customFormat="1" ht="28.5" customHeight="1">
      <c r="A69" s="275"/>
      <c r="B69" s="137">
        <v>4</v>
      </c>
      <c r="C69" s="149">
        <v>45432</v>
      </c>
      <c r="D69" s="138" t="s">
        <v>31</v>
      </c>
      <c r="E69" s="139">
        <f>VLOOKUP(D69,매출!C:J,8,0)</f>
        <v>53086040</v>
      </c>
      <c r="F69" s="140">
        <f>IFERROR(VLOOKUP($D69,매장경비정리!$C:$K,F$1,FALSE),0)</f>
        <v>125500</v>
      </c>
      <c r="G69" s="140">
        <f>IFERROR(VLOOKUP($D69,매장경비정리!$C:$K,G$1,FALSE),0)</f>
        <v>30</v>
      </c>
      <c r="H69" s="140">
        <f>IFERROR(VLOOKUP($D69,매장경비정리!$C:$K,H$1,FALSE),0)</f>
        <v>23500</v>
      </c>
      <c r="I69" s="140">
        <f>IFERROR(VLOOKUP($D69,매장경비정리!$C:$K,I$1,FALSE),0)</f>
        <v>6</v>
      </c>
      <c r="J69" s="140">
        <f>IFERROR(VLOOKUP($D69,매장경비정리!$C:$K,J$1,FALSE),0)</f>
        <v>0</v>
      </c>
      <c r="K69" s="140">
        <f>IFERROR(VLOOKUP($D69,매장경비정리!$C:$K,K$1,FALSE),0)</f>
        <v>0</v>
      </c>
      <c r="L69" s="140">
        <f t="shared" ref="L69:L75" si="57">SUM(F69,H69,J69)</f>
        <v>149000</v>
      </c>
      <c r="M69" s="141">
        <f t="shared" ref="M69:M75" si="58">L69/E69</f>
        <v>2.8067642642020389E-3</v>
      </c>
      <c r="N69" s="142"/>
      <c r="O69"/>
      <c r="P69" s="143">
        <f>VLOOKUP($D69,'[1]25년 5월경비'!$D:$M,P$1,FALSE)</f>
        <v>64459740</v>
      </c>
      <c r="Q69" s="140">
        <f>VLOOKUP($D69,'[1]25년 5월경비'!$D:$M,Q$1,FALSE)</f>
        <v>257500</v>
      </c>
      <c r="R69" s="140">
        <f>VLOOKUP($D69,'[1]25년 5월경비'!$D:$M,R$1,FALSE)</f>
        <v>56</v>
      </c>
      <c r="S69" s="140">
        <f>VLOOKUP($D69,'[1]25년 5월경비'!$D:$M,S$1,FALSE)</f>
        <v>18500</v>
      </c>
      <c r="T69" s="140">
        <f>VLOOKUP($D69,'[1]25년 5월경비'!$D:$M,T$1,FALSE)</f>
        <v>4</v>
      </c>
      <c r="U69" s="140">
        <f>VLOOKUP($D69,'[1]25년 5월경비'!$D:$M,U$1,FALSE)</f>
        <v>0</v>
      </c>
      <c r="V69" s="140">
        <f>VLOOKUP($D69,'[1]25년 5월경비'!$D:$M,V$1,FALSE)</f>
        <v>0</v>
      </c>
      <c r="W69" s="140">
        <f>VLOOKUP($D69,'[1]25년 5월경비'!$D:$M,W$1,FALSE)</f>
        <v>276000</v>
      </c>
      <c r="X69" s="141">
        <f t="shared" ref="X69:X75" si="59">W69/P69</f>
        <v>4.2817423712847736E-3</v>
      </c>
      <c r="Y69" s="142"/>
      <c r="Z69" s="144">
        <f t="shared" si="53"/>
        <v>-11373700</v>
      </c>
      <c r="AA69" s="140">
        <f t="shared" si="53"/>
        <v>-132000</v>
      </c>
      <c r="AB69" s="140">
        <f t="shared" si="53"/>
        <v>-26</v>
      </c>
      <c r="AC69" s="140">
        <f t="shared" si="53"/>
        <v>5000</v>
      </c>
      <c r="AD69" s="140">
        <f t="shared" si="53"/>
        <v>2</v>
      </c>
      <c r="AE69" s="140">
        <f t="shared" si="53"/>
        <v>0</v>
      </c>
      <c r="AF69" s="140">
        <f t="shared" si="53"/>
        <v>0</v>
      </c>
      <c r="AG69" s="140">
        <f t="shared" si="53"/>
        <v>-127000</v>
      </c>
      <c r="AH69" s="145"/>
      <c r="AI69" s="208"/>
      <c r="AJ69" s="146"/>
      <c r="AL69" s="146"/>
      <c r="AM69" s="146"/>
      <c r="AN69" s="146"/>
      <c r="AO69" s="146"/>
    </row>
    <row r="70" spans="1:41" s="135" customFormat="1" ht="28.5" customHeight="1">
      <c r="A70" s="275"/>
      <c r="B70" s="137">
        <v>5</v>
      </c>
      <c r="C70" s="149">
        <v>45432</v>
      </c>
      <c r="D70" s="138" t="s">
        <v>33</v>
      </c>
      <c r="E70" s="139">
        <f>VLOOKUP(D70,매출!C:J,8,0)</f>
        <v>61873400</v>
      </c>
      <c r="F70" s="140">
        <f>IFERROR(VLOOKUP($D70,매장경비정리!$C:$K,F$1,FALSE),0)</f>
        <v>476000</v>
      </c>
      <c r="G70" s="140">
        <f>IFERROR(VLOOKUP($D70,매장경비정리!$C:$K,G$1,FALSE),0)</f>
        <v>116</v>
      </c>
      <c r="H70" s="140">
        <f>IFERROR(VLOOKUP($D70,매장경비정리!$C:$K,H$1,FALSE),0)</f>
        <v>34000</v>
      </c>
      <c r="I70" s="140">
        <f>IFERROR(VLOOKUP($D70,매장경비정리!$C:$K,I$1,FALSE),0)</f>
        <v>9</v>
      </c>
      <c r="J70" s="140">
        <f>IFERROR(VLOOKUP($D70,매장경비정리!$C:$K,J$1,FALSE),0)</f>
        <v>0</v>
      </c>
      <c r="K70" s="140">
        <f>IFERROR(VLOOKUP($D70,매장경비정리!$C:$K,K$1,FALSE),0)</f>
        <v>0</v>
      </c>
      <c r="L70" s="140">
        <f t="shared" si="57"/>
        <v>510000</v>
      </c>
      <c r="M70" s="141">
        <f t="shared" si="58"/>
        <v>8.2426373853707741E-3</v>
      </c>
      <c r="N70" s="142"/>
      <c r="O70"/>
      <c r="P70" s="143">
        <f>VLOOKUP($D70,'[1]25년 5월경비'!$D:$M,P$1,FALSE)</f>
        <v>60001130</v>
      </c>
      <c r="Q70" s="140">
        <f>VLOOKUP($D70,'[1]25년 5월경비'!$D:$M,Q$1,FALSE)</f>
        <v>0</v>
      </c>
      <c r="R70" s="140">
        <f>VLOOKUP($D70,'[1]25년 5월경비'!$D:$M,R$1,FALSE)</f>
        <v>0</v>
      </c>
      <c r="S70" s="140">
        <f>VLOOKUP($D70,'[1]25년 5월경비'!$D:$M,S$1,FALSE)</f>
        <v>55670</v>
      </c>
      <c r="T70" s="140">
        <f>VLOOKUP($D70,'[1]25년 5월경비'!$D:$M,T$1,FALSE)</f>
        <v>14</v>
      </c>
      <c r="U70" s="140">
        <f>VLOOKUP($D70,'[1]25년 5월경비'!$D:$M,U$1,FALSE)</f>
        <v>0</v>
      </c>
      <c r="V70" s="140">
        <f>VLOOKUP($D70,'[1]25년 5월경비'!$D:$M,V$1,FALSE)</f>
        <v>0</v>
      </c>
      <c r="W70" s="140">
        <f>VLOOKUP($D70,'[1]25년 5월경비'!$D:$M,W$1,FALSE)</f>
        <v>55670</v>
      </c>
      <c r="X70" s="141">
        <f t="shared" si="59"/>
        <v>9.2781585946797999E-4</v>
      </c>
      <c r="Y70" s="142"/>
      <c r="Z70" s="144">
        <f t="shared" si="53"/>
        <v>1872270</v>
      </c>
      <c r="AA70" s="140">
        <f t="shared" si="53"/>
        <v>476000</v>
      </c>
      <c r="AB70" s="140">
        <f t="shared" si="53"/>
        <v>116</v>
      </c>
      <c r="AC70" s="140">
        <f t="shared" si="53"/>
        <v>-21670</v>
      </c>
      <c r="AD70" s="140">
        <f t="shared" si="53"/>
        <v>-5</v>
      </c>
      <c r="AE70" s="140">
        <f t="shared" si="53"/>
        <v>0</v>
      </c>
      <c r="AF70" s="140">
        <f t="shared" si="53"/>
        <v>0</v>
      </c>
      <c r="AG70" s="140">
        <f t="shared" si="53"/>
        <v>454330</v>
      </c>
      <c r="AH70" s="140"/>
      <c r="AI70" s="208"/>
      <c r="AJ70" s="146"/>
      <c r="AL70" s="146"/>
      <c r="AM70" s="146"/>
      <c r="AN70" s="146"/>
      <c r="AO70" s="146"/>
    </row>
    <row r="71" spans="1:41" s="135" customFormat="1" ht="28.5" customHeight="1">
      <c r="A71" s="275"/>
      <c r="B71" s="137">
        <v>6</v>
      </c>
      <c r="C71" s="149">
        <v>45425</v>
      </c>
      <c r="D71" s="138" t="s">
        <v>128</v>
      </c>
      <c r="E71" s="139">
        <f>VLOOKUP(D71,매출!C:J,8,0)</f>
        <v>35035430</v>
      </c>
      <c r="F71" s="140">
        <f>IFERROR(VLOOKUP($D71,매장경비정리!$C:$K,F$1,FALSE),0)</f>
        <v>0</v>
      </c>
      <c r="G71" s="140">
        <f>IFERROR(VLOOKUP($D71,매장경비정리!$C:$K,G$1,FALSE),0)</f>
        <v>0</v>
      </c>
      <c r="H71" s="140">
        <f>IFERROR(VLOOKUP($D71,매장경비정리!$C:$K,H$1,FALSE),0)</f>
        <v>0</v>
      </c>
      <c r="I71" s="140">
        <f>IFERROR(VLOOKUP($D71,매장경비정리!$C:$K,I$1,FALSE),0)</f>
        <v>0</v>
      </c>
      <c r="J71" s="140">
        <f>IFERROR(VLOOKUP($D71,매장경비정리!$C:$K,J$1,FALSE),0)</f>
        <v>0</v>
      </c>
      <c r="K71" s="140">
        <f>IFERROR(VLOOKUP($D71,매장경비정리!$C:$K,K$1,FALSE),0)</f>
        <v>0</v>
      </c>
      <c r="L71" s="140">
        <f t="shared" si="57"/>
        <v>0</v>
      </c>
      <c r="M71" s="141">
        <f t="shared" si="58"/>
        <v>0</v>
      </c>
      <c r="N71" s="142"/>
      <c r="O71"/>
      <c r="P71" s="143">
        <f>VLOOKUP($D71,'[1]25년 5월경비'!$D:$M,P$1,FALSE)</f>
        <v>32635190</v>
      </c>
      <c r="Q71" s="140">
        <f>VLOOKUP($D71,'[1]25년 5월경비'!$D:$M,Q$1,FALSE)</f>
        <v>103200</v>
      </c>
      <c r="R71" s="140">
        <f>VLOOKUP($D71,'[1]25년 5월경비'!$D:$M,R$1,FALSE)</f>
        <v>26</v>
      </c>
      <c r="S71" s="140">
        <f>VLOOKUP($D71,'[1]25년 5월경비'!$D:$M,S$1,FALSE)</f>
        <v>30500</v>
      </c>
      <c r="T71" s="140">
        <f>VLOOKUP($D71,'[1]25년 5월경비'!$D:$M,T$1,FALSE)</f>
        <v>7</v>
      </c>
      <c r="U71" s="140">
        <f>VLOOKUP($D71,'[1]25년 5월경비'!$D:$M,U$1,FALSE)</f>
        <v>0</v>
      </c>
      <c r="V71" s="140">
        <f>VLOOKUP($D71,'[1]25년 5월경비'!$D:$M,V$1,FALSE)</f>
        <v>0</v>
      </c>
      <c r="W71" s="140">
        <f>VLOOKUP($D71,'[1]25년 5월경비'!$D:$M,W$1,FALSE)</f>
        <v>133700</v>
      </c>
      <c r="X71" s="141">
        <f t="shared" si="59"/>
        <v>4.0968047068210729E-3</v>
      </c>
      <c r="Y71" s="142"/>
      <c r="Z71" s="144">
        <f t="shared" si="53"/>
        <v>2400240</v>
      </c>
      <c r="AA71" s="140">
        <f t="shared" si="53"/>
        <v>-103200</v>
      </c>
      <c r="AB71" s="140">
        <f t="shared" si="53"/>
        <v>-26</v>
      </c>
      <c r="AC71" s="140">
        <f t="shared" si="53"/>
        <v>-30500</v>
      </c>
      <c r="AD71" s="140">
        <f t="shared" si="53"/>
        <v>-7</v>
      </c>
      <c r="AE71" s="140">
        <f t="shared" si="53"/>
        <v>0</v>
      </c>
      <c r="AF71" s="140">
        <f t="shared" si="53"/>
        <v>0</v>
      </c>
      <c r="AG71" s="140">
        <f t="shared" si="53"/>
        <v>-133700</v>
      </c>
      <c r="AH71" s="148"/>
      <c r="AI71" s="210"/>
      <c r="AJ71" s="147"/>
      <c r="AL71" s="147"/>
      <c r="AM71" s="147"/>
      <c r="AN71" s="147"/>
      <c r="AO71" s="147"/>
    </row>
    <row r="72" spans="1:41" s="135" customFormat="1" ht="28.5" customHeight="1">
      <c r="A72" s="275"/>
      <c r="B72" s="137">
        <v>7</v>
      </c>
      <c r="C72" s="149">
        <v>45404</v>
      </c>
      <c r="D72" s="138" t="s">
        <v>43</v>
      </c>
      <c r="E72" s="139">
        <f>VLOOKUP(D72,매출!C:J,8,0)</f>
        <v>91347890</v>
      </c>
      <c r="F72" s="140">
        <f>IFERROR(VLOOKUP($D72,매장경비정리!$C:$K,F$1,FALSE),0)</f>
        <v>108640</v>
      </c>
      <c r="G72" s="140">
        <f>IFERROR(VLOOKUP($D72,매장경비정리!$C:$K,G$1,FALSE),0)</f>
        <v>24</v>
      </c>
      <c r="H72" s="140">
        <f>IFERROR(VLOOKUP($D72,매장경비정리!$C:$K,H$1,FALSE),0)</f>
        <v>61700</v>
      </c>
      <c r="I72" s="140">
        <f>IFERROR(VLOOKUP($D72,매장경비정리!$C:$K,I$1,FALSE),0)</f>
        <v>15</v>
      </c>
      <c r="J72" s="140">
        <f>IFERROR(VLOOKUP($D72,매장경비정리!$C:$K,J$1,FALSE),0)</f>
        <v>99550</v>
      </c>
      <c r="K72" s="140">
        <f>IFERROR(VLOOKUP($D72,매장경비정리!$C:$K,K$1,FALSE),0)</f>
        <v>1</v>
      </c>
      <c r="L72" s="140">
        <f t="shared" si="57"/>
        <v>269890</v>
      </c>
      <c r="M72" s="141">
        <f t="shared" si="58"/>
        <v>2.9545291084446504E-3</v>
      </c>
      <c r="N72" s="142"/>
      <c r="O72"/>
      <c r="P72" s="143">
        <f>VLOOKUP($D72,'[1]25년 5월경비'!$D:$M,P$1,FALSE)</f>
        <v>86437610</v>
      </c>
      <c r="Q72" s="140">
        <f>VLOOKUP($D72,'[1]25년 5월경비'!$D:$M,Q$1,FALSE)</f>
        <v>204000</v>
      </c>
      <c r="R72" s="140">
        <f>VLOOKUP($D72,'[1]25년 5월경비'!$D:$M,R$1,FALSE)</f>
        <v>39</v>
      </c>
      <c r="S72" s="140">
        <f>VLOOKUP($D72,'[1]25년 5월경비'!$D:$M,S$1,FALSE)</f>
        <v>147700</v>
      </c>
      <c r="T72" s="140">
        <f>VLOOKUP($D72,'[1]25년 5월경비'!$D:$M,T$1,FALSE)</f>
        <v>26</v>
      </c>
      <c r="U72" s="140">
        <f>VLOOKUP($D72,'[1]25년 5월경비'!$D:$M,U$1,FALSE)</f>
        <v>0</v>
      </c>
      <c r="V72" s="140">
        <f>VLOOKUP($D72,'[1]25년 5월경비'!$D:$M,V$1,FALSE)</f>
        <v>0</v>
      </c>
      <c r="W72" s="140">
        <f>VLOOKUP($D72,'[1]25년 5월경비'!$D:$M,W$1,FALSE)</f>
        <v>351700</v>
      </c>
      <c r="X72" s="141">
        <f t="shared" si="59"/>
        <v>4.0688306860867628E-3</v>
      </c>
      <c r="Y72" s="142"/>
      <c r="Z72" s="144">
        <f t="shared" si="53"/>
        <v>4910280</v>
      </c>
      <c r="AA72" s="140">
        <f t="shared" si="53"/>
        <v>-95360</v>
      </c>
      <c r="AB72" s="140">
        <f t="shared" si="53"/>
        <v>-15</v>
      </c>
      <c r="AC72" s="140">
        <f t="shared" si="53"/>
        <v>-86000</v>
      </c>
      <c r="AD72" s="140">
        <f t="shared" si="53"/>
        <v>-11</v>
      </c>
      <c r="AE72" s="140">
        <f t="shared" si="53"/>
        <v>99550</v>
      </c>
      <c r="AF72" s="140">
        <f t="shared" si="53"/>
        <v>1</v>
      </c>
      <c r="AG72" s="140">
        <f t="shared" si="53"/>
        <v>-81810</v>
      </c>
      <c r="AH72" s="145"/>
      <c r="AI72" s="210"/>
      <c r="AJ72" s="147"/>
      <c r="AL72" s="147"/>
      <c r="AM72" s="147"/>
      <c r="AN72" s="146"/>
      <c r="AO72" s="146"/>
    </row>
    <row r="73" spans="1:41" s="135" customFormat="1" ht="28.5" customHeight="1">
      <c r="A73" s="275"/>
      <c r="B73" s="137">
        <v>8</v>
      </c>
      <c r="C73" s="149">
        <v>45432</v>
      </c>
      <c r="D73" s="158" t="s">
        <v>26</v>
      </c>
      <c r="E73" s="139">
        <f>VLOOKUP(D73,매출!C:J,8,0)</f>
        <v>21019440</v>
      </c>
      <c r="F73" s="140">
        <f>IFERROR(VLOOKUP($D73,매장경비정리!$C:$K,F$1,FALSE),0)</f>
        <v>258000</v>
      </c>
      <c r="G73" s="140">
        <f>IFERROR(VLOOKUP($D73,매장경비정리!$C:$K,G$1,FALSE),0)</f>
        <v>52</v>
      </c>
      <c r="H73" s="140">
        <f>IFERROR(VLOOKUP($D73,매장경비정리!$C:$K,H$1,FALSE),0)</f>
        <v>18000</v>
      </c>
      <c r="I73" s="140">
        <f>IFERROR(VLOOKUP($D73,매장경비정리!$C:$K,I$1,FALSE),0)</f>
        <v>4</v>
      </c>
      <c r="J73" s="140">
        <f>IFERROR(VLOOKUP($D73,매장경비정리!$C:$K,J$1,FALSE),0)</f>
        <v>4000</v>
      </c>
      <c r="K73" s="140">
        <f>IFERROR(VLOOKUP($D73,매장경비정리!$C:$K,K$1,FALSE),0)</f>
        <v>1</v>
      </c>
      <c r="L73" s="140">
        <f t="shared" si="57"/>
        <v>280000</v>
      </c>
      <c r="M73" s="141">
        <f t="shared" si="58"/>
        <v>1.3321001891582269E-2</v>
      </c>
      <c r="N73" s="142"/>
      <c r="O73"/>
      <c r="P73" s="143">
        <f>VLOOKUP($D73,'[1]25년 5월경비'!$D:$M,P$1,FALSE)</f>
        <v>26130790</v>
      </c>
      <c r="Q73" s="140">
        <f>VLOOKUP($D73,'[1]25년 5월경비'!$D:$M,Q$1,FALSE)</f>
        <v>314500</v>
      </c>
      <c r="R73" s="140">
        <f>VLOOKUP($D73,'[1]25년 5월경비'!$D:$M,R$1,FALSE)</f>
        <v>74</v>
      </c>
      <c r="S73" s="140">
        <f>VLOOKUP($D73,'[1]25년 5월경비'!$D:$M,S$1,FALSE)</f>
        <v>28500</v>
      </c>
      <c r="T73" s="140">
        <f>VLOOKUP($D73,'[1]25년 5월경비'!$D:$M,T$1,FALSE)</f>
        <v>7</v>
      </c>
      <c r="U73" s="140">
        <f>VLOOKUP($D73,'[1]25년 5월경비'!$D:$M,U$1,FALSE)</f>
        <v>0</v>
      </c>
      <c r="V73" s="140">
        <f>VLOOKUP($D73,'[1]25년 5월경비'!$D:$M,V$1,FALSE)</f>
        <v>0</v>
      </c>
      <c r="W73" s="140">
        <f>VLOOKUP($D73,'[1]25년 5월경비'!$D:$M,W$1,FALSE)</f>
        <v>343000</v>
      </c>
      <c r="X73" s="141">
        <f t="shared" si="59"/>
        <v>1.3126277468075018E-2</v>
      </c>
      <c r="Y73" s="142"/>
      <c r="Z73" s="144">
        <f t="shared" si="53"/>
        <v>-5111350</v>
      </c>
      <c r="AA73" s="140">
        <f t="shared" si="53"/>
        <v>-56500</v>
      </c>
      <c r="AB73" s="140">
        <f t="shared" si="53"/>
        <v>-22</v>
      </c>
      <c r="AC73" s="140">
        <f t="shared" si="53"/>
        <v>-10500</v>
      </c>
      <c r="AD73" s="140">
        <f t="shared" si="53"/>
        <v>-3</v>
      </c>
      <c r="AE73" s="140">
        <f t="shared" si="53"/>
        <v>4000</v>
      </c>
      <c r="AF73" s="140">
        <f t="shared" si="53"/>
        <v>1</v>
      </c>
      <c r="AG73" s="140">
        <f t="shared" si="53"/>
        <v>-63000</v>
      </c>
      <c r="AH73" s="145"/>
      <c r="AI73" s="208"/>
      <c r="AJ73" s="147"/>
      <c r="AL73" s="146"/>
      <c r="AM73" s="147"/>
      <c r="AN73" s="146"/>
      <c r="AO73" s="146"/>
    </row>
    <row r="74" spans="1:41" s="135" customFormat="1" ht="28.5" customHeight="1">
      <c r="A74" s="275"/>
      <c r="B74" s="137">
        <v>9</v>
      </c>
      <c r="C74" s="149"/>
      <c r="D74" s="158" t="s">
        <v>386</v>
      </c>
      <c r="E74" s="139">
        <f>VLOOKUP(D74,매출!C:J,8,0)</f>
        <v>45808730</v>
      </c>
      <c r="F74" s="140">
        <f>IFERROR(VLOOKUP($D74,매장경비정리!$C:$K,F$1,FALSE),0)</f>
        <v>152500</v>
      </c>
      <c r="G74" s="140">
        <f>IFERROR(VLOOKUP($D74,매장경비정리!$C:$K,G$1,FALSE),0)</f>
        <v>33</v>
      </c>
      <c r="H74" s="140">
        <f>IFERROR(VLOOKUP($D74,매장경비정리!$C:$K,H$1,FALSE),0)</f>
        <v>73600</v>
      </c>
      <c r="I74" s="140">
        <f>IFERROR(VLOOKUP($D74,매장경비정리!$C:$K,I$1,FALSE),0)</f>
        <v>18</v>
      </c>
      <c r="J74" s="140">
        <f>IFERROR(VLOOKUP($D74,매장경비정리!$C:$K,J$1,FALSE),0)</f>
        <v>0</v>
      </c>
      <c r="K74" s="140">
        <f>IFERROR(VLOOKUP($D74,매장경비정리!$C:$K,K$1,FALSE),0)</f>
        <v>0</v>
      </c>
      <c r="L74" s="140">
        <f t="shared" ref="L74" si="60">SUM(F74,H74,J74)</f>
        <v>226100</v>
      </c>
      <c r="M74" s="141">
        <f t="shared" ref="M74" si="61">L74/E74</f>
        <v>4.9357404145454371E-3</v>
      </c>
      <c r="N74" s="142"/>
      <c r="O74"/>
      <c r="P74" s="143">
        <v>0</v>
      </c>
      <c r="Q74" s="140">
        <v>0</v>
      </c>
      <c r="R74" s="140">
        <v>0</v>
      </c>
      <c r="S74" s="140">
        <v>0</v>
      </c>
      <c r="T74" s="140">
        <v>0</v>
      </c>
      <c r="U74" s="140">
        <v>0</v>
      </c>
      <c r="V74" s="140">
        <v>0</v>
      </c>
      <c r="W74" s="140">
        <v>0</v>
      </c>
      <c r="X74" s="141" t="str">
        <f>IFERROR(W74/P74,"")</f>
        <v/>
      </c>
      <c r="Y74" s="142"/>
      <c r="Z74" s="144">
        <f t="shared" ref="Z74" si="62">E74-P74</f>
        <v>45808730</v>
      </c>
      <c r="AA74" s="140">
        <f t="shared" ref="AA74" si="63">F74-Q74</f>
        <v>152500</v>
      </c>
      <c r="AB74" s="140">
        <f t="shared" ref="AB74" si="64">G74-R74</f>
        <v>33</v>
      </c>
      <c r="AC74" s="140">
        <f t="shared" ref="AC74" si="65">H74-S74</f>
        <v>73600</v>
      </c>
      <c r="AD74" s="140">
        <f t="shared" ref="AD74" si="66">I74-T74</f>
        <v>18</v>
      </c>
      <c r="AE74" s="140">
        <f t="shared" ref="AE74" si="67">J74-U74</f>
        <v>0</v>
      </c>
      <c r="AF74" s="140">
        <f t="shared" ref="AF74" si="68">K74-V74</f>
        <v>0</v>
      </c>
      <c r="AG74" s="140">
        <f t="shared" ref="AG74" si="69">L74-W74</f>
        <v>226100</v>
      </c>
      <c r="AH74" s="148"/>
      <c r="AI74" s="210"/>
      <c r="AJ74" s="147"/>
      <c r="AL74" s="147"/>
      <c r="AM74" s="147"/>
      <c r="AN74" s="147"/>
      <c r="AO74" s="147"/>
    </row>
    <row r="75" spans="1:41" s="135" customFormat="1" ht="28.5" customHeight="1">
      <c r="A75" s="275"/>
      <c r="B75" s="137">
        <v>10</v>
      </c>
      <c r="C75" s="149">
        <v>45357</v>
      </c>
      <c r="D75" s="138" t="s">
        <v>14</v>
      </c>
      <c r="E75" s="139">
        <f>VLOOKUP(D75,매출!C:J,8,0)</f>
        <v>45179020</v>
      </c>
      <c r="F75" s="140">
        <f>IFERROR(VLOOKUP($D75,매장경비정리!$C:$K,F$1,FALSE),0)</f>
        <v>145000</v>
      </c>
      <c r="G75" s="140">
        <f>IFERROR(VLOOKUP($D75,매장경비정리!$C:$K,G$1,FALSE),0)</f>
        <v>29</v>
      </c>
      <c r="H75" s="140">
        <f>IFERROR(VLOOKUP($D75,매장경비정리!$C:$K,H$1,FALSE),0)</f>
        <v>73500</v>
      </c>
      <c r="I75" s="140">
        <f>IFERROR(VLOOKUP($D75,매장경비정리!$C:$K,I$1,FALSE),0)</f>
        <v>17</v>
      </c>
      <c r="J75" s="140">
        <f>IFERROR(VLOOKUP($D75,매장경비정리!$C:$K,J$1,FALSE),0)</f>
        <v>0</v>
      </c>
      <c r="K75" s="140">
        <f>IFERROR(VLOOKUP($D75,매장경비정리!$C:$K,K$1,FALSE),0)</f>
        <v>0</v>
      </c>
      <c r="L75" s="140">
        <f t="shared" si="57"/>
        <v>218500</v>
      </c>
      <c r="M75" s="141">
        <f t="shared" si="58"/>
        <v>4.8363156172931592E-3</v>
      </c>
      <c r="N75" s="142"/>
      <c r="O75"/>
      <c r="P75" s="143">
        <f>VLOOKUP($D75,'[1]25년 5월경비'!$D:$M,P$1,FALSE)</f>
        <v>32059540</v>
      </c>
      <c r="Q75" s="140">
        <f>VLOOKUP($D75,'[1]25년 5월경비'!$D:$M,Q$1,FALSE)</f>
        <v>206000</v>
      </c>
      <c r="R75" s="140">
        <f>VLOOKUP($D75,'[1]25년 5월경비'!$D:$M,R$1,FALSE)</f>
        <v>43</v>
      </c>
      <c r="S75" s="140">
        <f>VLOOKUP($D75,'[1]25년 5월경비'!$D:$M,S$1,FALSE)</f>
        <v>47200</v>
      </c>
      <c r="T75" s="140">
        <f>VLOOKUP($D75,'[1]25년 5월경비'!$D:$M,T$1,FALSE)</f>
        <v>12</v>
      </c>
      <c r="U75" s="140">
        <f>VLOOKUP($D75,'[1]25년 5월경비'!$D:$M,U$1,FALSE)</f>
        <v>0</v>
      </c>
      <c r="V75" s="140">
        <f>VLOOKUP($D75,'[1]25년 5월경비'!$D:$M,V$1,FALSE)</f>
        <v>0</v>
      </c>
      <c r="W75" s="140">
        <f>VLOOKUP($D75,'[1]25년 5월경비'!$D:$M,W$1,FALSE)</f>
        <v>253200</v>
      </c>
      <c r="X75" s="141">
        <f t="shared" si="59"/>
        <v>7.8978051462996659E-3</v>
      </c>
      <c r="Y75" s="142"/>
      <c r="Z75" s="144">
        <f t="shared" ref="Z75" si="70">E75-P75</f>
        <v>13119480</v>
      </c>
      <c r="AA75" s="140">
        <f t="shared" ref="AA75" si="71">F75-Q75</f>
        <v>-61000</v>
      </c>
      <c r="AB75" s="140">
        <f t="shared" ref="AB75" si="72">G75-R75</f>
        <v>-14</v>
      </c>
      <c r="AC75" s="140">
        <f t="shared" ref="AC75" si="73">H75-S75</f>
        <v>26300</v>
      </c>
      <c r="AD75" s="140">
        <f t="shared" ref="AD75" si="74">I75-T75</f>
        <v>5</v>
      </c>
      <c r="AE75" s="140">
        <f t="shared" ref="AE75" si="75">J75-U75</f>
        <v>0</v>
      </c>
      <c r="AF75" s="140">
        <f t="shared" ref="AF75" si="76">K75-V75</f>
        <v>0</v>
      </c>
      <c r="AG75" s="140">
        <f t="shared" ref="AG75" si="77">L75-W75</f>
        <v>-34700</v>
      </c>
      <c r="AH75" s="148"/>
      <c r="AI75" s="210"/>
      <c r="AJ75" s="147"/>
      <c r="AL75" s="147"/>
      <c r="AM75" s="147"/>
      <c r="AN75" s="147"/>
      <c r="AO75" s="147"/>
    </row>
    <row r="76" spans="1:41" s="135" customFormat="1" ht="28.5" customHeight="1">
      <c r="A76" s="275"/>
      <c r="B76" s="137">
        <v>11</v>
      </c>
      <c r="C76" s="149">
        <v>45328</v>
      </c>
      <c r="D76" s="138" t="s">
        <v>37</v>
      </c>
      <c r="E76" s="139">
        <f>VLOOKUP(D76,매출!C:J,8,0)</f>
        <v>29325890</v>
      </c>
      <c r="F76" s="140">
        <f>IFERROR(VLOOKUP($D76,매장경비정리!$C:$K,F$1,FALSE),0)</f>
        <v>121100</v>
      </c>
      <c r="G76" s="140">
        <f>IFERROR(VLOOKUP($D76,매장경비정리!$C:$K,G$1,FALSE),0)</f>
        <v>30</v>
      </c>
      <c r="H76" s="140">
        <f>IFERROR(VLOOKUP($D76,매장경비정리!$C:$K,H$1,FALSE),0)</f>
        <v>49000</v>
      </c>
      <c r="I76" s="140">
        <f>IFERROR(VLOOKUP($D76,매장경비정리!$C:$K,I$1,FALSE),0)</f>
        <v>13</v>
      </c>
      <c r="J76" s="140">
        <f>IFERROR(VLOOKUP($D76,매장경비정리!$C:$K,J$1,FALSE),0)</f>
        <v>0</v>
      </c>
      <c r="K76" s="140">
        <f>IFERROR(VLOOKUP($D76,매장경비정리!$C:$K,K$1,FALSE),0)</f>
        <v>0</v>
      </c>
      <c r="L76" s="140">
        <f>SUM(F76,H76,J76)</f>
        <v>170100</v>
      </c>
      <c r="M76" s="141">
        <f>L76/E76</f>
        <v>5.8003354714895265E-3</v>
      </c>
      <c r="N76" s="142"/>
      <c r="O76"/>
      <c r="P76" s="143">
        <f>VLOOKUP($D76,'[1]25년 5월경비'!$D:$M,P$1,FALSE)</f>
        <v>27051170</v>
      </c>
      <c r="Q76" s="140">
        <f>VLOOKUP($D76,'[1]25년 5월경비'!$D:$M,Q$1,FALSE)</f>
        <v>102600</v>
      </c>
      <c r="R76" s="140">
        <f>VLOOKUP($D76,'[1]25년 5월경비'!$D:$M,R$1,FALSE)</f>
        <v>22</v>
      </c>
      <c r="S76" s="140">
        <f>VLOOKUP($D76,'[1]25년 5월경비'!$D:$M,S$1,FALSE)</f>
        <v>24000</v>
      </c>
      <c r="T76" s="140">
        <f>VLOOKUP($D76,'[1]25년 5월경비'!$D:$M,T$1,FALSE)</f>
        <v>6</v>
      </c>
      <c r="U76" s="140">
        <f>VLOOKUP($D76,'[1]25년 5월경비'!$D:$M,U$1,FALSE)</f>
        <v>0</v>
      </c>
      <c r="V76" s="140">
        <f>VLOOKUP($D76,'[1]25년 5월경비'!$D:$M,V$1,FALSE)</f>
        <v>0</v>
      </c>
      <c r="W76" s="140">
        <f>VLOOKUP($D76,'[1]25년 5월경비'!$D:$M,W$1,FALSE)</f>
        <v>126600</v>
      </c>
      <c r="X76" s="141">
        <f>W76/P76</f>
        <v>4.6800193854831416E-3</v>
      </c>
      <c r="Y76" s="142"/>
      <c r="Z76" s="144">
        <f t="shared" si="53"/>
        <v>2274720</v>
      </c>
      <c r="AA76" s="140">
        <f t="shared" si="53"/>
        <v>18500</v>
      </c>
      <c r="AB76" s="140">
        <f t="shared" si="53"/>
        <v>8</v>
      </c>
      <c r="AC76" s="140">
        <f t="shared" si="53"/>
        <v>25000</v>
      </c>
      <c r="AD76" s="140">
        <f t="shared" si="53"/>
        <v>7</v>
      </c>
      <c r="AE76" s="140">
        <f t="shared" si="53"/>
        <v>0</v>
      </c>
      <c r="AF76" s="140">
        <f t="shared" si="53"/>
        <v>0</v>
      </c>
      <c r="AG76" s="140">
        <f t="shared" si="53"/>
        <v>43500</v>
      </c>
      <c r="AH76" s="140"/>
      <c r="AI76" s="209"/>
      <c r="AJ76" s="140"/>
      <c r="AL76" s="146"/>
      <c r="AM76" s="146"/>
      <c r="AN76" s="146"/>
      <c r="AO76" s="146"/>
    </row>
    <row r="77" spans="1:41" s="135" customFormat="1" ht="28.5" customHeight="1">
      <c r="A77" s="275"/>
      <c r="B77" s="137">
        <v>12</v>
      </c>
      <c r="C77" s="149">
        <v>45353</v>
      </c>
      <c r="D77" s="138" t="s">
        <v>161</v>
      </c>
      <c r="E77" s="139">
        <f>VLOOKUP(D77,매출!C:J,8,0)</f>
        <v>31776960</v>
      </c>
      <c r="F77" s="140">
        <f>IFERROR(VLOOKUP($D77,매장경비정리!$C:$K,F$1,FALSE),0)</f>
        <v>172000</v>
      </c>
      <c r="G77" s="140">
        <f>IFERROR(VLOOKUP($D77,매장경비정리!$C:$K,G$1,FALSE),0)</f>
        <v>38</v>
      </c>
      <c r="H77" s="140">
        <f>IFERROR(VLOOKUP($D77,매장경비정리!$C:$K,H$1,FALSE),0)</f>
        <v>189000</v>
      </c>
      <c r="I77" s="140">
        <f>IFERROR(VLOOKUP($D77,매장경비정리!$C:$K,I$1,FALSE),0)</f>
        <v>44</v>
      </c>
      <c r="J77" s="140">
        <f>IFERROR(VLOOKUP($D77,매장경비정리!$C:$K,J$1,FALSE),0)</f>
        <v>0</v>
      </c>
      <c r="K77" s="140">
        <f>IFERROR(VLOOKUP($D77,매장경비정리!$C:$K,K$1,FALSE),0)</f>
        <v>0</v>
      </c>
      <c r="L77" s="140">
        <f>F77+H77</f>
        <v>361000</v>
      </c>
      <c r="M77" s="141">
        <f>L77/E77</f>
        <v>1.1360432212521273E-2</v>
      </c>
      <c r="N77" s="142"/>
      <c r="O77"/>
      <c r="P77" s="143">
        <f>VLOOKUP($D77,'[1]25년 5월경비'!$D:$M,P$1,FALSE)</f>
        <v>24955450</v>
      </c>
      <c r="Q77" s="140">
        <f>VLOOKUP($D77,'[1]25년 5월경비'!$D:$M,Q$1,FALSE)</f>
        <v>131000</v>
      </c>
      <c r="R77" s="140">
        <f>VLOOKUP($D77,'[1]25년 5월경비'!$D:$M,R$1,FALSE)</f>
        <v>34</v>
      </c>
      <c r="S77" s="140">
        <f>VLOOKUP($D77,'[1]25년 5월경비'!$D:$M,S$1,FALSE)</f>
        <v>40500</v>
      </c>
      <c r="T77" s="140">
        <f>VLOOKUP($D77,'[1]25년 5월경비'!$D:$M,T$1,FALSE)</f>
        <v>10</v>
      </c>
      <c r="U77" s="140">
        <f>VLOOKUP($D77,'[1]25년 5월경비'!$D:$M,U$1,FALSE)</f>
        <v>0</v>
      </c>
      <c r="V77" s="140">
        <f>VLOOKUP($D77,'[1]25년 5월경비'!$D:$M,V$1,FALSE)</f>
        <v>0</v>
      </c>
      <c r="W77" s="140">
        <f>VLOOKUP($D77,'[1]25년 5월경비'!$D:$M,W$1,FALSE)</f>
        <v>171500</v>
      </c>
      <c r="X77" s="141">
        <f t="shared" ref="X77:X78" si="78">W77/P77</f>
        <v>6.8722463429831959E-3</v>
      </c>
      <c r="Y77" s="142"/>
      <c r="Z77" s="144">
        <f t="shared" si="53"/>
        <v>6821510</v>
      </c>
      <c r="AA77" s="140">
        <f t="shared" si="53"/>
        <v>41000</v>
      </c>
      <c r="AB77" s="140">
        <f t="shared" si="53"/>
        <v>4</v>
      </c>
      <c r="AC77" s="140">
        <f t="shared" si="53"/>
        <v>148500</v>
      </c>
      <c r="AD77" s="140">
        <f t="shared" si="53"/>
        <v>34</v>
      </c>
      <c r="AE77" s="140">
        <f t="shared" si="53"/>
        <v>0</v>
      </c>
      <c r="AF77" s="140">
        <f t="shared" si="53"/>
        <v>0</v>
      </c>
      <c r="AG77" s="140">
        <f t="shared" si="53"/>
        <v>189500</v>
      </c>
      <c r="AH77" s="145"/>
      <c r="AI77" s="209"/>
      <c r="AJ77" s="159"/>
      <c r="AL77" s="146"/>
      <c r="AM77" s="146"/>
      <c r="AN77" s="146"/>
      <c r="AO77" s="146"/>
    </row>
    <row r="78" spans="1:41" s="157" customFormat="1" ht="28.5" customHeight="1">
      <c r="A78" s="152"/>
      <c r="B78" s="152"/>
      <c r="C78" s="153"/>
      <c r="D78" s="152"/>
      <c r="E78" s="154">
        <f>SUM(E66:E77)</f>
        <v>573632700</v>
      </c>
      <c r="F78" s="154">
        <f>SUM(F66:F77)</f>
        <v>1857340</v>
      </c>
      <c r="G78" s="154">
        <f>SUM(G66:G77)</f>
        <v>409</v>
      </c>
      <c r="H78" s="154">
        <f>SUM(H66:H77)</f>
        <v>677300</v>
      </c>
      <c r="I78" s="154">
        <f>SUM(I66:I77)</f>
        <v>165</v>
      </c>
      <c r="J78" s="154">
        <f>SUM(J66:J77)</f>
        <v>132050</v>
      </c>
      <c r="K78" s="154">
        <f>SUM(K66:K77)</f>
        <v>5</v>
      </c>
      <c r="L78" s="154">
        <f>SUM(L66:L77)</f>
        <v>2666690</v>
      </c>
      <c r="M78" s="155">
        <f t="shared" ref="M78" si="79">L78/E78</f>
        <v>4.6487761245131249E-3</v>
      </c>
      <c r="N78" s="156"/>
      <c r="O78"/>
      <c r="P78" s="154">
        <f>SUM(P66:P77)</f>
        <v>485105390</v>
      </c>
      <c r="Q78" s="154">
        <f>SUM(Q66:Q77)</f>
        <v>1430300</v>
      </c>
      <c r="R78" s="154">
        <f>SUM(R66:R77)</f>
        <v>311</v>
      </c>
      <c r="S78" s="154">
        <f>SUM(S66:S77)</f>
        <v>581570</v>
      </c>
      <c r="T78" s="154">
        <f>SUM(T66:T77)</f>
        <v>128</v>
      </c>
      <c r="U78" s="154">
        <f>SUM(U66:U77)</f>
        <v>45300</v>
      </c>
      <c r="V78" s="154">
        <f>SUM(V66:V77)</f>
        <v>3</v>
      </c>
      <c r="W78" s="154">
        <f>SUM(W66:W77)</f>
        <v>2057170</v>
      </c>
      <c r="X78" s="155">
        <f t="shared" si="78"/>
        <v>4.2406661364863419E-3</v>
      </c>
      <c r="Y78" s="156"/>
      <c r="Z78" s="154">
        <f>SUM(Z66:Z77)</f>
        <v>88527310</v>
      </c>
      <c r="AA78" s="154">
        <f>SUM(AA66:AA77)</f>
        <v>427040</v>
      </c>
      <c r="AB78" s="154">
        <f>SUM(AB66:AB77)</f>
        <v>98</v>
      </c>
      <c r="AC78" s="154">
        <f>SUM(AC66:AC77)</f>
        <v>95730</v>
      </c>
      <c r="AD78" s="154">
        <f>SUM(AD66:AD77)</f>
        <v>37</v>
      </c>
      <c r="AE78" s="154">
        <f>SUM(AE66:AE77)</f>
        <v>86750</v>
      </c>
      <c r="AF78" s="154">
        <f>SUM(AF66:AF77)</f>
        <v>2</v>
      </c>
      <c r="AG78" s="154">
        <f>SUM(AG66:AG77)</f>
        <v>609520</v>
      </c>
      <c r="AH78" s="154"/>
      <c r="AI78" s="211"/>
      <c r="AJ78" s="154"/>
      <c r="AK78" s="121"/>
      <c r="AL78" s="154"/>
      <c r="AM78" s="154"/>
      <c r="AN78" s="154"/>
      <c r="AO78" s="154"/>
    </row>
    <row r="79" spans="1:41" s="135" customFormat="1" ht="28.5" customHeight="1">
      <c r="A79" s="138"/>
      <c r="B79" s="138"/>
      <c r="C79" s="138"/>
      <c r="D79" s="138" t="s">
        <v>185</v>
      </c>
      <c r="E79" s="163">
        <f>SUM(E78+E45+E20+E7+E63)</f>
        <v>4057389810</v>
      </c>
      <c r="F79" s="163">
        <f>SUM(F78+F45+F20+F7+F63)</f>
        <v>6214785</v>
      </c>
      <c r="G79" s="163">
        <f>SUM(G78+G45+G20+G7+G63)</f>
        <v>1332</v>
      </c>
      <c r="H79" s="163">
        <f>SUM(H78+H45+H20+H7+H63)</f>
        <v>2454345</v>
      </c>
      <c r="I79" s="163">
        <f>SUM(I78+I45+I20+I7+I63)</f>
        <v>591</v>
      </c>
      <c r="J79" s="163">
        <f>SUM(J78+J45+J20+J7+J63)</f>
        <v>442100</v>
      </c>
      <c r="K79" s="163">
        <f>SUM(K78+K45+K20+K7+K63)</f>
        <v>23</v>
      </c>
      <c r="L79" s="163">
        <f>SUM(L78+L45+L20+L7+L63)</f>
        <v>9111230</v>
      </c>
      <c r="M79" s="224">
        <f>L79/E79</f>
        <v>2.2455890182264742E-3</v>
      </c>
      <c r="N79" s="156"/>
      <c r="O79"/>
      <c r="P79" s="163">
        <f>SUM(P78+P45+P20+P7+P63)</f>
        <v>3444796983</v>
      </c>
      <c r="Q79" s="163">
        <f>SUM(Q78+Q45+Q20+Q7+Q63)</f>
        <v>4648465</v>
      </c>
      <c r="R79" s="163">
        <f>SUM(R78+R45+R20+R7+R63)</f>
        <v>952</v>
      </c>
      <c r="S79" s="163">
        <f>SUM(S78+S45+S20+S7+S63)</f>
        <v>3072620</v>
      </c>
      <c r="T79" s="163">
        <f>SUM(T78+T45+T20+T7+T63)</f>
        <v>726</v>
      </c>
      <c r="U79" s="163">
        <f>SUM(U78+U45+U20+U7+U63)</f>
        <v>380700</v>
      </c>
      <c r="V79" s="163">
        <f>SUM(V78+V45+V20+V7+V63)</f>
        <v>27</v>
      </c>
      <c r="W79" s="163">
        <f>SUM(W78+W45+W20+W7+W63)</f>
        <v>8101785</v>
      </c>
      <c r="X79" s="164">
        <f>W79/P79</f>
        <v>2.3518904132760615E-3</v>
      </c>
      <c r="Y79" s="156"/>
      <c r="Z79" s="163">
        <f>SUM(Z78+Z45+Z20+Z7+Z63)</f>
        <v>612592827</v>
      </c>
      <c r="AA79" s="163">
        <f>SUM(AA78+AA45+AA20+AA7+AA63)</f>
        <v>1566320</v>
      </c>
      <c r="AB79" s="163">
        <f>SUM(AB78+AB45+AB20+AB7+AB63)</f>
        <v>380</v>
      </c>
      <c r="AC79" s="163">
        <f>SUM(AC78+AC45+AC20+AC7+AC63)</f>
        <v>-618275</v>
      </c>
      <c r="AD79" s="163">
        <f>SUM(AD78+AD45+AD20+AD7+AD63)</f>
        <v>-135</v>
      </c>
      <c r="AE79" s="163">
        <f>SUM(AE78+AE45+AE20+AE7+AE63)</f>
        <v>61400</v>
      </c>
      <c r="AF79" s="163">
        <f>SUM(AF78+AF45+AF20+AF7+AF63)</f>
        <v>-4</v>
      </c>
      <c r="AG79" s="163">
        <f>SUM(AG78+AG45+AG20+AG7+AG63)</f>
        <v>1009445</v>
      </c>
      <c r="AH79" s="165"/>
      <c r="AI79" s="125"/>
      <c r="AN79" s="125"/>
    </row>
    <row r="80" spans="1:41" ht="15" customHeight="1" thickBot="1">
      <c r="L80" s="167"/>
      <c r="M80" s="167"/>
      <c r="N80" s="167"/>
      <c r="W80" s="167"/>
      <c r="X80" s="167"/>
      <c r="Y80" s="167"/>
      <c r="AA80" s="167"/>
      <c r="AB80" s="167"/>
      <c r="AC80" s="167"/>
      <c r="AD80" s="167"/>
      <c r="AE80" s="167"/>
      <c r="AF80" s="167"/>
      <c r="AG80" s="167"/>
      <c r="AH80" s="168"/>
      <c r="AN80" s="135"/>
    </row>
    <row r="81" spans="1:33" s="135" customFormat="1" ht="42.75" customHeight="1">
      <c r="A81" s="121"/>
      <c r="D81" s="169" t="s">
        <v>394</v>
      </c>
      <c r="E81" s="170" t="s">
        <v>176</v>
      </c>
      <c r="F81" s="171" t="s">
        <v>177</v>
      </c>
      <c r="G81" s="171" t="s">
        <v>178</v>
      </c>
      <c r="H81" s="171" t="s">
        <v>179</v>
      </c>
      <c r="I81" s="171" t="s">
        <v>178</v>
      </c>
      <c r="J81" s="171" t="s">
        <v>180</v>
      </c>
      <c r="K81" s="171" t="s">
        <v>178</v>
      </c>
      <c r="L81" s="172" t="s">
        <v>140</v>
      </c>
      <c r="M81" s="173" t="s">
        <v>181</v>
      </c>
      <c r="N81" s="128"/>
      <c r="O81"/>
      <c r="P81" s="169" t="s">
        <v>357</v>
      </c>
      <c r="Q81" s="171" t="s">
        <v>177</v>
      </c>
      <c r="R81" s="171" t="s">
        <v>178</v>
      </c>
      <c r="S81" s="171" t="s">
        <v>179</v>
      </c>
      <c r="T81" s="171" t="s">
        <v>178</v>
      </c>
      <c r="U81" s="171" t="s">
        <v>180</v>
      </c>
      <c r="V81" s="171" t="s">
        <v>178</v>
      </c>
      <c r="W81" s="172" t="s">
        <v>140</v>
      </c>
      <c r="X81" s="173" t="s">
        <v>181</v>
      </c>
      <c r="Y81" s="128"/>
      <c r="Z81" s="201" t="s">
        <v>196</v>
      </c>
      <c r="AA81" s="171" t="s">
        <v>177</v>
      </c>
      <c r="AB81" s="171" t="s">
        <v>178</v>
      </c>
      <c r="AC81" s="171" t="s">
        <v>179</v>
      </c>
      <c r="AD81" s="171" t="s">
        <v>178</v>
      </c>
      <c r="AE81" s="171" t="s">
        <v>180</v>
      </c>
      <c r="AF81" s="171" t="s">
        <v>178</v>
      </c>
      <c r="AG81" s="202" t="s">
        <v>140</v>
      </c>
    </row>
    <row r="82" spans="1:33" s="135" customFormat="1" ht="28.5" customHeight="1">
      <c r="A82" s="121"/>
      <c r="D82" s="174"/>
      <c r="E82" s="175">
        <f>SUM(E83:E94)</f>
        <v>12635740080</v>
      </c>
      <c r="F82" s="175">
        <f t="shared" ref="F82:L82" si="80">SUM(F83:F94)</f>
        <v>24646595</v>
      </c>
      <c r="G82" s="175">
        <f t="shared" si="80"/>
        <v>5326</v>
      </c>
      <c r="H82" s="175">
        <f t="shared" si="80"/>
        <v>10765800</v>
      </c>
      <c r="I82" s="175">
        <f t="shared" si="80"/>
        <v>2683</v>
      </c>
      <c r="J82" s="175">
        <f t="shared" si="80"/>
        <v>1630910</v>
      </c>
      <c r="K82" s="175">
        <f t="shared" si="80"/>
        <v>78</v>
      </c>
      <c r="L82" s="175">
        <f t="shared" si="80"/>
        <v>37043305</v>
      </c>
      <c r="M82" s="176">
        <v>6.0037522578948645E-3</v>
      </c>
      <c r="N82" s="156"/>
      <c r="O82"/>
      <c r="P82" s="177">
        <f t="shared" ref="P82:W82" si="81">SUM(P83:P94)</f>
        <v>38486729381</v>
      </c>
      <c r="Q82" s="175">
        <f t="shared" si="81"/>
        <v>65612995</v>
      </c>
      <c r="R82" s="175">
        <f t="shared" si="81"/>
        <v>13499</v>
      </c>
      <c r="S82" s="175">
        <f t="shared" si="81"/>
        <v>41580924</v>
      </c>
      <c r="T82" s="175">
        <f t="shared" si="81"/>
        <v>10137</v>
      </c>
      <c r="U82" s="175">
        <f t="shared" si="81"/>
        <v>6764645</v>
      </c>
      <c r="V82" s="175">
        <f t="shared" si="81"/>
        <v>374</v>
      </c>
      <c r="W82" s="175">
        <f t="shared" si="81"/>
        <v>113958564</v>
      </c>
      <c r="X82" s="176">
        <f t="shared" ref="X82:X94" si="82">W82/P82</f>
        <v>2.9609833267946815E-3</v>
      </c>
      <c r="Y82" s="156"/>
      <c r="Z82" s="204">
        <f t="shared" ref="Z82:AG82" si="83">SUM(Z83:Z94)</f>
        <v>-25850989301</v>
      </c>
      <c r="AA82" s="175">
        <f>SUM(AA83:AA94)</f>
        <v>-40966400</v>
      </c>
      <c r="AB82" s="175">
        <f t="shared" si="83"/>
        <v>-8173</v>
      </c>
      <c r="AC82" s="175">
        <f t="shared" si="83"/>
        <v>-30815124</v>
      </c>
      <c r="AD82" s="175">
        <f t="shared" si="83"/>
        <v>-7454</v>
      </c>
      <c r="AE82" s="175">
        <f t="shared" si="83"/>
        <v>-5133735</v>
      </c>
      <c r="AF82" s="175">
        <f t="shared" si="83"/>
        <v>-296</v>
      </c>
      <c r="AG82" s="203">
        <f t="shared" si="83"/>
        <v>-76915259</v>
      </c>
    </row>
    <row r="83" spans="1:33" s="135" customFormat="1" ht="28.5" customHeight="1">
      <c r="A83" s="121"/>
      <c r="D83" s="178" t="s">
        <v>182</v>
      </c>
      <c r="E83" s="127">
        <v>2915902280</v>
      </c>
      <c r="F83" s="179">
        <v>5624740</v>
      </c>
      <c r="G83" s="179">
        <v>1281</v>
      </c>
      <c r="H83" s="179">
        <v>3353030</v>
      </c>
      <c r="I83" s="179">
        <v>803</v>
      </c>
      <c r="J83" s="179">
        <v>257880</v>
      </c>
      <c r="K83" s="179">
        <v>15</v>
      </c>
      <c r="L83" s="180">
        <v>9235650</v>
      </c>
      <c r="M83" s="176">
        <f t="shared" ref="M83:M92" si="84">L83/E83</f>
        <v>3.1673386530635039E-3</v>
      </c>
      <c r="N83" s="156"/>
      <c r="O83"/>
      <c r="P83" s="181">
        <v>2489987720</v>
      </c>
      <c r="Q83" s="179">
        <v>4511145</v>
      </c>
      <c r="R83" s="179">
        <v>869</v>
      </c>
      <c r="S83" s="179">
        <v>3481210</v>
      </c>
      <c r="T83" s="179">
        <v>839</v>
      </c>
      <c r="U83" s="179">
        <v>188400</v>
      </c>
      <c r="V83" s="179">
        <v>17</v>
      </c>
      <c r="W83" s="180">
        <v>8180755</v>
      </c>
      <c r="X83" s="176">
        <f t="shared" si="82"/>
        <v>3.2854599780917796E-3</v>
      </c>
      <c r="Y83" s="156"/>
      <c r="Z83" s="181">
        <f t="shared" ref="Z83:AG94" si="85">E83-P83</f>
        <v>425914560</v>
      </c>
      <c r="AA83" s="127">
        <f t="shared" si="85"/>
        <v>1113595</v>
      </c>
      <c r="AB83" s="127">
        <f t="shared" si="85"/>
        <v>412</v>
      </c>
      <c r="AC83" s="127">
        <f t="shared" si="85"/>
        <v>-128180</v>
      </c>
      <c r="AD83" s="127">
        <f t="shared" si="85"/>
        <v>-36</v>
      </c>
      <c r="AE83" s="127">
        <f t="shared" si="85"/>
        <v>69480</v>
      </c>
      <c r="AF83" s="127">
        <f t="shared" si="85"/>
        <v>-2</v>
      </c>
      <c r="AG83" s="199">
        <f>L83-W83</f>
        <v>1054895</v>
      </c>
    </row>
    <row r="84" spans="1:33" s="135" customFormat="1" ht="28.5" customHeight="1">
      <c r="A84" s="121"/>
      <c r="B84" s="125"/>
      <c r="C84" s="125"/>
      <c r="D84" s="178" t="s">
        <v>183</v>
      </c>
      <c r="E84" s="127">
        <v>2783380710</v>
      </c>
      <c r="F84" s="179">
        <v>5492670</v>
      </c>
      <c r="G84" s="179">
        <v>1171</v>
      </c>
      <c r="H84" s="179">
        <v>2417870</v>
      </c>
      <c r="I84" s="179">
        <v>575</v>
      </c>
      <c r="J84" s="179">
        <v>472990</v>
      </c>
      <c r="K84" s="179">
        <v>14</v>
      </c>
      <c r="L84" s="180">
        <v>8383530</v>
      </c>
      <c r="M84" s="176">
        <f t="shared" si="84"/>
        <v>3.0119954377351419E-3</v>
      </c>
      <c r="N84" s="156"/>
      <c r="O84"/>
      <c r="P84" s="181">
        <v>2579486460</v>
      </c>
      <c r="Q84" s="179">
        <v>4408050</v>
      </c>
      <c r="R84" s="179">
        <v>887</v>
      </c>
      <c r="S84" s="179">
        <v>3876320</v>
      </c>
      <c r="T84" s="179">
        <v>931</v>
      </c>
      <c r="U84" s="179">
        <v>350550</v>
      </c>
      <c r="V84" s="179">
        <v>20</v>
      </c>
      <c r="W84" s="180">
        <v>8634920</v>
      </c>
      <c r="X84" s="176">
        <f t="shared" si="82"/>
        <v>3.3475345321254371E-3</v>
      </c>
      <c r="Y84" s="156"/>
      <c r="Z84" s="181">
        <f t="shared" ref="Z84:Z85" si="86">E84-P84</f>
        <v>203894250</v>
      </c>
      <c r="AA84" s="127">
        <f t="shared" ref="AA84:AA85" si="87">F84-Q84</f>
        <v>1084620</v>
      </c>
      <c r="AB84" s="127">
        <f t="shared" ref="AB84:AB85" si="88">G84-R84</f>
        <v>284</v>
      </c>
      <c r="AC84" s="127">
        <f t="shared" ref="AC84:AC85" si="89">H84-S84</f>
        <v>-1458450</v>
      </c>
      <c r="AD84" s="127">
        <f t="shared" ref="AD84:AD85" si="90">I84-T84</f>
        <v>-356</v>
      </c>
      <c r="AE84" s="127">
        <f t="shared" ref="AE84:AE85" si="91">J84-U84</f>
        <v>122440</v>
      </c>
      <c r="AF84" s="127">
        <f t="shared" ref="AF84:AF85" si="92">K84-V84</f>
        <v>-6</v>
      </c>
      <c r="AG84" s="199">
        <f>L84-W84</f>
        <v>-251390</v>
      </c>
    </row>
    <row r="85" spans="1:33" ht="28.5" customHeight="1">
      <c r="A85" s="121"/>
      <c r="D85" s="178" t="s">
        <v>348</v>
      </c>
      <c r="E85" s="127">
        <v>3102208400</v>
      </c>
      <c r="F85" s="179">
        <v>6017000</v>
      </c>
      <c r="G85" s="179">
        <v>1251</v>
      </c>
      <c r="H85" s="179">
        <v>2492400</v>
      </c>
      <c r="I85" s="179">
        <v>599</v>
      </c>
      <c r="J85" s="179">
        <v>228260</v>
      </c>
      <c r="K85" s="179">
        <v>17</v>
      </c>
      <c r="L85" s="180">
        <v>8737660</v>
      </c>
      <c r="M85" s="176">
        <f t="shared" si="84"/>
        <v>2.816593495137206E-3</v>
      </c>
      <c r="N85" s="156"/>
      <c r="P85" s="181">
        <v>2971797680</v>
      </c>
      <c r="Q85" s="179">
        <v>4749545</v>
      </c>
      <c r="R85" s="179">
        <v>962</v>
      </c>
      <c r="S85" s="179">
        <v>3610660</v>
      </c>
      <c r="T85" s="179">
        <v>881</v>
      </c>
      <c r="U85" s="179">
        <v>673530</v>
      </c>
      <c r="V85" s="179">
        <v>30</v>
      </c>
      <c r="W85" s="180">
        <v>9033735</v>
      </c>
      <c r="X85" s="176">
        <f t="shared" si="82"/>
        <v>3.0398216745360675E-3</v>
      </c>
      <c r="Y85" s="156"/>
      <c r="Z85" s="181">
        <f t="shared" si="86"/>
        <v>130410720</v>
      </c>
      <c r="AA85" s="127">
        <f t="shared" si="87"/>
        <v>1267455</v>
      </c>
      <c r="AB85" s="127">
        <f t="shared" si="88"/>
        <v>289</v>
      </c>
      <c r="AC85" s="127">
        <f t="shared" si="89"/>
        <v>-1118260</v>
      </c>
      <c r="AD85" s="127">
        <f t="shared" si="90"/>
        <v>-282</v>
      </c>
      <c r="AE85" s="127">
        <f t="shared" si="91"/>
        <v>-445270</v>
      </c>
      <c r="AF85" s="127">
        <f t="shared" si="92"/>
        <v>-13</v>
      </c>
      <c r="AG85" s="199">
        <f>L85-W85</f>
        <v>-296075</v>
      </c>
    </row>
    <row r="86" spans="1:33" ht="28.5" customHeight="1">
      <c r="A86" s="121"/>
      <c r="D86" s="178" t="s">
        <v>184</v>
      </c>
      <c r="E86" s="127">
        <v>3260615990</v>
      </c>
      <c r="F86" s="179">
        <v>5654845</v>
      </c>
      <c r="G86" s="179">
        <v>1214</v>
      </c>
      <c r="H86" s="179">
        <v>1825200</v>
      </c>
      <c r="I86" s="179">
        <v>541</v>
      </c>
      <c r="J86" s="179">
        <v>539730</v>
      </c>
      <c r="K86" s="179">
        <v>27</v>
      </c>
      <c r="L86" s="180">
        <v>8019775</v>
      </c>
      <c r="M86" s="176">
        <f t="shared" si="84"/>
        <v>2.4595889318447463E-3</v>
      </c>
      <c r="N86" s="156"/>
      <c r="P86" s="181">
        <v>3298460461</v>
      </c>
      <c r="Q86" s="179">
        <v>4807940</v>
      </c>
      <c r="R86" s="179">
        <v>958</v>
      </c>
      <c r="S86" s="179">
        <v>2589140</v>
      </c>
      <c r="T86" s="179">
        <v>626</v>
      </c>
      <c r="U86" s="179">
        <v>438710</v>
      </c>
      <c r="V86" s="179">
        <v>47</v>
      </c>
      <c r="W86" s="180">
        <v>7835790</v>
      </c>
      <c r="X86" s="176">
        <f t="shared" si="82"/>
        <v>2.3755900950300948E-3</v>
      </c>
      <c r="Y86" s="156"/>
      <c r="Z86" s="181">
        <f t="shared" si="85"/>
        <v>-37844471</v>
      </c>
      <c r="AA86" s="179">
        <f t="shared" si="85"/>
        <v>846905</v>
      </c>
      <c r="AB86" s="179">
        <f t="shared" si="85"/>
        <v>256</v>
      </c>
      <c r="AC86" s="179">
        <f t="shared" si="85"/>
        <v>-763940</v>
      </c>
      <c r="AD86" s="179">
        <f t="shared" si="85"/>
        <v>-85</v>
      </c>
      <c r="AE86" s="179">
        <f t="shared" si="85"/>
        <v>101020</v>
      </c>
      <c r="AF86" s="179">
        <f t="shared" si="85"/>
        <v>-20</v>
      </c>
      <c r="AG86" s="199">
        <f t="shared" si="85"/>
        <v>183985</v>
      </c>
    </row>
    <row r="87" spans="1:33" ht="28.5" customHeight="1">
      <c r="A87" s="121"/>
      <c r="D87" s="178" t="s">
        <v>185</v>
      </c>
      <c r="E87" s="127">
        <f>E78</f>
        <v>573632700</v>
      </c>
      <c r="F87" s="179">
        <f t="shared" ref="F87:L87" si="93">F78</f>
        <v>1857340</v>
      </c>
      <c r="G87" s="179">
        <f t="shared" si="93"/>
        <v>409</v>
      </c>
      <c r="H87" s="179">
        <f t="shared" si="93"/>
        <v>677300</v>
      </c>
      <c r="I87" s="179">
        <f t="shared" si="93"/>
        <v>165</v>
      </c>
      <c r="J87" s="179">
        <f t="shared" si="93"/>
        <v>132050</v>
      </c>
      <c r="K87" s="179">
        <f t="shared" si="93"/>
        <v>5</v>
      </c>
      <c r="L87" s="180">
        <f t="shared" si="93"/>
        <v>2666690</v>
      </c>
      <c r="M87" s="176">
        <f t="shared" si="84"/>
        <v>4.6487761245131249E-3</v>
      </c>
      <c r="N87" s="156"/>
      <c r="P87" s="181">
        <v>3552841513</v>
      </c>
      <c r="Q87" s="179">
        <v>5058465</v>
      </c>
      <c r="R87" s="179">
        <v>1031</v>
      </c>
      <c r="S87" s="179">
        <v>3256020</v>
      </c>
      <c r="T87" s="179">
        <v>771</v>
      </c>
      <c r="U87" s="179">
        <v>380700</v>
      </c>
      <c r="V87" s="179">
        <v>27</v>
      </c>
      <c r="W87" s="180">
        <v>8695185</v>
      </c>
      <c r="X87" s="176">
        <f t="shared" si="82"/>
        <v>2.4473889331071887E-3</v>
      </c>
      <c r="Y87" s="156"/>
      <c r="Z87" s="181">
        <f>E87-P87</f>
        <v>-2979208813</v>
      </c>
      <c r="AA87" s="179">
        <f t="shared" si="85"/>
        <v>-3201125</v>
      </c>
      <c r="AB87" s="179">
        <f t="shared" si="85"/>
        <v>-622</v>
      </c>
      <c r="AC87" s="179">
        <f t="shared" si="85"/>
        <v>-2578720</v>
      </c>
      <c r="AD87" s="179">
        <f t="shared" si="85"/>
        <v>-606</v>
      </c>
      <c r="AE87" s="179">
        <f t="shared" si="85"/>
        <v>-248650</v>
      </c>
      <c r="AF87" s="179">
        <f t="shared" si="85"/>
        <v>-22</v>
      </c>
      <c r="AG87" s="199">
        <f t="shared" si="85"/>
        <v>-6028495</v>
      </c>
    </row>
    <row r="88" spans="1:33" ht="28.5" customHeight="1">
      <c r="A88" s="121"/>
      <c r="D88" s="178" t="s">
        <v>352</v>
      </c>
      <c r="E88" s="127"/>
      <c r="F88" s="179"/>
      <c r="G88" s="179"/>
      <c r="H88" s="179"/>
      <c r="I88" s="179"/>
      <c r="J88" s="179"/>
      <c r="K88" s="179"/>
      <c r="L88" s="180"/>
      <c r="M88" s="176" t="e">
        <f t="shared" si="84"/>
        <v>#DIV/0!</v>
      </c>
      <c r="N88" s="156"/>
      <c r="P88" s="181">
        <v>4105249210</v>
      </c>
      <c r="Q88" s="179">
        <v>5195770</v>
      </c>
      <c r="R88" s="179">
        <v>1073</v>
      </c>
      <c r="S88" s="179">
        <v>3641930</v>
      </c>
      <c r="T88" s="179">
        <v>955</v>
      </c>
      <c r="U88" s="179">
        <v>676690</v>
      </c>
      <c r="V88" s="179">
        <v>35</v>
      </c>
      <c r="W88" s="180">
        <v>9514390</v>
      </c>
      <c r="X88" s="176">
        <f t="shared" si="82"/>
        <v>2.3176156947607085E-3</v>
      </c>
      <c r="Y88" s="156"/>
      <c r="Z88" s="181">
        <f t="shared" ref="Z88:Z94" si="94">E88-P88</f>
        <v>-4105249210</v>
      </c>
      <c r="AA88" s="179">
        <f t="shared" si="85"/>
        <v>-5195770</v>
      </c>
      <c r="AB88" s="179">
        <f t="shared" si="85"/>
        <v>-1073</v>
      </c>
      <c r="AC88" s="179">
        <f t="shared" si="85"/>
        <v>-3641930</v>
      </c>
      <c r="AD88" s="179">
        <f t="shared" si="85"/>
        <v>-955</v>
      </c>
      <c r="AE88" s="179">
        <f t="shared" si="85"/>
        <v>-676690</v>
      </c>
      <c r="AF88" s="179">
        <f t="shared" si="85"/>
        <v>-35</v>
      </c>
      <c r="AG88" s="199">
        <f t="shared" si="85"/>
        <v>-9514390</v>
      </c>
    </row>
    <row r="89" spans="1:33" ht="28.5" customHeight="1">
      <c r="A89" s="121"/>
      <c r="D89" s="178" t="s">
        <v>353</v>
      </c>
      <c r="E89" s="127"/>
      <c r="F89" s="179"/>
      <c r="G89" s="179"/>
      <c r="H89" s="179"/>
      <c r="I89" s="179"/>
      <c r="J89" s="179"/>
      <c r="K89" s="179"/>
      <c r="L89" s="180"/>
      <c r="M89" s="176" t="e">
        <f t="shared" si="84"/>
        <v>#DIV/0!</v>
      </c>
      <c r="N89" s="156"/>
      <c r="P89" s="181">
        <v>3343989540</v>
      </c>
      <c r="Q89" s="179">
        <v>5696690</v>
      </c>
      <c r="R89" s="179">
        <v>1249</v>
      </c>
      <c r="S89" s="179">
        <v>4420517</v>
      </c>
      <c r="T89" s="179">
        <v>1096</v>
      </c>
      <c r="U89" s="179">
        <v>667100</v>
      </c>
      <c r="V89" s="179">
        <v>32</v>
      </c>
      <c r="W89" s="180">
        <v>10784307</v>
      </c>
      <c r="X89" s="176">
        <f t="shared" si="82"/>
        <v>3.2249822767089157E-3</v>
      </c>
      <c r="Y89" s="156"/>
      <c r="Z89" s="181">
        <f>E89-P89</f>
        <v>-3343989540</v>
      </c>
      <c r="AA89" s="179">
        <f t="shared" si="85"/>
        <v>-5696690</v>
      </c>
      <c r="AB89" s="179">
        <f t="shared" si="85"/>
        <v>-1249</v>
      </c>
      <c r="AC89" s="179">
        <f t="shared" si="85"/>
        <v>-4420517</v>
      </c>
      <c r="AD89" s="179">
        <f t="shared" si="85"/>
        <v>-1096</v>
      </c>
      <c r="AE89" s="179">
        <f t="shared" si="85"/>
        <v>-667100</v>
      </c>
      <c r="AF89" s="179">
        <f t="shared" si="85"/>
        <v>-32</v>
      </c>
      <c r="AG89" s="199">
        <f t="shared" si="85"/>
        <v>-10784307</v>
      </c>
    </row>
    <row r="90" spans="1:33" ht="28.5" customHeight="1">
      <c r="A90" s="121"/>
      <c r="D90" s="178" t="s">
        <v>188</v>
      </c>
      <c r="E90" s="127"/>
      <c r="F90" s="179"/>
      <c r="G90" s="179"/>
      <c r="H90" s="179"/>
      <c r="I90" s="179"/>
      <c r="J90" s="179"/>
      <c r="K90" s="179"/>
      <c r="L90" s="180"/>
      <c r="M90" s="176" t="e">
        <f t="shared" si="84"/>
        <v>#DIV/0!</v>
      </c>
      <c r="N90" s="156"/>
      <c r="P90" s="181">
        <v>2304136315</v>
      </c>
      <c r="Q90" s="179">
        <v>4022550</v>
      </c>
      <c r="R90" s="179">
        <v>843</v>
      </c>
      <c r="S90" s="179">
        <v>2231440</v>
      </c>
      <c r="T90" s="179">
        <v>545</v>
      </c>
      <c r="U90" s="179">
        <v>533130</v>
      </c>
      <c r="V90" s="179">
        <v>32</v>
      </c>
      <c r="W90" s="180">
        <v>6787120</v>
      </c>
      <c r="X90" s="176">
        <f t="shared" si="82"/>
        <v>2.9456243347303866E-3</v>
      </c>
      <c r="Y90" s="156"/>
      <c r="Z90" s="181">
        <f t="shared" si="94"/>
        <v>-2304136315</v>
      </c>
      <c r="AA90" s="179">
        <f t="shared" si="85"/>
        <v>-4022550</v>
      </c>
      <c r="AB90" s="179">
        <f t="shared" si="85"/>
        <v>-843</v>
      </c>
      <c r="AC90" s="179">
        <f t="shared" si="85"/>
        <v>-2231440</v>
      </c>
      <c r="AD90" s="179">
        <f t="shared" si="85"/>
        <v>-545</v>
      </c>
      <c r="AE90" s="179">
        <f t="shared" si="85"/>
        <v>-533130</v>
      </c>
      <c r="AF90" s="179">
        <f t="shared" si="85"/>
        <v>-32</v>
      </c>
      <c r="AG90" s="199">
        <f t="shared" si="85"/>
        <v>-6787120</v>
      </c>
    </row>
    <row r="91" spans="1:33" ht="28.5" customHeight="1">
      <c r="A91" s="121"/>
      <c r="D91" s="178" t="s">
        <v>355</v>
      </c>
      <c r="E91" s="127"/>
      <c r="F91" s="179"/>
      <c r="G91" s="179"/>
      <c r="H91" s="179"/>
      <c r="I91" s="179"/>
      <c r="J91" s="179"/>
      <c r="K91" s="179"/>
      <c r="L91" s="180"/>
      <c r="M91" s="176" t="e">
        <f t="shared" si="84"/>
        <v>#DIV/0!</v>
      </c>
      <c r="N91" s="156"/>
      <c r="P91" s="181">
        <v>2739329122</v>
      </c>
      <c r="Q91" s="179">
        <v>4390370</v>
      </c>
      <c r="R91" s="179">
        <v>924</v>
      </c>
      <c r="S91" s="179">
        <v>1948397</v>
      </c>
      <c r="T91" s="179">
        <v>479</v>
      </c>
      <c r="U91" s="179">
        <v>1297360</v>
      </c>
      <c r="V91" s="179">
        <v>49</v>
      </c>
      <c r="W91" s="180">
        <v>7636127</v>
      </c>
      <c r="X91" s="176">
        <f t="shared" si="82"/>
        <v>2.7875901945016448E-3</v>
      </c>
      <c r="Y91" s="156"/>
      <c r="Z91" s="181">
        <f t="shared" si="94"/>
        <v>-2739329122</v>
      </c>
      <c r="AA91" s="179">
        <f t="shared" si="85"/>
        <v>-4390370</v>
      </c>
      <c r="AB91" s="179">
        <f t="shared" si="85"/>
        <v>-924</v>
      </c>
      <c r="AC91" s="179">
        <f t="shared" si="85"/>
        <v>-1948397</v>
      </c>
      <c r="AD91" s="179">
        <f t="shared" si="85"/>
        <v>-479</v>
      </c>
      <c r="AE91" s="179">
        <f t="shared" si="85"/>
        <v>-1297360</v>
      </c>
      <c r="AF91" s="179">
        <f t="shared" si="85"/>
        <v>-49</v>
      </c>
      <c r="AG91" s="199">
        <f t="shared" si="85"/>
        <v>-7636127</v>
      </c>
    </row>
    <row r="92" spans="1:33" ht="28.5" customHeight="1">
      <c r="A92" s="121"/>
      <c r="D92" s="178" t="s">
        <v>190</v>
      </c>
      <c r="E92" s="127"/>
      <c r="F92" s="179"/>
      <c r="G92" s="179"/>
      <c r="H92" s="179"/>
      <c r="I92" s="179"/>
      <c r="J92" s="179"/>
      <c r="K92" s="179"/>
      <c r="L92" s="180"/>
      <c r="M92" s="176" t="e">
        <f t="shared" si="84"/>
        <v>#DIV/0!</v>
      </c>
      <c r="N92" s="156"/>
      <c r="P92" s="181">
        <v>4333193830</v>
      </c>
      <c r="Q92" s="179">
        <v>7607475</v>
      </c>
      <c r="R92" s="179">
        <v>1577</v>
      </c>
      <c r="S92" s="179">
        <v>4078670</v>
      </c>
      <c r="T92" s="179">
        <v>970</v>
      </c>
      <c r="U92" s="179">
        <v>692275</v>
      </c>
      <c r="V92" s="179">
        <v>28</v>
      </c>
      <c r="W92" s="180">
        <v>12378420</v>
      </c>
      <c r="X92" s="176">
        <f t="shared" si="82"/>
        <v>2.8566504259053649E-3</v>
      </c>
      <c r="Y92" s="156"/>
      <c r="Z92" s="181">
        <f t="shared" ref="Z92:AF93" si="95">E93-P92</f>
        <v>-4333193830</v>
      </c>
      <c r="AA92" s="179">
        <f t="shared" si="95"/>
        <v>-7607475</v>
      </c>
      <c r="AB92" s="179">
        <f t="shared" si="95"/>
        <v>-1577</v>
      </c>
      <c r="AC92" s="179">
        <f t="shared" si="95"/>
        <v>-4078670</v>
      </c>
      <c r="AD92" s="179">
        <f t="shared" si="95"/>
        <v>-970</v>
      </c>
      <c r="AE92" s="179">
        <f t="shared" si="95"/>
        <v>-692275</v>
      </c>
      <c r="AF92" s="179">
        <f t="shared" si="95"/>
        <v>-28</v>
      </c>
      <c r="AG92" s="199">
        <f t="shared" si="85"/>
        <v>-12378420</v>
      </c>
    </row>
    <row r="93" spans="1:33" ht="28.5" customHeight="1">
      <c r="A93" s="121"/>
      <c r="D93" s="178" t="s">
        <v>191</v>
      </c>
      <c r="E93" s="127"/>
      <c r="F93" s="179"/>
      <c r="G93" s="179"/>
      <c r="H93" s="179"/>
      <c r="I93" s="179"/>
      <c r="J93" s="179"/>
      <c r="K93" s="179"/>
      <c r="L93" s="180"/>
      <c r="M93" s="176" t="e">
        <f>L93/E93</f>
        <v>#DIV/0!</v>
      </c>
      <c r="N93" s="156"/>
      <c r="P93" s="181">
        <v>3572246660</v>
      </c>
      <c r="Q93" s="179">
        <v>8732670</v>
      </c>
      <c r="R93" s="179">
        <v>1829</v>
      </c>
      <c r="S93" s="179">
        <v>5158350</v>
      </c>
      <c r="T93" s="179">
        <v>1256</v>
      </c>
      <c r="U93" s="179">
        <v>269150</v>
      </c>
      <c r="V93" s="179">
        <v>27</v>
      </c>
      <c r="W93" s="180">
        <v>14160170</v>
      </c>
      <c r="X93" s="176">
        <f t="shared" si="82"/>
        <v>3.9639396009680918E-3</v>
      </c>
      <c r="Y93" s="156"/>
      <c r="Z93" s="181">
        <f t="shared" si="95"/>
        <v>-3572246660</v>
      </c>
      <c r="AA93" s="179">
        <f t="shared" si="95"/>
        <v>-8732670</v>
      </c>
      <c r="AB93" s="179">
        <f t="shared" si="95"/>
        <v>-1829</v>
      </c>
      <c r="AC93" s="179">
        <f t="shared" si="95"/>
        <v>-5158350</v>
      </c>
      <c r="AD93" s="179">
        <f t="shared" si="95"/>
        <v>-1256</v>
      </c>
      <c r="AE93" s="179">
        <f t="shared" si="95"/>
        <v>-269150</v>
      </c>
      <c r="AF93" s="179">
        <f t="shared" si="95"/>
        <v>-27</v>
      </c>
      <c r="AG93" s="199">
        <f t="shared" si="85"/>
        <v>-14160170</v>
      </c>
    </row>
    <row r="94" spans="1:33" ht="28.5" customHeight="1" thickBot="1">
      <c r="A94" s="121"/>
      <c r="D94" s="182" t="s">
        <v>192</v>
      </c>
      <c r="E94" s="183"/>
      <c r="F94" s="184"/>
      <c r="G94" s="184"/>
      <c r="H94" s="184"/>
      <c r="I94" s="184"/>
      <c r="J94" s="184"/>
      <c r="K94" s="184"/>
      <c r="L94" s="185"/>
      <c r="M94" s="186" t="e">
        <f>L94/E94</f>
        <v>#DIV/0!</v>
      </c>
      <c r="N94" s="156"/>
      <c r="P94" s="187">
        <v>3196010870</v>
      </c>
      <c r="Q94" s="184">
        <v>6432325</v>
      </c>
      <c r="R94" s="184">
        <v>1297</v>
      </c>
      <c r="S94" s="184">
        <v>3288270</v>
      </c>
      <c r="T94" s="184">
        <v>788</v>
      </c>
      <c r="U94" s="184">
        <v>597050</v>
      </c>
      <c r="V94" s="184">
        <v>30</v>
      </c>
      <c r="W94" s="185">
        <v>10317645</v>
      </c>
      <c r="X94" s="186">
        <f t="shared" si="82"/>
        <v>3.2282884569788711E-3</v>
      </c>
      <c r="Y94" s="156"/>
      <c r="Z94" s="187">
        <f t="shared" si="94"/>
        <v>-3196010870</v>
      </c>
      <c r="AA94" s="184">
        <f t="shared" si="85"/>
        <v>-6432325</v>
      </c>
      <c r="AB94" s="184">
        <f t="shared" si="85"/>
        <v>-1297</v>
      </c>
      <c r="AC94" s="184">
        <f t="shared" si="85"/>
        <v>-3288270</v>
      </c>
      <c r="AD94" s="184">
        <f t="shared" si="85"/>
        <v>-788</v>
      </c>
      <c r="AE94" s="184">
        <f t="shared" si="85"/>
        <v>-597050</v>
      </c>
      <c r="AF94" s="184">
        <f t="shared" si="85"/>
        <v>-30</v>
      </c>
      <c r="AG94" s="200">
        <f t="shared" si="85"/>
        <v>-10317645</v>
      </c>
    </row>
    <row r="95" spans="1:33" ht="28.5" customHeight="1">
      <c r="D95" s="205"/>
      <c r="E95" s="206"/>
      <c r="F95" s="207"/>
      <c r="G95" s="207"/>
      <c r="H95" s="207"/>
      <c r="I95" s="207"/>
      <c r="J95" s="207"/>
      <c r="K95" s="207"/>
      <c r="L95" s="206"/>
      <c r="M95" s="206"/>
      <c r="P95" s="207"/>
      <c r="Q95" s="207"/>
      <c r="R95" s="207"/>
      <c r="S95" s="207"/>
      <c r="T95" s="207"/>
      <c r="U95" s="207"/>
      <c r="V95" s="207"/>
      <c r="W95" s="206"/>
      <c r="X95" s="206"/>
      <c r="Z95" s="207"/>
      <c r="AA95" s="206"/>
      <c r="AB95" s="206"/>
      <c r="AC95" s="206"/>
      <c r="AD95" s="206"/>
      <c r="AE95" s="206"/>
      <c r="AF95" s="206"/>
      <c r="AG95" s="206"/>
    </row>
    <row r="97" spans="6:24" ht="28.5" customHeight="1">
      <c r="F97" s="166">
        <f>매장경비정리!F5</f>
        <v>6214785</v>
      </c>
      <c r="G97" s="166">
        <f>매장경비정리!G5</f>
        <v>1332</v>
      </c>
      <c r="H97" s="166">
        <f>매장경비정리!H5</f>
        <v>2454345</v>
      </c>
      <c r="I97" s="166">
        <f>매장경비정리!I5</f>
        <v>591</v>
      </c>
      <c r="J97" s="166">
        <f>매장경비정리!J5</f>
        <v>442100</v>
      </c>
      <c r="K97" s="166">
        <f>매장경비정리!K5</f>
        <v>23</v>
      </c>
      <c r="L97" s="166">
        <f>매장경비정리!L5</f>
        <v>9111230</v>
      </c>
      <c r="P97" s="166">
        <v>3444796983</v>
      </c>
      <c r="Q97" s="166">
        <v>4648465</v>
      </c>
      <c r="R97" s="166">
        <v>952</v>
      </c>
      <c r="S97" s="166">
        <v>3072620</v>
      </c>
      <c r="T97" s="166">
        <v>726</v>
      </c>
      <c r="U97" s="166">
        <v>380700</v>
      </c>
      <c r="V97" s="166">
        <v>27</v>
      </c>
      <c r="W97" s="125">
        <v>8101785</v>
      </c>
      <c r="X97" s="125">
        <v>2.3222794033371146E-3</v>
      </c>
    </row>
    <row r="98" spans="6:24" ht="28.5" customHeight="1">
      <c r="F98" s="166">
        <f t="shared" ref="F98:L98" si="96">F97-F79</f>
        <v>0</v>
      </c>
      <c r="G98" s="166">
        <f t="shared" si="96"/>
        <v>0</v>
      </c>
      <c r="H98" s="166">
        <f t="shared" si="96"/>
        <v>0</v>
      </c>
      <c r="I98" s="166">
        <f t="shared" si="96"/>
        <v>0</v>
      </c>
      <c r="J98" s="166">
        <f t="shared" si="96"/>
        <v>0</v>
      </c>
      <c r="K98" s="166">
        <f t="shared" si="96"/>
        <v>0</v>
      </c>
      <c r="L98" s="166">
        <f t="shared" si="96"/>
        <v>0</v>
      </c>
      <c r="P98" s="166">
        <f t="shared" ref="P98:W98" si="97">P97-P79</f>
        <v>0</v>
      </c>
      <c r="Q98" s="166">
        <f t="shared" si="97"/>
        <v>0</v>
      </c>
      <c r="R98" s="166">
        <f t="shared" si="97"/>
        <v>0</v>
      </c>
      <c r="S98" s="166">
        <f t="shared" si="97"/>
        <v>0</v>
      </c>
      <c r="T98" s="166">
        <f t="shared" si="97"/>
        <v>0</v>
      </c>
      <c r="U98" s="166">
        <f t="shared" si="97"/>
        <v>0</v>
      </c>
      <c r="V98" s="166">
        <f t="shared" si="97"/>
        <v>0</v>
      </c>
      <c r="W98" s="166">
        <f t="shared" si="97"/>
        <v>0</v>
      </c>
    </row>
  </sheetData>
  <autoFilter ref="A3:AG79"/>
  <mergeCells count="8">
    <mergeCell ref="A48:A62"/>
    <mergeCell ref="A66:A77"/>
    <mergeCell ref="E2:M2"/>
    <mergeCell ref="P2:X2"/>
    <mergeCell ref="Z2:AG2"/>
    <mergeCell ref="A4:A6"/>
    <mergeCell ref="A10:A19"/>
    <mergeCell ref="A23:A44"/>
  </mergeCells>
  <phoneticPr fontId="3" type="noConversion"/>
  <printOptions horizontalCentered="1" verticalCentered="1"/>
  <pageMargins left="0" right="0" top="0" bottom="0" header="0.31496062992125984" footer="0.31496062992125984"/>
  <pageSetup paperSize="8" scale="3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T95"/>
  <sheetViews>
    <sheetView workbookViewId="0">
      <pane ySplit="2" topLeftCell="A42" activePane="bottomLeft" state="frozen"/>
      <selection pane="bottomLeft" activeCell="D2" sqref="D2"/>
    </sheetView>
  </sheetViews>
  <sheetFormatPr defaultRowHeight="16.5"/>
  <cols>
    <col min="1" max="2" width="5.875" customWidth="1"/>
    <col min="3" max="4" width="13" customWidth="1"/>
    <col min="5" max="5" width="11.75" customWidth="1"/>
    <col min="6" max="6" width="9.5" customWidth="1"/>
    <col min="7" max="7" width="5.25" customWidth="1"/>
    <col min="8" max="8" width="27.125" customWidth="1"/>
    <col min="9" max="9" width="5.25" customWidth="1"/>
    <col min="10" max="10" width="29.5" style="226" customWidth="1"/>
    <col min="11" max="11" width="11.75" customWidth="1"/>
    <col min="12" max="12" width="5.25" customWidth="1"/>
    <col min="13" max="13" width="29.5" customWidth="1"/>
    <col min="14" max="14" width="8.25" customWidth="1"/>
    <col min="15" max="15" width="5.25" customWidth="1"/>
    <col min="16" max="16" width="17.75" customWidth="1"/>
    <col min="17" max="17" width="21.25" customWidth="1"/>
    <col min="18" max="20" width="5.25" customWidth="1"/>
  </cols>
  <sheetData>
    <row r="1" spans="1:20">
      <c r="B1" s="63"/>
      <c r="D1" s="198"/>
    </row>
    <row r="2" spans="1:20">
      <c r="A2" s="217" t="s">
        <v>358</v>
      </c>
      <c r="B2" s="225" t="s">
        <v>359</v>
      </c>
      <c r="C2" s="225" t="s">
        <v>197</v>
      </c>
      <c r="D2" s="225" t="s">
        <v>424</v>
      </c>
      <c r="E2" s="225" t="s">
        <v>360</v>
      </c>
      <c r="F2" s="225" t="s">
        <v>361</v>
      </c>
      <c r="G2" s="218"/>
      <c r="H2" s="225" t="s">
        <v>425</v>
      </c>
      <c r="I2" s="218"/>
      <c r="J2" s="227" t="s">
        <v>426</v>
      </c>
      <c r="K2" s="225" t="s">
        <v>395</v>
      </c>
      <c r="L2" s="218"/>
      <c r="M2" s="225" t="s">
        <v>427</v>
      </c>
      <c r="N2" s="225" t="s">
        <v>362</v>
      </c>
      <c r="O2" s="218"/>
      <c r="P2" s="225" t="s">
        <v>428</v>
      </c>
      <c r="Q2" s="225" t="s">
        <v>396</v>
      </c>
      <c r="R2" s="218"/>
      <c r="S2" s="225" t="s">
        <v>363</v>
      </c>
      <c r="T2" s="225" t="s">
        <v>364</v>
      </c>
    </row>
    <row r="3" spans="1:20">
      <c r="A3" s="219">
        <v>1</v>
      </c>
      <c r="B3" s="218">
        <v>213</v>
      </c>
      <c r="C3" s="218" t="s">
        <v>74</v>
      </c>
      <c r="D3" s="220">
        <v>4813150</v>
      </c>
      <c r="E3" s="220">
        <v>4813150</v>
      </c>
      <c r="F3" s="219">
        <v>0</v>
      </c>
      <c r="G3" s="218"/>
      <c r="H3" s="220">
        <v>140435320</v>
      </c>
      <c r="I3" s="281" t="str">
        <f>IF(ISERROR(VLOOKUP(C3,'26년 5월경비'!$D:$D,1,FALSE)),"X","○")</f>
        <v>○</v>
      </c>
      <c r="J3" s="228">
        <v>140435320</v>
      </c>
      <c r="K3" s="221">
        <v>1.163</v>
      </c>
      <c r="L3" s="218"/>
      <c r="M3" s="220">
        <v>558204440</v>
      </c>
      <c r="N3" s="221">
        <v>0.438</v>
      </c>
      <c r="O3" s="218"/>
      <c r="P3" s="220">
        <v>120767583</v>
      </c>
      <c r="Q3" s="220">
        <v>1273708803</v>
      </c>
      <c r="R3" s="218"/>
      <c r="S3" s="218"/>
      <c r="T3" s="218"/>
    </row>
    <row r="4" spans="1:20">
      <c r="A4" s="219">
        <v>2</v>
      </c>
      <c r="B4" s="218">
        <v>307</v>
      </c>
      <c r="C4" s="218" t="s">
        <v>67</v>
      </c>
      <c r="D4" s="220">
        <v>6654450</v>
      </c>
      <c r="E4" s="220">
        <v>6654450</v>
      </c>
      <c r="F4" s="219">
        <v>0</v>
      </c>
      <c r="G4" s="218"/>
      <c r="H4" s="220">
        <v>131578880</v>
      </c>
      <c r="I4" s="281" t="str">
        <f>IF(ISERROR(VLOOKUP(C4,'26년 5월경비'!$D:$D,1,FALSE)),"X","○")</f>
        <v>○</v>
      </c>
      <c r="J4" s="228">
        <v>131578880</v>
      </c>
      <c r="K4" s="221">
        <v>0.97799999999999998</v>
      </c>
      <c r="L4" s="218"/>
      <c r="M4" s="220">
        <v>544718680</v>
      </c>
      <c r="N4" s="221">
        <v>0.40600000000000003</v>
      </c>
      <c r="O4" s="218"/>
      <c r="P4" s="220">
        <v>134501410</v>
      </c>
      <c r="Q4" s="220">
        <v>1341303410</v>
      </c>
      <c r="R4" s="218"/>
      <c r="S4" s="218"/>
      <c r="T4" s="218"/>
    </row>
    <row r="5" spans="1:20">
      <c r="A5" s="219">
        <v>3</v>
      </c>
      <c r="B5" s="218">
        <v>314</v>
      </c>
      <c r="C5" s="218" t="s">
        <v>78</v>
      </c>
      <c r="D5" s="220">
        <v>1913500</v>
      </c>
      <c r="E5" s="220">
        <v>1913500</v>
      </c>
      <c r="F5" s="220">
        <v>0</v>
      </c>
      <c r="G5" s="218"/>
      <c r="H5" s="220">
        <v>128665630</v>
      </c>
      <c r="I5" s="281" t="str">
        <f>IF(ISERROR(VLOOKUP(C5,'26년 5월경비'!$D:$D,1,FALSE)),"X","○")</f>
        <v>○</v>
      </c>
      <c r="J5" s="228">
        <v>128665630</v>
      </c>
      <c r="K5" s="221">
        <v>1.2250000000000001</v>
      </c>
      <c r="L5" s="218"/>
      <c r="M5" s="220">
        <v>383554610</v>
      </c>
      <c r="N5" s="221">
        <v>0.41099999999999998</v>
      </c>
      <c r="O5" s="218"/>
      <c r="P5" s="220">
        <v>104992240</v>
      </c>
      <c r="Q5" s="220">
        <v>934235540</v>
      </c>
      <c r="R5" s="218"/>
      <c r="S5" s="218"/>
      <c r="T5" s="218"/>
    </row>
    <row r="6" spans="1:20">
      <c r="A6" s="219">
        <v>4</v>
      </c>
      <c r="B6" s="218">
        <v>128</v>
      </c>
      <c r="C6" s="218" t="s">
        <v>76</v>
      </c>
      <c r="D6" s="220">
        <v>16232600</v>
      </c>
      <c r="E6" s="220">
        <v>16232600</v>
      </c>
      <c r="F6" s="219">
        <v>0</v>
      </c>
      <c r="G6" s="218"/>
      <c r="H6" s="220">
        <v>128028400</v>
      </c>
      <c r="I6" s="281" t="str">
        <f>IF(ISERROR(VLOOKUP(C6,'26년 5월경비'!$D:$D,1,FALSE)),"X","○")</f>
        <v>○</v>
      </c>
      <c r="J6" s="228">
        <v>128028400</v>
      </c>
      <c r="K6" s="221">
        <v>1.268</v>
      </c>
      <c r="L6" s="218"/>
      <c r="M6" s="220">
        <v>341686200</v>
      </c>
      <c r="N6" s="221">
        <v>0.42699999999999999</v>
      </c>
      <c r="O6" s="218"/>
      <c r="P6" s="220">
        <v>101004360</v>
      </c>
      <c r="Q6" s="220">
        <v>800273270</v>
      </c>
      <c r="R6" s="218"/>
      <c r="S6" s="218"/>
      <c r="T6" s="218"/>
    </row>
    <row r="7" spans="1:20">
      <c r="A7" s="219">
        <v>5</v>
      </c>
      <c r="B7" s="218">
        <v>5602</v>
      </c>
      <c r="C7" s="218" t="s">
        <v>132</v>
      </c>
      <c r="D7" s="220">
        <v>6189550</v>
      </c>
      <c r="E7" s="220">
        <v>6189550</v>
      </c>
      <c r="F7" s="219">
        <v>0</v>
      </c>
      <c r="G7" s="218"/>
      <c r="H7" s="220">
        <v>125031550</v>
      </c>
      <c r="I7" s="281" t="str">
        <f>IF(ISERROR(VLOOKUP(C7,'26년 5월경비'!$D:$D,1,FALSE)),"X","○")</f>
        <v>○</v>
      </c>
      <c r="J7" s="228">
        <v>125031550</v>
      </c>
      <c r="K7" s="221">
        <v>1.1950000000000001</v>
      </c>
      <c r="L7" s="218"/>
      <c r="M7" s="220">
        <v>480212540</v>
      </c>
      <c r="N7" s="221">
        <v>0.436</v>
      </c>
      <c r="O7" s="218"/>
      <c r="P7" s="220">
        <v>104625940</v>
      </c>
      <c r="Q7" s="220">
        <v>1102576200</v>
      </c>
      <c r="R7" s="218"/>
      <c r="S7" s="218"/>
      <c r="T7" s="218"/>
    </row>
    <row r="8" spans="1:20">
      <c r="A8" s="219">
        <v>6</v>
      </c>
      <c r="B8" s="218">
        <v>5002</v>
      </c>
      <c r="C8" s="218" t="s">
        <v>64</v>
      </c>
      <c r="D8" s="220">
        <v>4906040</v>
      </c>
      <c r="E8" s="220">
        <v>4906040</v>
      </c>
      <c r="F8" s="219">
        <v>0</v>
      </c>
      <c r="G8" s="218"/>
      <c r="H8" s="220">
        <v>119883530</v>
      </c>
      <c r="I8" s="281" t="str">
        <f>IF(ISERROR(VLOOKUP(C8,'26년 5월경비'!$D:$D,1,FALSE)),"X","○")</f>
        <v>○</v>
      </c>
      <c r="J8" s="228">
        <v>119883530</v>
      </c>
      <c r="K8" s="221">
        <v>1.5760000000000001</v>
      </c>
      <c r="L8" s="218"/>
      <c r="M8" s="220">
        <v>368846030</v>
      </c>
      <c r="N8" s="221">
        <v>0.39200000000000002</v>
      </c>
      <c r="O8" s="218"/>
      <c r="P8" s="220">
        <v>76085360</v>
      </c>
      <c r="Q8" s="220">
        <v>941268620</v>
      </c>
      <c r="R8" s="218"/>
      <c r="S8" s="218"/>
      <c r="T8" s="218"/>
    </row>
    <row r="9" spans="1:20">
      <c r="A9" s="219">
        <v>7</v>
      </c>
      <c r="B9" s="218">
        <v>219</v>
      </c>
      <c r="C9" s="218" t="s">
        <v>72</v>
      </c>
      <c r="D9" s="220">
        <v>8197450</v>
      </c>
      <c r="E9" s="220">
        <v>8197450</v>
      </c>
      <c r="F9" s="219">
        <v>0</v>
      </c>
      <c r="G9" s="218"/>
      <c r="H9" s="220">
        <v>115875950</v>
      </c>
      <c r="I9" s="281" t="str">
        <f>IF(ISERROR(VLOOKUP(C9,'26년 5월경비'!$D:$D,1,FALSE)),"X","○")</f>
        <v>○</v>
      </c>
      <c r="J9" s="228">
        <v>115875950</v>
      </c>
      <c r="K9" s="221">
        <v>1.2609999999999999</v>
      </c>
      <c r="L9" s="218"/>
      <c r="M9" s="220">
        <v>420179870</v>
      </c>
      <c r="N9" s="221">
        <v>0.41</v>
      </c>
      <c r="O9" s="218"/>
      <c r="P9" s="220">
        <v>91924790</v>
      </c>
      <c r="Q9" s="220">
        <v>1023636610</v>
      </c>
      <c r="R9" s="218"/>
      <c r="S9" s="218"/>
      <c r="T9" s="218"/>
    </row>
    <row r="10" spans="1:20">
      <c r="A10" s="219">
        <v>8</v>
      </c>
      <c r="B10" s="218">
        <v>301</v>
      </c>
      <c r="C10" s="218" t="s">
        <v>11</v>
      </c>
      <c r="D10" s="220">
        <v>3022800</v>
      </c>
      <c r="E10" s="220">
        <v>3022800</v>
      </c>
      <c r="F10" s="219">
        <v>0</v>
      </c>
      <c r="G10" s="218"/>
      <c r="H10" s="220">
        <v>113884530</v>
      </c>
      <c r="I10" s="281" t="str">
        <f>IF(ISERROR(VLOOKUP(C10,'26년 5월경비'!$D:$D,1,FALSE)),"X","○")</f>
        <v>○</v>
      </c>
      <c r="J10" s="228">
        <v>113884530</v>
      </c>
      <c r="K10" s="221">
        <v>1.0269999999999999</v>
      </c>
      <c r="L10" s="218"/>
      <c r="M10" s="220">
        <v>457978260</v>
      </c>
      <c r="N10" s="221">
        <v>0.441</v>
      </c>
      <c r="O10" s="218"/>
      <c r="P10" s="220">
        <v>110837850</v>
      </c>
      <c r="Q10" s="220">
        <v>1037354400</v>
      </c>
      <c r="R10" s="218"/>
      <c r="S10" s="218"/>
      <c r="T10" s="218"/>
    </row>
    <row r="11" spans="1:20">
      <c r="A11" s="219">
        <v>9</v>
      </c>
      <c r="B11" s="218">
        <v>504</v>
      </c>
      <c r="C11" s="218" t="s">
        <v>104</v>
      </c>
      <c r="D11" s="220">
        <v>3280900</v>
      </c>
      <c r="E11" s="220">
        <v>3280900</v>
      </c>
      <c r="F11" s="219">
        <v>0</v>
      </c>
      <c r="G11" s="218"/>
      <c r="H11" s="220">
        <v>113477660</v>
      </c>
      <c r="I11" s="281" t="str">
        <f>IF(ISERROR(VLOOKUP(C11,'26년 5월경비'!$D:$D,1,FALSE)),"X","○")</f>
        <v>○</v>
      </c>
      <c r="J11" s="228">
        <v>113477660</v>
      </c>
      <c r="K11" s="221">
        <v>1.091</v>
      </c>
      <c r="L11" s="218"/>
      <c r="M11" s="220">
        <v>435458830</v>
      </c>
      <c r="N11" s="221">
        <v>0.42399999999999999</v>
      </c>
      <c r="O11" s="218"/>
      <c r="P11" s="220">
        <v>104027390</v>
      </c>
      <c r="Q11" s="220">
        <v>1026248830</v>
      </c>
      <c r="R11" s="218"/>
      <c r="S11" s="218"/>
      <c r="T11" s="218"/>
    </row>
    <row r="12" spans="1:20">
      <c r="A12" s="219">
        <v>10</v>
      </c>
      <c r="B12" s="218">
        <v>5601</v>
      </c>
      <c r="C12" s="218" t="s">
        <v>171</v>
      </c>
      <c r="D12" s="220">
        <v>8039150</v>
      </c>
      <c r="E12" s="220">
        <v>8039150</v>
      </c>
      <c r="F12" s="219">
        <v>0</v>
      </c>
      <c r="G12" s="218"/>
      <c r="H12" s="220">
        <v>112038310</v>
      </c>
      <c r="I12" s="281" t="str">
        <f>IF(ISERROR(VLOOKUP(C12,'26년 5월경비'!$D:$D,1,FALSE)),"X","○")</f>
        <v>○</v>
      </c>
      <c r="J12" s="228">
        <v>112038310</v>
      </c>
      <c r="K12" s="221">
        <v>1.161</v>
      </c>
      <c r="L12" s="218"/>
      <c r="M12" s="220">
        <v>440031600</v>
      </c>
      <c r="N12" s="221">
        <v>0.42799999999999999</v>
      </c>
      <c r="O12" s="218"/>
      <c r="P12" s="220">
        <v>96500780</v>
      </c>
      <c r="Q12" s="220">
        <v>1029305560</v>
      </c>
      <c r="R12" s="218"/>
      <c r="S12" s="218"/>
      <c r="T12" s="218"/>
    </row>
    <row r="13" spans="1:20">
      <c r="A13" s="219">
        <v>11</v>
      </c>
      <c r="B13" s="218">
        <v>304</v>
      </c>
      <c r="C13" s="218" t="s">
        <v>153</v>
      </c>
      <c r="D13" s="220">
        <v>1242950</v>
      </c>
      <c r="E13" s="220">
        <v>1242950</v>
      </c>
      <c r="F13" s="219">
        <v>0</v>
      </c>
      <c r="G13" s="218"/>
      <c r="H13" s="220">
        <v>109556570</v>
      </c>
      <c r="I13" s="281" t="str">
        <f>IF(ISERROR(VLOOKUP(C13,'26년 5월경비'!$D:$D,1,FALSE)),"X","○")</f>
        <v>○</v>
      </c>
      <c r="J13" s="228">
        <v>109556570</v>
      </c>
      <c r="K13" s="221">
        <v>1.0569999999999999</v>
      </c>
      <c r="L13" s="218"/>
      <c r="M13" s="220">
        <v>493837350</v>
      </c>
      <c r="N13" s="221">
        <v>0.47799999999999998</v>
      </c>
      <c r="O13" s="218"/>
      <c r="P13" s="220">
        <v>103625400</v>
      </c>
      <c r="Q13" s="220">
        <v>1033645690</v>
      </c>
      <c r="R13" s="218"/>
      <c r="S13" s="218"/>
      <c r="T13" s="218"/>
    </row>
    <row r="14" spans="1:20">
      <c r="A14" s="219">
        <v>12</v>
      </c>
      <c r="B14" s="218">
        <v>201</v>
      </c>
      <c r="C14" s="218" t="s">
        <v>62</v>
      </c>
      <c r="D14" s="220">
        <v>2919800</v>
      </c>
      <c r="E14" s="220">
        <v>2919800</v>
      </c>
      <c r="F14" s="219">
        <v>0</v>
      </c>
      <c r="G14" s="218"/>
      <c r="H14" s="220">
        <v>100163700</v>
      </c>
      <c r="I14" s="281" t="str">
        <f>IF(ISERROR(VLOOKUP(C14,'26년 5월경비'!$D:$D,1,FALSE)),"X","○")</f>
        <v>○</v>
      </c>
      <c r="J14" s="228">
        <v>100163700</v>
      </c>
      <c r="K14" s="221">
        <v>1.246</v>
      </c>
      <c r="L14" s="218"/>
      <c r="M14" s="220">
        <v>429974100</v>
      </c>
      <c r="N14" s="221">
        <v>0.39200000000000002</v>
      </c>
      <c r="O14" s="218"/>
      <c r="P14" s="220">
        <v>80394050</v>
      </c>
      <c r="Q14" s="220">
        <v>1097810240</v>
      </c>
      <c r="R14" s="218"/>
      <c r="S14" s="218"/>
      <c r="T14" s="218"/>
    </row>
    <row r="15" spans="1:20">
      <c r="A15" s="219">
        <v>13</v>
      </c>
      <c r="B15" s="218">
        <v>306</v>
      </c>
      <c r="C15" s="218" t="s">
        <v>79</v>
      </c>
      <c r="D15" s="220">
        <v>4210300</v>
      </c>
      <c r="E15" s="220">
        <v>4210300</v>
      </c>
      <c r="F15" s="219">
        <v>0</v>
      </c>
      <c r="G15" s="218"/>
      <c r="H15" s="220">
        <v>92603710</v>
      </c>
      <c r="I15" s="281" t="str">
        <f>IF(ISERROR(VLOOKUP(C15,'26년 5월경비'!$D:$D,1,FALSE)),"X","○")</f>
        <v>○</v>
      </c>
      <c r="J15" s="228">
        <v>92603710</v>
      </c>
      <c r="K15" s="221">
        <v>1.03</v>
      </c>
      <c r="L15" s="218"/>
      <c r="M15" s="220">
        <v>376815570</v>
      </c>
      <c r="N15" s="221">
        <v>0.39800000000000002</v>
      </c>
      <c r="O15" s="218"/>
      <c r="P15" s="220">
        <v>89934950</v>
      </c>
      <c r="Q15" s="220">
        <v>947956950</v>
      </c>
      <c r="R15" s="218"/>
      <c r="S15" s="218"/>
      <c r="T15" s="218"/>
    </row>
    <row r="16" spans="1:20">
      <c r="A16" s="219">
        <v>14</v>
      </c>
      <c r="B16" s="218">
        <v>203</v>
      </c>
      <c r="C16" s="218" t="s">
        <v>77</v>
      </c>
      <c r="D16" s="220">
        <v>1651400</v>
      </c>
      <c r="E16" s="220">
        <v>1651400</v>
      </c>
      <c r="F16" s="219">
        <v>0</v>
      </c>
      <c r="G16" s="218"/>
      <c r="H16" s="220">
        <v>91347890</v>
      </c>
      <c r="I16" s="281" t="str">
        <f>IF(ISERROR(VLOOKUP(C16,'26년 5월경비'!$D:$D,1,FALSE)),"X","○")</f>
        <v>○</v>
      </c>
      <c r="J16" s="228">
        <v>91347890</v>
      </c>
      <c r="K16" s="221">
        <v>1.0569999999999999</v>
      </c>
      <c r="L16" s="218"/>
      <c r="M16" s="220">
        <v>347567300</v>
      </c>
      <c r="N16" s="221">
        <v>0.42</v>
      </c>
      <c r="O16" s="218"/>
      <c r="P16" s="220">
        <v>86437610</v>
      </c>
      <c r="Q16" s="220">
        <v>828182360</v>
      </c>
      <c r="R16" s="218"/>
      <c r="S16" s="218"/>
      <c r="T16" s="218"/>
    </row>
    <row r="17" spans="1:20">
      <c r="A17" s="219">
        <v>15</v>
      </c>
      <c r="B17" s="218">
        <v>101</v>
      </c>
      <c r="C17" s="218" t="s">
        <v>70</v>
      </c>
      <c r="D17" s="220">
        <v>925600</v>
      </c>
      <c r="E17" s="220">
        <v>925600</v>
      </c>
      <c r="F17" s="220">
        <v>0</v>
      </c>
      <c r="G17" s="218"/>
      <c r="H17" s="220">
        <v>90833470</v>
      </c>
      <c r="I17" s="281" t="str">
        <f>IF(ISERROR(VLOOKUP(C17,'26년 5월경비'!$D:$D,1,FALSE)),"X","○")</f>
        <v>○</v>
      </c>
      <c r="J17" s="228">
        <v>90833470</v>
      </c>
      <c r="K17" s="221">
        <v>1.4359999999999999</v>
      </c>
      <c r="L17" s="218"/>
      <c r="M17" s="220">
        <v>369840250</v>
      </c>
      <c r="N17" s="221">
        <v>0.46700000000000003</v>
      </c>
      <c r="O17" s="218"/>
      <c r="P17" s="220">
        <v>63247500</v>
      </c>
      <c r="Q17" s="220">
        <v>792776860</v>
      </c>
      <c r="R17" s="218"/>
      <c r="S17" s="218"/>
      <c r="T17" s="218"/>
    </row>
    <row r="18" spans="1:20">
      <c r="A18" s="219">
        <v>16</v>
      </c>
      <c r="B18" s="218">
        <v>1305</v>
      </c>
      <c r="C18" s="218" t="s">
        <v>66</v>
      </c>
      <c r="D18" s="220">
        <v>3445350</v>
      </c>
      <c r="E18" s="220">
        <v>3445350</v>
      </c>
      <c r="F18" s="219">
        <v>0</v>
      </c>
      <c r="G18" s="218"/>
      <c r="H18" s="220">
        <v>90644770</v>
      </c>
      <c r="I18" s="281" t="str">
        <f>IF(ISERROR(VLOOKUP(C18,'26년 5월경비'!$D:$D,1,FALSE)),"X","○")</f>
        <v>○</v>
      </c>
      <c r="J18" s="228">
        <v>90644770</v>
      </c>
      <c r="K18" s="221">
        <v>1.0009999999999999</v>
      </c>
      <c r="L18" s="218"/>
      <c r="M18" s="220">
        <v>370505260</v>
      </c>
      <c r="N18" s="221">
        <v>0.374</v>
      </c>
      <c r="O18" s="218"/>
      <c r="P18" s="220">
        <v>90570540</v>
      </c>
      <c r="Q18" s="220">
        <v>991796875</v>
      </c>
      <c r="R18" s="218"/>
      <c r="S18" s="218"/>
      <c r="T18" s="218"/>
    </row>
    <row r="19" spans="1:20">
      <c r="A19" s="219">
        <v>17</v>
      </c>
      <c r="B19" s="218">
        <v>207</v>
      </c>
      <c r="C19" s="218" t="s">
        <v>387</v>
      </c>
      <c r="D19" s="220">
        <v>21501050</v>
      </c>
      <c r="E19" s="220">
        <v>20667700</v>
      </c>
      <c r="F19" s="219">
        <v>833350</v>
      </c>
      <c r="G19" s="218"/>
      <c r="H19" s="220">
        <v>88476300</v>
      </c>
      <c r="I19" s="281" t="str">
        <f>IF(ISERROR(VLOOKUP(C19,'26년 5월경비'!$D:$D,1,FALSE)),"X","○")</f>
        <v>X</v>
      </c>
      <c r="J19" s="228">
        <v>88476300</v>
      </c>
      <c r="K19" s="221">
        <v>0</v>
      </c>
      <c r="L19" s="218"/>
      <c r="M19" s="220">
        <v>88476300</v>
      </c>
      <c r="N19" s="221">
        <v>1.944</v>
      </c>
      <c r="O19" s="218"/>
      <c r="P19" s="220">
        <v>0</v>
      </c>
      <c r="Q19" s="220">
        <v>45507130</v>
      </c>
      <c r="R19" s="218"/>
      <c r="S19" s="218"/>
      <c r="T19" s="218"/>
    </row>
    <row r="20" spans="1:20">
      <c r="A20" s="219">
        <v>18</v>
      </c>
      <c r="B20" s="218">
        <v>129</v>
      </c>
      <c r="C20" s="218" t="s">
        <v>73</v>
      </c>
      <c r="D20" s="220">
        <v>6502680</v>
      </c>
      <c r="E20" s="220">
        <v>6502680</v>
      </c>
      <c r="F20" s="219">
        <v>0</v>
      </c>
      <c r="G20" s="218"/>
      <c r="H20" s="220">
        <v>83647550</v>
      </c>
      <c r="I20" s="281" t="str">
        <f>IF(ISERROR(VLOOKUP(C20,'26년 5월경비'!$D:$D,1,FALSE)),"X","○")</f>
        <v>○</v>
      </c>
      <c r="J20" s="228">
        <v>83647550</v>
      </c>
      <c r="K20" s="221">
        <v>1.3320000000000001</v>
      </c>
      <c r="L20" s="218"/>
      <c r="M20" s="220">
        <v>355223110</v>
      </c>
      <c r="N20" s="221">
        <v>0.41499999999999998</v>
      </c>
      <c r="O20" s="218"/>
      <c r="P20" s="220">
        <v>62783580</v>
      </c>
      <c r="Q20" s="220">
        <v>855004390</v>
      </c>
      <c r="R20" s="218"/>
      <c r="S20" s="218"/>
      <c r="T20" s="218"/>
    </row>
    <row r="21" spans="1:20">
      <c r="A21" s="219">
        <v>19</v>
      </c>
      <c r="B21" s="218">
        <v>142</v>
      </c>
      <c r="C21" s="218" t="s">
        <v>135</v>
      </c>
      <c r="D21" s="220">
        <v>6593550</v>
      </c>
      <c r="E21" s="220">
        <v>6593550</v>
      </c>
      <c r="F21" s="219">
        <v>0</v>
      </c>
      <c r="G21" s="218"/>
      <c r="H21" s="220">
        <v>80829040</v>
      </c>
      <c r="I21" s="281" t="str">
        <f>IF(ISERROR(VLOOKUP(C21,'26년 5월경비'!$D:$D,1,FALSE)),"X","○")</f>
        <v>○</v>
      </c>
      <c r="J21" s="228">
        <v>80829040</v>
      </c>
      <c r="K21" s="221">
        <v>1.3939999999999999</v>
      </c>
      <c r="L21" s="218"/>
      <c r="M21" s="220">
        <v>324186670</v>
      </c>
      <c r="N21" s="221">
        <v>0.45200000000000001</v>
      </c>
      <c r="O21" s="218"/>
      <c r="P21" s="220">
        <v>57999990</v>
      </c>
      <c r="Q21" s="220">
        <v>716928660</v>
      </c>
      <c r="R21" s="218"/>
      <c r="S21" s="218"/>
      <c r="T21" s="218"/>
    </row>
    <row r="22" spans="1:20">
      <c r="A22" s="219">
        <v>20</v>
      </c>
      <c r="B22" s="218">
        <v>141</v>
      </c>
      <c r="C22" s="218" t="s">
        <v>32</v>
      </c>
      <c r="D22" s="220">
        <v>3385400</v>
      </c>
      <c r="E22" s="220">
        <v>3385400</v>
      </c>
      <c r="F22" s="219">
        <v>0</v>
      </c>
      <c r="G22" s="218"/>
      <c r="H22" s="220">
        <v>77019390</v>
      </c>
      <c r="I22" s="281" t="str">
        <f>IF(ISERROR(VLOOKUP(C22,'26년 5월경비'!$D:$D,1,FALSE)),"X","○")</f>
        <v>○</v>
      </c>
      <c r="J22" s="228">
        <v>77019390</v>
      </c>
      <c r="K22" s="221">
        <v>0.65300000000000002</v>
      </c>
      <c r="L22" s="218"/>
      <c r="M22" s="220">
        <v>348028640</v>
      </c>
      <c r="N22" s="221">
        <v>0.36499999999999999</v>
      </c>
      <c r="O22" s="218"/>
      <c r="P22" s="220">
        <v>117971560</v>
      </c>
      <c r="Q22" s="220">
        <v>952253150</v>
      </c>
      <c r="R22" s="218"/>
      <c r="S22" s="218"/>
      <c r="T22" s="218"/>
    </row>
    <row r="23" spans="1:20">
      <c r="A23" s="219">
        <v>21</v>
      </c>
      <c r="B23" s="218">
        <v>111</v>
      </c>
      <c r="C23" s="218" t="s">
        <v>71</v>
      </c>
      <c r="D23" s="220">
        <v>4877570</v>
      </c>
      <c r="E23" s="220">
        <v>4877570</v>
      </c>
      <c r="F23" s="220">
        <v>0</v>
      </c>
      <c r="G23" s="218"/>
      <c r="H23" s="220">
        <v>73635020</v>
      </c>
      <c r="I23" s="281" t="str">
        <f>IF(ISERROR(VLOOKUP(C23,'26년 5월경비'!$D:$D,1,FALSE)),"X","○")</f>
        <v>○</v>
      </c>
      <c r="J23" s="228">
        <v>73635020</v>
      </c>
      <c r="K23" s="221">
        <v>1.107</v>
      </c>
      <c r="L23" s="218"/>
      <c r="M23" s="220">
        <v>293790280</v>
      </c>
      <c r="N23" s="221">
        <v>0.40799999999999997</v>
      </c>
      <c r="O23" s="218"/>
      <c r="P23" s="220">
        <v>66528480</v>
      </c>
      <c r="Q23" s="220">
        <v>720370840</v>
      </c>
      <c r="R23" s="218"/>
      <c r="S23" s="218"/>
      <c r="T23" s="218"/>
    </row>
    <row r="24" spans="1:20">
      <c r="A24" s="219">
        <v>22</v>
      </c>
      <c r="B24" s="218">
        <v>5003</v>
      </c>
      <c r="C24" s="218" t="s">
        <v>86</v>
      </c>
      <c r="D24" s="220">
        <v>1808350</v>
      </c>
      <c r="E24" s="220">
        <v>1894150</v>
      </c>
      <c r="F24" s="220">
        <v>-85800</v>
      </c>
      <c r="G24" s="218"/>
      <c r="H24" s="220">
        <v>73026250</v>
      </c>
      <c r="I24" s="281" t="str">
        <f>IF(ISERROR(VLOOKUP(C24,'26년 5월경비'!$D:$D,1,FALSE)),"X","○")</f>
        <v>○</v>
      </c>
      <c r="J24" s="228">
        <v>73026250</v>
      </c>
      <c r="K24" s="221">
        <v>1.2410000000000001</v>
      </c>
      <c r="L24" s="218"/>
      <c r="M24" s="220">
        <v>247285010</v>
      </c>
      <c r="N24" s="221">
        <v>0.45200000000000001</v>
      </c>
      <c r="O24" s="218"/>
      <c r="P24" s="220">
        <v>58837250</v>
      </c>
      <c r="Q24" s="220">
        <v>547030640</v>
      </c>
      <c r="R24" s="218"/>
      <c r="S24" s="218"/>
      <c r="T24" s="218"/>
    </row>
    <row r="25" spans="1:20">
      <c r="A25" s="219">
        <v>23</v>
      </c>
      <c r="B25" s="218">
        <v>210</v>
      </c>
      <c r="C25" s="218" t="s">
        <v>80</v>
      </c>
      <c r="D25" s="220">
        <v>1363400</v>
      </c>
      <c r="E25" s="220">
        <v>1363400</v>
      </c>
      <c r="F25" s="219">
        <v>0</v>
      </c>
      <c r="G25" s="218"/>
      <c r="H25" s="220">
        <v>65219490</v>
      </c>
      <c r="I25" s="281" t="str">
        <f>IF(ISERROR(VLOOKUP(C25,'26년 5월경비'!$D:$D,1,FALSE)),"X","○")</f>
        <v>○</v>
      </c>
      <c r="J25" s="228">
        <v>65219490</v>
      </c>
      <c r="K25" s="221">
        <v>1.5760000000000001</v>
      </c>
      <c r="L25" s="218"/>
      <c r="M25" s="220">
        <v>206604710</v>
      </c>
      <c r="N25" s="221">
        <v>0.435</v>
      </c>
      <c r="O25" s="218"/>
      <c r="P25" s="220">
        <v>41384350</v>
      </c>
      <c r="Q25" s="220">
        <v>475156470</v>
      </c>
      <c r="R25" s="218"/>
      <c r="S25" s="218"/>
      <c r="T25" s="218"/>
    </row>
    <row r="26" spans="1:20">
      <c r="A26" s="219">
        <v>24</v>
      </c>
      <c r="B26" s="218">
        <v>311</v>
      </c>
      <c r="C26" s="218" t="s">
        <v>90</v>
      </c>
      <c r="D26" s="220">
        <v>1226960</v>
      </c>
      <c r="E26" s="220">
        <v>1226960</v>
      </c>
      <c r="F26" s="219">
        <v>0</v>
      </c>
      <c r="G26" s="218"/>
      <c r="H26" s="220">
        <v>64638670</v>
      </c>
      <c r="I26" s="281" t="str">
        <f>IF(ISERROR(VLOOKUP(C26,'26년 5월경비'!$D:$D,1,FALSE)),"X","○")</f>
        <v>○</v>
      </c>
      <c r="J26" s="228">
        <v>64638670</v>
      </c>
      <c r="K26" s="221">
        <v>1.4179999999999999</v>
      </c>
      <c r="L26" s="218"/>
      <c r="M26" s="220">
        <v>257196200</v>
      </c>
      <c r="N26" s="221">
        <v>0.42599999999999999</v>
      </c>
      <c r="O26" s="218"/>
      <c r="P26" s="220">
        <v>45572690</v>
      </c>
      <c r="Q26" s="220">
        <v>604311190</v>
      </c>
      <c r="R26" s="218"/>
      <c r="S26" s="218"/>
      <c r="T26" s="218"/>
    </row>
    <row r="27" spans="1:20">
      <c r="A27" s="219">
        <v>25</v>
      </c>
      <c r="B27" s="218">
        <v>214</v>
      </c>
      <c r="C27" s="218" t="s">
        <v>69</v>
      </c>
      <c r="D27" s="220">
        <v>2074800</v>
      </c>
      <c r="E27" s="220">
        <v>2074800</v>
      </c>
      <c r="F27" s="219">
        <v>0</v>
      </c>
      <c r="G27" s="218"/>
      <c r="H27" s="220">
        <v>62000000</v>
      </c>
      <c r="I27" s="281" t="str">
        <f>IF(ISERROR(VLOOKUP(C27,'26년 5월경비'!$D:$D,1,FALSE)),"X","○")</f>
        <v>○</v>
      </c>
      <c r="J27" s="228">
        <v>62000000</v>
      </c>
      <c r="K27" s="221">
        <v>1.355</v>
      </c>
      <c r="L27" s="218"/>
      <c r="M27" s="220">
        <v>260099570</v>
      </c>
      <c r="N27" s="221">
        <v>0.39600000000000002</v>
      </c>
      <c r="O27" s="218"/>
      <c r="P27" s="220">
        <v>45744570</v>
      </c>
      <c r="Q27" s="220">
        <v>656344170</v>
      </c>
      <c r="R27" s="218"/>
      <c r="S27" s="218"/>
      <c r="T27" s="218"/>
    </row>
    <row r="28" spans="1:20">
      <c r="A28" s="219">
        <v>26</v>
      </c>
      <c r="B28" s="218">
        <v>303</v>
      </c>
      <c r="C28" s="218" t="s">
        <v>33</v>
      </c>
      <c r="D28" s="220">
        <v>5663050</v>
      </c>
      <c r="E28" s="220">
        <v>5663050</v>
      </c>
      <c r="F28" s="219">
        <v>0</v>
      </c>
      <c r="G28" s="218"/>
      <c r="H28" s="220">
        <v>61873400</v>
      </c>
      <c r="I28" s="281" t="str">
        <f>IF(ISERROR(VLOOKUP(C28,'26년 5월경비'!$D:$D,1,FALSE)),"X","○")</f>
        <v>○</v>
      </c>
      <c r="J28" s="228">
        <v>61873400</v>
      </c>
      <c r="K28" s="221">
        <v>1.0309999999999999</v>
      </c>
      <c r="L28" s="218"/>
      <c r="M28" s="220">
        <v>257834120</v>
      </c>
      <c r="N28" s="221">
        <v>0.379</v>
      </c>
      <c r="O28" s="218"/>
      <c r="P28" s="220">
        <v>60001130</v>
      </c>
      <c r="Q28" s="220">
        <v>680573410</v>
      </c>
      <c r="R28" s="218"/>
      <c r="S28" s="218"/>
      <c r="T28" s="218"/>
    </row>
    <row r="29" spans="1:20">
      <c r="A29" s="219">
        <v>27</v>
      </c>
      <c r="B29" s="218">
        <v>603</v>
      </c>
      <c r="C29" s="218" t="s">
        <v>383</v>
      </c>
      <c r="D29" s="220">
        <v>1984750</v>
      </c>
      <c r="E29" s="220">
        <v>1984750</v>
      </c>
      <c r="F29" s="219">
        <v>0</v>
      </c>
      <c r="G29" s="218"/>
      <c r="H29" s="220">
        <v>58176500</v>
      </c>
      <c r="I29" s="281" t="str">
        <f>IF(ISERROR(VLOOKUP(C29,'26년 5월경비'!$D:$D,1,FALSE)),"X","○")</f>
        <v>○</v>
      </c>
      <c r="J29" s="228">
        <v>58176500</v>
      </c>
      <c r="K29" s="221">
        <v>0</v>
      </c>
      <c r="L29" s="218"/>
      <c r="M29" s="220">
        <v>202205010</v>
      </c>
      <c r="N29" s="221">
        <v>1.296</v>
      </c>
      <c r="O29" s="218"/>
      <c r="P29" s="220">
        <v>0</v>
      </c>
      <c r="Q29" s="220">
        <v>156060100</v>
      </c>
      <c r="R29" s="218"/>
      <c r="S29" s="218"/>
      <c r="T29" s="218"/>
    </row>
    <row r="30" spans="1:20">
      <c r="A30" s="219">
        <v>28</v>
      </c>
      <c r="B30" s="218">
        <v>222</v>
      </c>
      <c r="C30" s="218" t="s">
        <v>381</v>
      </c>
      <c r="D30" s="220">
        <v>1206200</v>
      </c>
      <c r="E30" s="220">
        <v>1206200</v>
      </c>
      <c r="F30" s="219">
        <v>0</v>
      </c>
      <c r="G30" s="218"/>
      <c r="H30" s="220">
        <v>57987500</v>
      </c>
      <c r="I30" s="281" t="str">
        <f>IF(ISERROR(VLOOKUP(C30,'26년 5월경비'!$D:$D,1,FALSE)),"X","○")</f>
        <v>○</v>
      </c>
      <c r="J30" s="228">
        <v>57987500</v>
      </c>
      <c r="K30" s="221">
        <v>2.0470000000000002</v>
      </c>
      <c r="L30" s="218"/>
      <c r="M30" s="220">
        <v>238182780</v>
      </c>
      <c r="N30" s="221">
        <v>0.70199999999999996</v>
      </c>
      <c r="O30" s="218"/>
      <c r="P30" s="220">
        <v>28330030</v>
      </c>
      <c r="Q30" s="220">
        <v>339096010</v>
      </c>
      <c r="R30" s="218"/>
      <c r="S30" s="218"/>
      <c r="T30" s="218"/>
    </row>
    <row r="31" spans="1:20">
      <c r="A31" s="219">
        <v>29</v>
      </c>
      <c r="B31" s="218">
        <v>315</v>
      </c>
      <c r="C31" s="218" t="s">
        <v>137</v>
      </c>
      <c r="D31" s="220">
        <v>3848600</v>
      </c>
      <c r="E31" s="220">
        <v>3848600</v>
      </c>
      <c r="F31" s="219">
        <v>0</v>
      </c>
      <c r="G31" s="218"/>
      <c r="H31" s="220">
        <v>57171610</v>
      </c>
      <c r="I31" s="281" t="str">
        <f>IF(ISERROR(VLOOKUP(C31,'26년 5월경비'!$D:$D,1,FALSE)),"X","○")</f>
        <v>○</v>
      </c>
      <c r="J31" s="228">
        <v>57171610</v>
      </c>
      <c r="K31" s="221">
        <v>1.0880000000000001</v>
      </c>
      <c r="L31" s="218"/>
      <c r="M31" s="220">
        <v>246018830</v>
      </c>
      <c r="N31" s="221">
        <v>0.4</v>
      </c>
      <c r="O31" s="218"/>
      <c r="P31" s="220">
        <v>52541860</v>
      </c>
      <c r="Q31" s="220">
        <v>614663710</v>
      </c>
      <c r="R31" s="218"/>
      <c r="S31" s="218"/>
      <c r="T31" s="218"/>
    </row>
    <row r="32" spans="1:20">
      <c r="A32" s="219">
        <v>30</v>
      </c>
      <c r="B32" s="218">
        <v>106</v>
      </c>
      <c r="C32" s="218" t="s">
        <v>65</v>
      </c>
      <c r="D32" s="220">
        <v>3718550</v>
      </c>
      <c r="E32" s="220">
        <v>3718550</v>
      </c>
      <c r="F32" s="219">
        <v>0</v>
      </c>
      <c r="G32" s="218"/>
      <c r="H32" s="220">
        <v>57108710</v>
      </c>
      <c r="I32" s="281" t="str">
        <f>IF(ISERROR(VLOOKUP(C32,'26년 5월경비'!$D:$D,1,FALSE)),"X","○")</f>
        <v>○</v>
      </c>
      <c r="J32" s="228">
        <v>57108710</v>
      </c>
      <c r="K32" s="221">
        <v>1.1339999999999999</v>
      </c>
      <c r="L32" s="218"/>
      <c r="M32" s="220">
        <v>256148830</v>
      </c>
      <c r="N32" s="221">
        <v>0.39900000000000002</v>
      </c>
      <c r="O32" s="218"/>
      <c r="P32" s="220">
        <v>50358830</v>
      </c>
      <c r="Q32" s="220">
        <v>641518220</v>
      </c>
      <c r="R32" s="218"/>
      <c r="S32" s="218"/>
      <c r="T32" s="218"/>
    </row>
    <row r="33" spans="1:20">
      <c r="A33" s="219">
        <v>31</v>
      </c>
      <c r="B33" s="218">
        <v>310</v>
      </c>
      <c r="C33" s="218" t="s">
        <v>166</v>
      </c>
      <c r="D33" s="220">
        <v>1154500</v>
      </c>
      <c r="E33" s="220">
        <v>1154500</v>
      </c>
      <c r="F33" s="219">
        <v>0</v>
      </c>
      <c r="G33" s="218"/>
      <c r="H33" s="220">
        <v>56748840</v>
      </c>
      <c r="I33" s="281" t="str">
        <f>IF(ISERROR(VLOOKUP(C33,'26년 5월경비'!$D:$D,1,FALSE)),"X","○")</f>
        <v>○</v>
      </c>
      <c r="J33" s="228">
        <v>56748840</v>
      </c>
      <c r="K33" s="221">
        <v>1.198</v>
      </c>
      <c r="L33" s="218"/>
      <c r="M33" s="220">
        <v>235338440</v>
      </c>
      <c r="N33" s="221">
        <v>0.41799999999999998</v>
      </c>
      <c r="O33" s="218"/>
      <c r="P33" s="220">
        <v>47372530</v>
      </c>
      <c r="Q33" s="220">
        <v>563386320</v>
      </c>
      <c r="R33" s="218"/>
      <c r="S33" s="218"/>
      <c r="T33" s="218"/>
    </row>
    <row r="34" spans="1:20">
      <c r="A34" s="219">
        <v>32</v>
      </c>
      <c r="B34" s="218">
        <v>308</v>
      </c>
      <c r="C34" s="218" t="s">
        <v>129</v>
      </c>
      <c r="D34" s="220">
        <v>3195700</v>
      </c>
      <c r="E34" s="220">
        <v>3195700</v>
      </c>
      <c r="F34" s="219">
        <v>0</v>
      </c>
      <c r="G34" s="218"/>
      <c r="H34" s="220">
        <v>56037950</v>
      </c>
      <c r="I34" s="281" t="str">
        <f>IF(ISERROR(VLOOKUP(C34,'26년 5월경비'!$D:$D,1,FALSE)),"X","○")</f>
        <v>○</v>
      </c>
      <c r="J34" s="228">
        <v>56037950</v>
      </c>
      <c r="K34" s="221">
        <v>1.0820000000000001</v>
      </c>
      <c r="L34" s="218"/>
      <c r="M34" s="220">
        <v>261120780</v>
      </c>
      <c r="N34" s="221">
        <v>0.42699999999999999</v>
      </c>
      <c r="O34" s="218"/>
      <c r="P34" s="220">
        <v>51802400</v>
      </c>
      <c r="Q34" s="220">
        <v>611377610</v>
      </c>
      <c r="R34" s="218"/>
      <c r="S34" s="218"/>
      <c r="T34" s="218"/>
    </row>
    <row r="35" spans="1:20">
      <c r="A35" s="219">
        <v>33</v>
      </c>
      <c r="B35" s="218">
        <v>5201</v>
      </c>
      <c r="C35" s="218" t="s">
        <v>63</v>
      </c>
      <c r="D35" s="220">
        <v>-561400</v>
      </c>
      <c r="E35" s="220">
        <v>-561400</v>
      </c>
      <c r="F35" s="219">
        <v>0</v>
      </c>
      <c r="G35" s="218"/>
      <c r="H35" s="220">
        <v>55264530</v>
      </c>
      <c r="I35" s="281" t="str">
        <f>IF(ISERROR(VLOOKUP(C35,'26년 5월경비'!$D:$D,1,FALSE)),"X","○")</f>
        <v>○</v>
      </c>
      <c r="J35" s="228">
        <v>55264530</v>
      </c>
      <c r="K35" s="221">
        <v>0.88300000000000001</v>
      </c>
      <c r="L35" s="218"/>
      <c r="M35" s="220">
        <v>178645840</v>
      </c>
      <c r="N35" s="221">
        <v>0.35299999999999998</v>
      </c>
      <c r="O35" s="218"/>
      <c r="P35" s="220">
        <v>62599320</v>
      </c>
      <c r="Q35" s="220">
        <v>505918840</v>
      </c>
      <c r="R35" s="218"/>
      <c r="S35" s="218"/>
      <c r="T35" s="218"/>
    </row>
    <row r="36" spans="1:20">
      <c r="A36" s="219">
        <v>34</v>
      </c>
      <c r="B36" s="218">
        <v>5009</v>
      </c>
      <c r="C36" s="218" t="s">
        <v>105</v>
      </c>
      <c r="D36" s="220">
        <v>848220</v>
      </c>
      <c r="E36" s="220">
        <v>1862050</v>
      </c>
      <c r="F36" s="219">
        <v>-1013830</v>
      </c>
      <c r="G36" s="218"/>
      <c r="H36" s="220">
        <v>54807810</v>
      </c>
      <c r="I36" s="281" t="str">
        <f>IF(ISERROR(VLOOKUP(C36,'26년 5월경비'!$D:$D,1,FALSE)),"X","○")</f>
        <v>○</v>
      </c>
      <c r="J36" s="228">
        <v>54807810</v>
      </c>
      <c r="K36" s="221">
        <v>1.1619999999999999</v>
      </c>
      <c r="L36" s="218"/>
      <c r="M36" s="220">
        <v>205105890</v>
      </c>
      <c r="N36" s="221">
        <v>0.436</v>
      </c>
      <c r="O36" s="218"/>
      <c r="P36" s="220">
        <v>47166320</v>
      </c>
      <c r="Q36" s="220">
        <v>470122540</v>
      </c>
      <c r="R36" s="218"/>
      <c r="S36" s="218"/>
      <c r="T36" s="218"/>
    </row>
    <row r="37" spans="1:20">
      <c r="A37" s="219">
        <v>35</v>
      </c>
      <c r="B37" s="218">
        <v>132</v>
      </c>
      <c r="C37" s="218" t="s">
        <v>81</v>
      </c>
      <c r="D37" s="220">
        <v>10002150</v>
      </c>
      <c r="E37" s="220">
        <v>10002150</v>
      </c>
      <c r="F37" s="219">
        <v>0</v>
      </c>
      <c r="G37" s="218"/>
      <c r="H37" s="220">
        <v>53860630</v>
      </c>
      <c r="I37" s="281" t="str">
        <f>IF(ISERROR(VLOOKUP(C37,'26년 5월경비'!$D:$D,1,FALSE)),"X","○")</f>
        <v>○</v>
      </c>
      <c r="J37" s="228">
        <v>53860630</v>
      </c>
      <c r="K37" s="221">
        <v>1.298</v>
      </c>
      <c r="L37" s="218"/>
      <c r="M37" s="220">
        <v>169389600</v>
      </c>
      <c r="N37" s="221">
        <v>0.46400000000000002</v>
      </c>
      <c r="O37" s="218"/>
      <c r="P37" s="220">
        <v>41503950</v>
      </c>
      <c r="Q37" s="220">
        <v>364744040</v>
      </c>
      <c r="R37" s="218"/>
      <c r="S37" s="218"/>
      <c r="T37" s="218"/>
    </row>
    <row r="38" spans="1:20">
      <c r="A38" s="219">
        <v>36</v>
      </c>
      <c r="B38" s="218">
        <v>114</v>
      </c>
      <c r="C38" s="218" t="s">
        <v>31</v>
      </c>
      <c r="D38" s="220">
        <v>2020900</v>
      </c>
      <c r="E38" s="220">
        <v>2020900</v>
      </c>
      <c r="F38" s="219">
        <v>0</v>
      </c>
      <c r="G38" s="218"/>
      <c r="H38" s="220">
        <v>53086040</v>
      </c>
      <c r="I38" s="281" t="str">
        <f>IF(ISERROR(VLOOKUP(C38,'26년 5월경비'!$D:$D,1,FALSE)),"X","○")</f>
        <v>○</v>
      </c>
      <c r="J38" s="228">
        <v>53086040</v>
      </c>
      <c r="K38" s="221">
        <v>0.82399999999999995</v>
      </c>
      <c r="L38" s="218"/>
      <c r="M38" s="220">
        <v>276462270</v>
      </c>
      <c r="N38" s="221">
        <v>0.38500000000000001</v>
      </c>
      <c r="O38" s="218"/>
      <c r="P38" s="220">
        <v>64459740</v>
      </c>
      <c r="Q38" s="220">
        <v>717310750</v>
      </c>
      <c r="R38" s="218"/>
      <c r="S38" s="218"/>
      <c r="T38" s="218"/>
    </row>
    <row r="39" spans="1:20">
      <c r="A39" s="219">
        <v>37</v>
      </c>
      <c r="B39" s="218">
        <v>5006</v>
      </c>
      <c r="C39" s="218" t="s">
        <v>84</v>
      </c>
      <c r="D39" s="220">
        <v>1041110</v>
      </c>
      <c r="E39" s="220">
        <v>1041110</v>
      </c>
      <c r="F39" s="219">
        <v>0</v>
      </c>
      <c r="G39" s="218"/>
      <c r="H39" s="220">
        <v>51827930</v>
      </c>
      <c r="I39" s="281" t="str">
        <f>IF(ISERROR(VLOOKUP(C39,'26년 5월경비'!$D:$D,1,FALSE)),"X","○")</f>
        <v>○</v>
      </c>
      <c r="J39" s="228">
        <v>51827930</v>
      </c>
      <c r="K39" s="221">
        <v>1.0669999999999999</v>
      </c>
      <c r="L39" s="218"/>
      <c r="M39" s="220">
        <v>201610880</v>
      </c>
      <c r="N39" s="221">
        <v>0.38800000000000001</v>
      </c>
      <c r="O39" s="218"/>
      <c r="P39" s="220">
        <v>48585120</v>
      </c>
      <c r="Q39" s="220">
        <v>520239690</v>
      </c>
      <c r="R39" s="218"/>
      <c r="S39" s="218"/>
      <c r="T39" s="218"/>
    </row>
    <row r="40" spans="1:20">
      <c r="A40" s="219">
        <v>38</v>
      </c>
      <c r="B40" s="218">
        <v>119</v>
      </c>
      <c r="C40" s="218" t="s">
        <v>97</v>
      </c>
      <c r="D40" s="220">
        <v>411000</v>
      </c>
      <c r="E40" s="220">
        <v>411000</v>
      </c>
      <c r="F40" s="219">
        <v>0</v>
      </c>
      <c r="G40" s="218"/>
      <c r="H40" s="220">
        <v>48142530</v>
      </c>
      <c r="I40" s="281" t="str">
        <f>IF(ISERROR(VLOOKUP(C40,'26년 5월경비'!$D:$D,1,FALSE)),"X","○")</f>
        <v>○</v>
      </c>
      <c r="J40" s="228">
        <v>48142530</v>
      </c>
      <c r="K40" s="221">
        <v>1.871</v>
      </c>
      <c r="L40" s="218"/>
      <c r="M40" s="220">
        <v>155318390</v>
      </c>
      <c r="N40" s="221">
        <v>0.51400000000000001</v>
      </c>
      <c r="O40" s="218"/>
      <c r="P40" s="220">
        <v>25730830</v>
      </c>
      <c r="Q40" s="220">
        <v>302158080</v>
      </c>
      <c r="R40" s="218"/>
      <c r="S40" s="218"/>
      <c r="T40" s="218"/>
    </row>
    <row r="41" spans="1:20">
      <c r="A41" s="219">
        <v>39</v>
      </c>
      <c r="B41" s="218">
        <v>125</v>
      </c>
      <c r="C41" s="218" t="s">
        <v>27</v>
      </c>
      <c r="D41" s="220">
        <v>520000</v>
      </c>
      <c r="E41" s="220">
        <v>520000</v>
      </c>
      <c r="F41" s="219">
        <v>0</v>
      </c>
      <c r="G41" s="218"/>
      <c r="H41" s="220">
        <v>47415170</v>
      </c>
      <c r="I41" s="281" t="str">
        <f>IF(ISERROR(VLOOKUP(C41,'26년 5월경비'!$D:$D,1,FALSE)),"X","○")</f>
        <v>○</v>
      </c>
      <c r="J41" s="228">
        <v>47415170</v>
      </c>
      <c r="K41" s="221">
        <v>1.3480000000000001</v>
      </c>
      <c r="L41" s="218"/>
      <c r="M41" s="220">
        <v>181778830</v>
      </c>
      <c r="N41" s="221">
        <v>0.44900000000000001</v>
      </c>
      <c r="O41" s="218"/>
      <c r="P41" s="220">
        <v>35185850</v>
      </c>
      <c r="Q41" s="220">
        <v>404856690</v>
      </c>
      <c r="R41" s="218"/>
      <c r="S41" s="218"/>
      <c r="T41" s="218"/>
    </row>
    <row r="42" spans="1:20">
      <c r="A42" s="219">
        <v>40</v>
      </c>
      <c r="B42" s="218">
        <v>139</v>
      </c>
      <c r="C42" s="218" t="s">
        <v>89</v>
      </c>
      <c r="D42" s="220">
        <v>1066000</v>
      </c>
      <c r="E42" s="220">
        <v>1066000</v>
      </c>
      <c r="F42" s="219">
        <v>0</v>
      </c>
      <c r="G42" s="218"/>
      <c r="H42" s="220">
        <v>47025330</v>
      </c>
      <c r="I42" s="281" t="str">
        <f>IF(ISERROR(VLOOKUP(C42,'26년 5월경비'!$D:$D,1,FALSE)),"X","○")</f>
        <v>○</v>
      </c>
      <c r="J42" s="228">
        <v>47025330</v>
      </c>
      <c r="K42" s="221">
        <v>1.115</v>
      </c>
      <c r="L42" s="218"/>
      <c r="M42" s="220">
        <v>156029110</v>
      </c>
      <c r="N42" s="221">
        <v>0.40200000000000002</v>
      </c>
      <c r="O42" s="218"/>
      <c r="P42" s="220">
        <v>42165390</v>
      </c>
      <c r="Q42" s="220">
        <v>387891850</v>
      </c>
      <c r="R42" s="218"/>
      <c r="S42" s="218"/>
      <c r="T42" s="218"/>
    </row>
    <row r="43" spans="1:20">
      <c r="A43" s="219">
        <v>41</v>
      </c>
      <c r="B43" s="218">
        <v>503</v>
      </c>
      <c r="C43" s="218" t="s">
        <v>35</v>
      </c>
      <c r="D43" s="220">
        <v>1195000</v>
      </c>
      <c r="E43" s="220">
        <v>1195000</v>
      </c>
      <c r="F43" s="219">
        <v>0</v>
      </c>
      <c r="G43" s="218"/>
      <c r="H43" s="220">
        <v>46885330</v>
      </c>
      <c r="I43" s="281" t="str">
        <f>IF(ISERROR(VLOOKUP(C43,'26년 5월경비'!$D:$D,1,FALSE)),"X","○")</f>
        <v>○</v>
      </c>
      <c r="J43" s="228">
        <v>46885330</v>
      </c>
      <c r="K43" s="221">
        <v>0.84</v>
      </c>
      <c r="L43" s="218"/>
      <c r="M43" s="220">
        <v>211806640</v>
      </c>
      <c r="N43" s="221">
        <v>0.39600000000000002</v>
      </c>
      <c r="O43" s="218"/>
      <c r="P43" s="220">
        <v>55817820</v>
      </c>
      <c r="Q43" s="220">
        <v>535178340</v>
      </c>
      <c r="R43" s="218"/>
      <c r="S43" s="218"/>
      <c r="T43" s="218"/>
    </row>
    <row r="44" spans="1:20">
      <c r="A44" s="219">
        <v>42</v>
      </c>
      <c r="B44" s="218">
        <v>212</v>
      </c>
      <c r="C44" s="218" t="s">
        <v>385</v>
      </c>
      <c r="D44" s="220">
        <v>2893000</v>
      </c>
      <c r="E44" s="220">
        <v>2893000</v>
      </c>
      <c r="F44" s="219">
        <v>0</v>
      </c>
      <c r="G44" s="218"/>
      <c r="H44" s="220">
        <v>45808730</v>
      </c>
      <c r="I44" s="281" t="str">
        <f>IF(ISERROR(VLOOKUP(C44,'26년 5월경비'!$D:$D,1,FALSE)),"X","○")</f>
        <v>○</v>
      </c>
      <c r="J44" s="228">
        <v>45808730</v>
      </c>
      <c r="K44" s="221">
        <v>0</v>
      </c>
      <c r="L44" s="218"/>
      <c r="M44" s="220">
        <v>159288080</v>
      </c>
      <c r="N44" s="221">
        <v>0.90100000000000002</v>
      </c>
      <c r="O44" s="218"/>
      <c r="P44" s="220">
        <v>0</v>
      </c>
      <c r="Q44" s="220">
        <v>176832892</v>
      </c>
      <c r="R44" s="218"/>
      <c r="S44" s="218"/>
      <c r="T44" s="218"/>
    </row>
    <row r="45" spans="1:20">
      <c r="A45" s="219">
        <v>43</v>
      </c>
      <c r="B45" s="218">
        <v>601</v>
      </c>
      <c r="C45" s="218" t="s">
        <v>14</v>
      </c>
      <c r="D45" s="220">
        <v>3264200</v>
      </c>
      <c r="E45" s="220">
        <v>3264200</v>
      </c>
      <c r="F45" s="219">
        <v>0</v>
      </c>
      <c r="G45" s="218"/>
      <c r="H45" s="220">
        <v>45179020</v>
      </c>
      <c r="I45" s="281" t="str">
        <f>IF(ISERROR(VLOOKUP(C45,'26년 5월경비'!$D:$D,1,FALSE)),"X","○")</f>
        <v>○</v>
      </c>
      <c r="J45" s="228">
        <v>45179020</v>
      </c>
      <c r="K45" s="221">
        <v>1.409</v>
      </c>
      <c r="L45" s="218"/>
      <c r="M45" s="220">
        <v>170414560</v>
      </c>
      <c r="N45" s="221">
        <v>0.437</v>
      </c>
      <c r="O45" s="218"/>
      <c r="P45" s="220">
        <v>32059540</v>
      </c>
      <c r="Q45" s="220">
        <v>389971030</v>
      </c>
      <c r="R45" s="218"/>
      <c r="S45" s="218"/>
      <c r="T45" s="218"/>
    </row>
    <row r="46" spans="1:20">
      <c r="A46" s="219">
        <v>44</v>
      </c>
      <c r="B46" s="218">
        <v>130</v>
      </c>
      <c r="C46" s="218" t="s">
        <v>88</v>
      </c>
      <c r="D46" s="220">
        <v>391700</v>
      </c>
      <c r="E46" s="220">
        <v>391700</v>
      </c>
      <c r="F46" s="219">
        <v>0</v>
      </c>
      <c r="G46" s="218"/>
      <c r="H46" s="220">
        <v>45105140</v>
      </c>
      <c r="I46" s="281" t="str">
        <f>IF(ISERROR(VLOOKUP(C46,'26년 5월경비'!$D:$D,1,FALSE)),"X","○")</f>
        <v>○</v>
      </c>
      <c r="J46" s="228">
        <v>45105140</v>
      </c>
      <c r="K46" s="221">
        <v>1.29</v>
      </c>
      <c r="L46" s="218"/>
      <c r="M46" s="220">
        <v>157492840</v>
      </c>
      <c r="N46" s="221">
        <v>0.38100000000000001</v>
      </c>
      <c r="O46" s="218"/>
      <c r="P46" s="220">
        <v>34977600</v>
      </c>
      <c r="Q46" s="220">
        <v>413781400</v>
      </c>
      <c r="R46" s="218"/>
      <c r="S46" s="218"/>
      <c r="T46" s="218"/>
    </row>
    <row r="47" spans="1:20">
      <c r="A47" s="219">
        <v>45</v>
      </c>
      <c r="B47" s="218">
        <v>126</v>
      </c>
      <c r="C47" s="218" t="s">
        <v>83</v>
      </c>
      <c r="D47" s="220">
        <v>2478590</v>
      </c>
      <c r="E47" s="220">
        <v>2478590</v>
      </c>
      <c r="F47" s="219">
        <v>0</v>
      </c>
      <c r="G47" s="218"/>
      <c r="H47" s="220">
        <v>44937200</v>
      </c>
      <c r="I47" s="281" t="str">
        <f>IF(ISERROR(VLOOKUP(C47,'26년 5월경비'!$D:$D,1,FALSE)),"X","○")</f>
        <v>○</v>
      </c>
      <c r="J47" s="228">
        <v>44937200</v>
      </c>
      <c r="K47" s="221">
        <v>1.236</v>
      </c>
      <c r="L47" s="218"/>
      <c r="M47" s="220">
        <v>189650540</v>
      </c>
      <c r="N47" s="221">
        <v>0.39</v>
      </c>
      <c r="O47" s="218"/>
      <c r="P47" s="220">
        <v>36369300</v>
      </c>
      <c r="Q47" s="220">
        <v>486432910</v>
      </c>
      <c r="R47" s="218"/>
      <c r="S47" s="218"/>
      <c r="T47" s="218"/>
    </row>
    <row r="48" spans="1:20">
      <c r="A48" s="219">
        <v>46</v>
      </c>
      <c r="B48" s="218">
        <v>131</v>
      </c>
      <c r="C48" s="218" t="s">
        <v>82</v>
      </c>
      <c r="D48" s="220">
        <v>2546720</v>
      </c>
      <c r="E48" s="220">
        <v>2546720</v>
      </c>
      <c r="F48" s="219">
        <v>0</v>
      </c>
      <c r="G48" s="218"/>
      <c r="H48" s="220">
        <v>44564230</v>
      </c>
      <c r="I48" s="281" t="str">
        <f>IF(ISERROR(VLOOKUP(C48,'26년 5월경비'!$D:$D,1,FALSE)),"X","○")</f>
        <v>○</v>
      </c>
      <c r="J48" s="228">
        <v>44564230</v>
      </c>
      <c r="K48" s="221">
        <v>1.2949999999999999</v>
      </c>
      <c r="L48" s="218"/>
      <c r="M48" s="220">
        <v>191897800</v>
      </c>
      <c r="N48" s="221">
        <v>0.36299999999999999</v>
      </c>
      <c r="O48" s="218"/>
      <c r="P48" s="220">
        <v>34423650</v>
      </c>
      <c r="Q48" s="220">
        <v>528455310</v>
      </c>
      <c r="R48" s="218"/>
      <c r="S48" s="218"/>
      <c r="T48" s="218"/>
    </row>
    <row r="49" spans="1:20">
      <c r="A49" s="219">
        <v>47</v>
      </c>
      <c r="B49" s="218">
        <v>5004</v>
      </c>
      <c r="C49" s="218" t="s">
        <v>75</v>
      </c>
      <c r="D49" s="220">
        <v>2479550</v>
      </c>
      <c r="E49" s="220">
        <v>2479550</v>
      </c>
      <c r="F49" s="219">
        <v>0</v>
      </c>
      <c r="G49" s="218"/>
      <c r="H49" s="220">
        <v>44347650</v>
      </c>
      <c r="I49" s="281" t="str">
        <f>IF(ISERROR(VLOOKUP(C49,'26년 5월경비'!$D:$D,1,FALSE)),"X","○")</f>
        <v>○</v>
      </c>
      <c r="J49" s="228">
        <v>44347650</v>
      </c>
      <c r="K49" s="221">
        <v>1.0720000000000001</v>
      </c>
      <c r="L49" s="218"/>
      <c r="M49" s="220">
        <v>190993090</v>
      </c>
      <c r="N49" s="221">
        <v>0.38300000000000001</v>
      </c>
      <c r="O49" s="218"/>
      <c r="P49" s="220">
        <v>41370060</v>
      </c>
      <c r="Q49" s="220">
        <v>498418820</v>
      </c>
      <c r="R49" s="218"/>
      <c r="S49" s="218"/>
      <c r="T49" s="218"/>
    </row>
    <row r="50" spans="1:20">
      <c r="A50" s="219">
        <v>48</v>
      </c>
      <c r="B50" s="218">
        <v>208</v>
      </c>
      <c r="C50" s="218" t="s">
        <v>87</v>
      </c>
      <c r="D50" s="220">
        <v>722000</v>
      </c>
      <c r="E50" s="220">
        <v>722000</v>
      </c>
      <c r="F50" s="219">
        <v>0</v>
      </c>
      <c r="G50" s="218"/>
      <c r="H50" s="220">
        <v>43425790</v>
      </c>
      <c r="I50" s="281" t="str">
        <f>IF(ISERROR(VLOOKUP(C50,'26년 5월경비'!$D:$D,1,FALSE)),"X","○")</f>
        <v>○</v>
      </c>
      <c r="J50" s="228">
        <v>43425790</v>
      </c>
      <c r="K50" s="221">
        <v>1.339</v>
      </c>
      <c r="L50" s="218"/>
      <c r="M50" s="220">
        <v>171678450</v>
      </c>
      <c r="N50" s="221">
        <v>0.46899999999999997</v>
      </c>
      <c r="O50" s="218"/>
      <c r="P50" s="220">
        <v>32426830</v>
      </c>
      <c r="Q50" s="220">
        <v>366417250</v>
      </c>
      <c r="R50" s="218"/>
      <c r="S50" s="218"/>
      <c r="T50" s="218"/>
    </row>
    <row r="51" spans="1:20">
      <c r="A51" s="219">
        <v>49</v>
      </c>
      <c r="B51" s="218">
        <v>506</v>
      </c>
      <c r="C51" s="218" t="s">
        <v>170</v>
      </c>
      <c r="D51" s="220">
        <v>539010</v>
      </c>
      <c r="E51" s="220">
        <v>539010</v>
      </c>
      <c r="F51" s="219">
        <v>0</v>
      </c>
      <c r="G51" s="218"/>
      <c r="H51" s="220">
        <v>43238250</v>
      </c>
      <c r="I51" s="281" t="str">
        <f>IF(ISERROR(VLOOKUP(C51,'26년 5월경비'!$D:$D,1,FALSE)),"X","○")</f>
        <v>○</v>
      </c>
      <c r="J51" s="228">
        <v>43238250</v>
      </c>
      <c r="K51" s="221">
        <v>1.0720000000000001</v>
      </c>
      <c r="L51" s="218"/>
      <c r="M51" s="220">
        <v>168582860</v>
      </c>
      <c r="N51" s="221">
        <v>0.40200000000000002</v>
      </c>
      <c r="O51" s="218"/>
      <c r="P51" s="220">
        <v>40317340</v>
      </c>
      <c r="Q51" s="220">
        <v>418969500</v>
      </c>
      <c r="R51" s="218"/>
      <c r="S51" s="218"/>
      <c r="T51" s="218"/>
    </row>
    <row r="52" spans="1:20">
      <c r="A52" s="219">
        <v>50</v>
      </c>
      <c r="B52" s="218">
        <v>137</v>
      </c>
      <c r="C52" s="218" t="s">
        <v>29</v>
      </c>
      <c r="D52" s="220">
        <v>606700</v>
      </c>
      <c r="E52" s="220">
        <v>606700</v>
      </c>
      <c r="F52" s="219">
        <v>0</v>
      </c>
      <c r="G52" s="218"/>
      <c r="H52" s="220">
        <v>40477220</v>
      </c>
      <c r="I52" s="281" t="str">
        <f>IF(ISERROR(VLOOKUP(C52,'26년 5월경비'!$D:$D,1,FALSE)),"X","○")</f>
        <v>○</v>
      </c>
      <c r="J52" s="228">
        <v>40477220</v>
      </c>
      <c r="K52" s="221">
        <v>1.1499999999999999</v>
      </c>
      <c r="L52" s="218"/>
      <c r="M52" s="220">
        <v>157533820</v>
      </c>
      <c r="N52" s="221">
        <v>0.48699999999999999</v>
      </c>
      <c r="O52" s="218"/>
      <c r="P52" s="220">
        <v>35200670</v>
      </c>
      <c r="Q52" s="220">
        <v>323502370</v>
      </c>
      <c r="R52" s="218"/>
      <c r="S52" s="218"/>
      <c r="T52" s="218"/>
    </row>
    <row r="53" spans="1:20">
      <c r="A53" s="219">
        <v>51</v>
      </c>
      <c r="B53" s="218">
        <v>110</v>
      </c>
      <c r="C53" s="218" t="s">
        <v>91</v>
      </c>
      <c r="D53" s="220">
        <v>2013000</v>
      </c>
      <c r="E53" s="220">
        <v>2013000</v>
      </c>
      <c r="F53" s="219">
        <v>0</v>
      </c>
      <c r="G53" s="218"/>
      <c r="H53" s="220">
        <v>39681790</v>
      </c>
      <c r="I53" s="281" t="str">
        <f>IF(ISERROR(VLOOKUP(C53,'26년 5월경비'!$D:$D,1,FALSE)),"X","○")</f>
        <v>○</v>
      </c>
      <c r="J53" s="228">
        <v>39681790</v>
      </c>
      <c r="K53" s="221">
        <v>0.998</v>
      </c>
      <c r="L53" s="218"/>
      <c r="M53" s="220">
        <v>166624390</v>
      </c>
      <c r="N53" s="221">
        <v>0.40899999999999997</v>
      </c>
      <c r="O53" s="218"/>
      <c r="P53" s="220">
        <v>39779970</v>
      </c>
      <c r="Q53" s="220">
        <v>407103500</v>
      </c>
      <c r="R53" s="218"/>
      <c r="S53" s="218"/>
      <c r="T53" s="218"/>
    </row>
    <row r="54" spans="1:20">
      <c r="A54" s="219">
        <v>52</v>
      </c>
      <c r="B54" s="218">
        <v>135</v>
      </c>
      <c r="C54" s="218" t="s">
        <v>30</v>
      </c>
      <c r="D54" s="220">
        <v>2021500</v>
      </c>
      <c r="E54" s="220">
        <v>2021500</v>
      </c>
      <c r="F54" s="219">
        <v>0</v>
      </c>
      <c r="G54" s="218"/>
      <c r="H54" s="220">
        <v>38562070</v>
      </c>
      <c r="I54" s="281" t="str">
        <f>IF(ISERROR(VLOOKUP(C54,'26년 5월경비'!$D:$D,1,FALSE)),"X","○")</f>
        <v>○</v>
      </c>
      <c r="J54" s="228">
        <v>38562070</v>
      </c>
      <c r="K54" s="221">
        <v>0.873</v>
      </c>
      <c r="L54" s="218"/>
      <c r="M54" s="220">
        <v>126271840</v>
      </c>
      <c r="N54" s="221">
        <v>0.34100000000000003</v>
      </c>
      <c r="O54" s="218"/>
      <c r="P54" s="220">
        <v>44165350</v>
      </c>
      <c r="Q54" s="220">
        <v>370703250</v>
      </c>
      <c r="R54" s="218"/>
      <c r="S54" s="218"/>
      <c r="T54" s="218"/>
    </row>
    <row r="55" spans="1:20">
      <c r="A55" s="219">
        <v>53</v>
      </c>
      <c r="B55" s="218">
        <v>309</v>
      </c>
      <c r="C55" s="218" t="s">
        <v>138</v>
      </c>
      <c r="D55" s="220">
        <v>2992800</v>
      </c>
      <c r="E55" s="220">
        <v>2992800</v>
      </c>
      <c r="F55" s="219">
        <v>0</v>
      </c>
      <c r="G55" s="218"/>
      <c r="H55" s="220">
        <v>38455850</v>
      </c>
      <c r="I55" s="281" t="str">
        <f>IF(ISERROR(VLOOKUP(C55,'26년 5월경비'!$D:$D,1,FALSE)),"X","○")</f>
        <v>○</v>
      </c>
      <c r="J55" s="228">
        <v>38455850</v>
      </c>
      <c r="K55" s="221">
        <v>1.532</v>
      </c>
      <c r="L55" s="218"/>
      <c r="M55" s="220">
        <v>147670410</v>
      </c>
      <c r="N55" s="221">
        <v>0.41399999999999998</v>
      </c>
      <c r="O55" s="218"/>
      <c r="P55" s="220">
        <v>25106730</v>
      </c>
      <c r="Q55" s="220">
        <v>356601300</v>
      </c>
      <c r="R55" s="218"/>
      <c r="S55" s="218"/>
      <c r="T55" s="218"/>
    </row>
    <row r="56" spans="1:20">
      <c r="A56" s="219">
        <v>54</v>
      </c>
      <c r="B56" s="218">
        <v>5007</v>
      </c>
      <c r="C56" s="218" t="s">
        <v>38</v>
      </c>
      <c r="D56" s="220">
        <v>2156920</v>
      </c>
      <c r="E56" s="220">
        <v>2156920</v>
      </c>
      <c r="F56" s="219">
        <v>0</v>
      </c>
      <c r="G56" s="218"/>
      <c r="H56" s="220">
        <v>38322990</v>
      </c>
      <c r="I56" s="281" t="str">
        <f>IF(ISERROR(VLOOKUP(C56,'26년 5월경비'!$D:$D,1,FALSE)),"X","○")</f>
        <v>○</v>
      </c>
      <c r="J56" s="228">
        <v>38322990</v>
      </c>
      <c r="K56" s="221">
        <v>1.304</v>
      </c>
      <c r="L56" s="218"/>
      <c r="M56" s="220">
        <v>122384750</v>
      </c>
      <c r="N56" s="221">
        <v>0.34300000000000003</v>
      </c>
      <c r="O56" s="218"/>
      <c r="P56" s="220">
        <v>29381510</v>
      </c>
      <c r="Q56" s="220">
        <v>356880940</v>
      </c>
      <c r="R56" s="218"/>
      <c r="S56" s="218"/>
      <c r="T56" s="218"/>
    </row>
    <row r="57" spans="1:20">
      <c r="A57" s="219">
        <v>55</v>
      </c>
      <c r="B57" s="218">
        <v>313</v>
      </c>
      <c r="C57" s="218" t="s">
        <v>245</v>
      </c>
      <c r="D57" s="220">
        <v>100000</v>
      </c>
      <c r="E57" s="220">
        <v>100000</v>
      </c>
      <c r="F57" s="219">
        <v>0</v>
      </c>
      <c r="G57" s="218"/>
      <c r="H57" s="220">
        <v>36733150</v>
      </c>
      <c r="I57" s="281" t="str">
        <f>IF(ISERROR(VLOOKUP(C57,'26년 5월경비'!$D:$D,1,FALSE)),"X","○")</f>
        <v>○</v>
      </c>
      <c r="J57" s="228">
        <v>36733150</v>
      </c>
      <c r="K57" s="221">
        <v>1.099</v>
      </c>
      <c r="L57" s="218"/>
      <c r="M57" s="220">
        <v>178713880</v>
      </c>
      <c r="N57" s="221">
        <v>0.432</v>
      </c>
      <c r="O57" s="218"/>
      <c r="P57" s="220">
        <v>33434150</v>
      </c>
      <c r="Q57" s="220">
        <v>413584520</v>
      </c>
      <c r="R57" s="218"/>
      <c r="S57" s="218"/>
      <c r="T57" s="218"/>
    </row>
    <row r="58" spans="1:20">
      <c r="A58" s="219">
        <v>56</v>
      </c>
      <c r="B58" s="218">
        <v>112</v>
      </c>
      <c r="C58" s="218" t="s">
        <v>130</v>
      </c>
      <c r="D58" s="220">
        <v>474250</v>
      </c>
      <c r="E58" s="220">
        <v>474250</v>
      </c>
      <c r="F58" s="219">
        <v>0</v>
      </c>
      <c r="G58" s="218"/>
      <c r="H58" s="220">
        <v>35035430</v>
      </c>
      <c r="I58" s="281" t="str">
        <f>IF(ISERROR(VLOOKUP(C58,'26년 5월경비'!$D:$D,1,FALSE)),"X","○")</f>
        <v>○</v>
      </c>
      <c r="J58" s="228">
        <v>35035430</v>
      </c>
      <c r="K58" s="221">
        <v>1.0740000000000001</v>
      </c>
      <c r="L58" s="218"/>
      <c r="M58" s="220">
        <v>134001550</v>
      </c>
      <c r="N58" s="221">
        <v>0.433</v>
      </c>
      <c r="O58" s="218"/>
      <c r="P58" s="220">
        <v>32635190</v>
      </c>
      <c r="Q58" s="220">
        <v>309402210</v>
      </c>
      <c r="R58" s="218"/>
      <c r="S58" s="218"/>
      <c r="T58" s="218"/>
    </row>
    <row r="59" spans="1:20">
      <c r="A59" s="219">
        <v>57</v>
      </c>
      <c r="B59" s="218">
        <v>5552</v>
      </c>
      <c r="C59" s="218" t="s">
        <v>159</v>
      </c>
      <c r="D59" s="220">
        <v>804800</v>
      </c>
      <c r="E59" s="220">
        <v>804800</v>
      </c>
      <c r="F59" s="219">
        <v>0</v>
      </c>
      <c r="G59" s="218"/>
      <c r="H59" s="220">
        <v>31776960</v>
      </c>
      <c r="I59" s="281" t="str">
        <f>IF(ISERROR(VLOOKUP(C59,'26년 5월경비'!$D:$D,1,FALSE)),"X","○")</f>
        <v>○</v>
      </c>
      <c r="J59" s="228">
        <v>31776960</v>
      </c>
      <c r="K59" s="221">
        <v>1.2729999999999999</v>
      </c>
      <c r="L59" s="218"/>
      <c r="M59" s="220">
        <v>124238880</v>
      </c>
      <c r="N59" s="221">
        <v>0.49</v>
      </c>
      <c r="O59" s="218"/>
      <c r="P59" s="220">
        <v>24955450</v>
      </c>
      <c r="Q59" s="220">
        <v>253318960</v>
      </c>
      <c r="R59" s="218"/>
      <c r="S59" s="218"/>
      <c r="T59" s="218"/>
    </row>
    <row r="60" spans="1:20">
      <c r="A60" s="219">
        <v>58</v>
      </c>
      <c r="B60" s="218">
        <v>113</v>
      </c>
      <c r="C60" s="218" t="s">
        <v>92</v>
      </c>
      <c r="D60" s="220">
        <v>752000</v>
      </c>
      <c r="E60" s="220">
        <v>752000</v>
      </c>
      <c r="F60" s="219">
        <v>0</v>
      </c>
      <c r="G60" s="218"/>
      <c r="H60" s="220">
        <v>31438100</v>
      </c>
      <c r="I60" s="281" t="str">
        <f>IF(ISERROR(VLOOKUP(C60,'26년 5월경비'!$D:$D,1,FALSE)),"X","○")</f>
        <v>○</v>
      </c>
      <c r="J60" s="228">
        <v>31438100</v>
      </c>
      <c r="K60" s="221">
        <v>1.137</v>
      </c>
      <c r="L60" s="218"/>
      <c r="M60" s="220">
        <v>138875100</v>
      </c>
      <c r="N60" s="221">
        <v>0.39500000000000002</v>
      </c>
      <c r="O60" s="218"/>
      <c r="P60" s="220">
        <v>27641950</v>
      </c>
      <c r="Q60" s="220">
        <v>352003770</v>
      </c>
      <c r="R60" s="218"/>
      <c r="S60" s="218"/>
      <c r="T60" s="218"/>
    </row>
    <row r="61" spans="1:20">
      <c r="A61" s="219">
        <v>59</v>
      </c>
      <c r="B61" s="218">
        <v>5005</v>
      </c>
      <c r="C61" s="218" t="s">
        <v>37</v>
      </c>
      <c r="D61" s="220">
        <v>779600</v>
      </c>
      <c r="E61" s="220">
        <v>779600</v>
      </c>
      <c r="F61" s="219">
        <v>0</v>
      </c>
      <c r="G61" s="218"/>
      <c r="H61" s="220">
        <v>29325890</v>
      </c>
      <c r="I61" s="281" t="str">
        <f>IF(ISERROR(VLOOKUP(C61,'26년 5월경비'!$D:$D,1,FALSE)),"X","○")</f>
        <v>○</v>
      </c>
      <c r="J61" s="228">
        <v>29325890</v>
      </c>
      <c r="K61" s="221">
        <v>1.0840000000000001</v>
      </c>
      <c r="L61" s="218"/>
      <c r="M61" s="220">
        <v>121717340</v>
      </c>
      <c r="N61" s="221">
        <v>0.4</v>
      </c>
      <c r="O61" s="218"/>
      <c r="P61" s="220">
        <v>27051170</v>
      </c>
      <c r="Q61" s="220">
        <v>304119020</v>
      </c>
      <c r="R61" s="218"/>
      <c r="S61" s="218"/>
      <c r="T61" s="218"/>
    </row>
    <row r="62" spans="1:20">
      <c r="A62" s="219">
        <v>60</v>
      </c>
      <c r="B62" s="218">
        <v>102</v>
      </c>
      <c r="C62" s="218" t="s">
        <v>94</v>
      </c>
      <c r="D62" s="220">
        <v>353100</v>
      </c>
      <c r="E62" s="220">
        <v>353100</v>
      </c>
      <c r="F62" s="219">
        <v>0</v>
      </c>
      <c r="G62" s="218"/>
      <c r="H62" s="265">
        <v>28664640</v>
      </c>
      <c r="I62" s="281" t="str">
        <f>IF(ISERROR(VLOOKUP(C62,'26년 5월경비'!$D:$D,1,FALSE)),"X","○")</f>
        <v>○</v>
      </c>
      <c r="J62" s="228">
        <v>28664640</v>
      </c>
      <c r="K62" s="221">
        <v>1.0109999999999999</v>
      </c>
      <c r="L62" s="218"/>
      <c r="M62" s="220">
        <v>99962340</v>
      </c>
      <c r="N62" s="221">
        <v>0.39100000000000001</v>
      </c>
      <c r="O62" s="218"/>
      <c r="P62" s="220">
        <v>28347300</v>
      </c>
      <c r="Q62" s="220">
        <v>255737450</v>
      </c>
      <c r="R62" s="218"/>
      <c r="S62" s="218"/>
      <c r="T62" s="218"/>
    </row>
    <row r="63" spans="1:20">
      <c r="A63" s="219">
        <v>61</v>
      </c>
      <c r="B63" s="218">
        <v>505</v>
      </c>
      <c r="C63" s="218" t="s">
        <v>136</v>
      </c>
      <c r="D63" s="220">
        <v>42000</v>
      </c>
      <c r="E63" s="220">
        <v>42000</v>
      </c>
      <c r="F63" s="219">
        <v>0</v>
      </c>
      <c r="G63" s="218"/>
      <c r="H63" s="220">
        <v>24307440</v>
      </c>
      <c r="I63" s="281" t="str">
        <f>IF(ISERROR(VLOOKUP(C63,'26년 5월경비'!$D:$D,1,FALSE)),"X","○")</f>
        <v>○</v>
      </c>
      <c r="J63" s="228">
        <v>24307440</v>
      </c>
      <c r="K63" s="221">
        <v>1.0029999999999999</v>
      </c>
      <c r="L63" s="218"/>
      <c r="M63" s="220">
        <v>121701840</v>
      </c>
      <c r="N63" s="221">
        <v>0.34699999999999998</v>
      </c>
      <c r="O63" s="218"/>
      <c r="P63" s="220">
        <v>24241030</v>
      </c>
      <c r="Q63" s="220">
        <v>351222411</v>
      </c>
      <c r="R63" s="218"/>
      <c r="S63" s="218"/>
      <c r="T63" s="218"/>
    </row>
    <row r="64" spans="1:20">
      <c r="A64" s="219">
        <v>62</v>
      </c>
      <c r="B64" s="218">
        <v>218</v>
      </c>
      <c r="C64" s="218" t="s">
        <v>93</v>
      </c>
      <c r="D64" s="220">
        <v>517120</v>
      </c>
      <c r="E64" s="220">
        <v>517120</v>
      </c>
      <c r="F64" s="219">
        <v>0</v>
      </c>
      <c r="G64" s="218"/>
      <c r="H64" s="220">
        <v>21019440</v>
      </c>
      <c r="I64" s="281" t="str">
        <f>IF(ISERROR(VLOOKUP(C64,'26년 5월경비'!$D:$D,1,FALSE)),"X","○")</f>
        <v>○</v>
      </c>
      <c r="J64" s="228">
        <v>21019440</v>
      </c>
      <c r="K64" s="221">
        <v>0.80400000000000005</v>
      </c>
      <c r="L64" s="218"/>
      <c r="M64" s="220">
        <v>114650720</v>
      </c>
      <c r="N64" s="221">
        <v>0.38</v>
      </c>
      <c r="O64" s="218"/>
      <c r="P64" s="220">
        <v>26130790</v>
      </c>
      <c r="Q64" s="220">
        <v>301515010</v>
      </c>
      <c r="R64" s="218"/>
      <c r="S64" s="218"/>
      <c r="T64" s="218"/>
    </row>
    <row r="65" spans="1:20">
      <c r="A65" s="219">
        <v>63</v>
      </c>
      <c r="B65" s="218">
        <v>120</v>
      </c>
      <c r="C65" s="218" t="s">
        <v>95</v>
      </c>
      <c r="D65" s="219">
        <v>920700</v>
      </c>
      <c r="E65" s="219">
        <v>920700</v>
      </c>
      <c r="F65" s="219">
        <v>0</v>
      </c>
      <c r="G65" s="218"/>
      <c r="H65" s="220">
        <v>19497740</v>
      </c>
      <c r="I65" s="281" t="str">
        <f>IF(ISERROR(VLOOKUP(C65,'26년 5월경비'!$D:$D,1,FALSE)),"X","○")</f>
        <v>○</v>
      </c>
      <c r="J65" s="228">
        <v>19497740</v>
      </c>
      <c r="K65" s="222">
        <v>0.78400000000000003</v>
      </c>
      <c r="L65" s="218"/>
      <c r="M65" s="219">
        <v>77884180</v>
      </c>
      <c r="N65" s="222">
        <v>0.35299999999999998</v>
      </c>
      <c r="O65" s="218"/>
      <c r="P65" s="220">
        <v>24860060</v>
      </c>
      <c r="Q65" s="220">
        <v>220465850</v>
      </c>
      <c r="R65" s="218"/>
      <c r="S65" s="218"/>
      <c r="T65" s="218"/>
    </row>
    <row r="66" spans="1:20">
      <c r="A66" s="219">
        <v>64</v>
      </c>
      <c r="B66" s="218">
        <v>5405</v>
      </c>
      <c r="C66" s="218" t="s">
        <v>369</v>
      </c>
      <c r="D66" s="219">
        <v>0</v>
      </c>
      <c r="E66" s="219">
        <v>0</v>
      </c>
      <c r="F66" s="219">
        <v>0</v>
      </c>
      <c r="G66" s="218"/>
      <c r="H66" s="265">
        <v>14657800</v>
      </c>
      <c r="I66" s="281" t="str">
        <f>IF(ISERROR(VLOOKUP(C66,'26년 5월경비'!$D:$D,1,FALSE)),"X","○")</f>
        <v>X</v>
      </c>
      <c r="J66" s="228">
        <v>14657800</v>
      </c>
      <c r="K66" s="222">
        <v>0</v>
      </c>
      <c r="L66" s="218"/>
      <c r="M66" s="219">
        <v>25664200</v>
      </c>
      <c r="N66" s="222">
        <v>0.4</v>
      </c>
      <c r="O66" s="218"/>
      <c r="P66" s="220">
        <v>0</v>
      </c>
      <c r="Q66" s="220">
        <v>64226600</v>
      </c>
      <c r="R66" s="218"/>
      <c r="S66" s="218"/>
      <c r="T66" s="218"/>
    </row>
    <row r="67" spans="1:20">
      <c r="A67" s="219">
        <v>65</v>
      </c>
      <c r="B67" s="218">
        <v>5470</v>
      </c>
      <c r="C67" s="218" t="s">
        <v>379</v>
      </c>
      <c r="D67" s="219">
        <v>640100</v>
      </c>
      <c r="E67" s="219">
        <v>0</v>
      </c>
      <c r="F67" s="219">
        <v>640100</v>
      </c>
      <c r="G67" s="218"/>
      <c r="H67" s="220">
        <v>640100</v>
      </c>
      <c r="I67" s="281" t="str">
        <f>IF(ISERROR(VLOOKUP(C67,'26년 5월경비'!$D:$D,1,FALSE)),"X","○")</f>
        <v>X</v>
      </c>
      <c r="J67" s="228">
        <v>640100</v>
      </c>
      <c r="K67" s="222">
        <v>0</v>
      </c>
      <c r="L67" s="218"/>
      <c r="M67" s="219">
        <v>1613600</v>
      </c>
      <c r="N67" s="222">
        <v>1.2090000000000001</v>
      </c>
      <c r="O67" s="218"/>
      <c r="P67" s="220">
        <v>0</v>
      </c>
      <c r="Q67" s="220">
        <v>1334960</v>
      </c>
      <c r="R67" s="218"/>
      <c r="S67" s="218"/>
      <c r="T67" s="218"/>
    </row>
    <row r="68" spans="1:20">
      <c r="A68" s="219">
        <v>66</v>
      </c>
      <c r="B68" s="218">
        <v>140</v>
      </c>
      <c r="C68" s="218" t="s">
        <v>85</v>
      </c>
      <c r="D68" s="219">
        <v>0</v>
      </c>
      <c r="E68" s="219">
        <v>0</v>
      </c>
      <c r="F68" s="219">
        <v>0</v>
      </c>
      <c r="G68" s="218"/>
      <c r="H68" s="220">
        <v>0</v>
      </c>
      <c r="I68" s="281" t="str">
        <f>IF(ISERROR(VLOOKUP(C68,'26년 5월경비'!$D:$D,1,FALSE)),"X","○")</f>
        <v>X</v>
      </c>
      <c r="J68" s="228">
        <v>0</v>
      </c>
      <c r="K68" s="222">
        <v>0</v>
      </c>
      <c r="L68" s="218"/>
      <c r="M68" s="219">
        <v>248924190</v>
      </c>
      <c r="N68" s="222">
        <v>0.48</v>
      </c>
      <c r="O68" s="218"/>
      <c r="P68" s="220">
        <v>50026680</v>
      </c>
      <c r="Q68" s="220">
        <v>518668170</v>
      </c>
      <c r="R68" s="218"/>
      <c r="S68" s="218"/>
      <c r="T68" s="218"/>
    </row>
    <row r="69" spans="1:20">
      <c r="A69" s="219">
        <v>67</v>
      </c>
      <c r="B69" s="218">
        <v>209</v>
      </c>
      <c r="C69" s="218" t="s">
        <v>416</v>
      </c>
      <c r="D69" s="219">
        <v>0</v>
      </c>
      <c r="E69" s="219">
        <v>0</v>
      </c>
      <c r="F69" s="219">
        <v>0</v>
      </c>
      <c r="G69" s="218"/>
      <c r="H69" s="220">
        <v>0</v>
      </c>
      <c r="I69" s="281" t="str">
        <f>IF(ISERROR(VLOOKUP(C69,'26년 5월경비'!$D:$D,1,FALSE)),"X","○")</f>
        <v>X</v>
      </c>
      <c r="J69" s="228">
        <v>0</v>
      </c>
      <c r="K69" s="222">
        <v>0</v>
      </c>
      <c r="L69" s="218"/>
      <c r="M69" s="219">
        <v>92674190</v>
      </c>
      <c r="N69" s="222">
        <v>0.17699999999999999</v>
      </c>
      <c r="O69" s="218"/>
      <c r="P69" s="220">
        <v>46041150</v>
      </c>
      <c r="Q69" s="220">
        <v>523176570</v>
      </c>
      <c r="R69" s="218"/>
      <c r="S69" s="218"/>
      <c r="T69" s="218"/>
    </row>
    <row r="70" spans="1:20">
      <c r="A70" s="219">
        <v>68</v>
      </c>
      <c r="B70" s="218">
        <v>216</v>
      </c>
      <c r="C70" s="218" t="s">
        <v>96</v>
      </c>
      <c r="D70" s="219">
        <v>0</v>
      </c>
      <c r="E70" s="219">
        <v>0</v>
      </c>
      <c r="F70" s="219">
        <v>0</v>
      </c>
      <c r="G70" s="218"/>
      <c r="H70" s="220">
        <v>0</v>
      </c>
      <c r="I70" s="281" t="str">
        <f>IF(ISERROR(VLOOKUP(C70,'26년 5월경비'!$D:$D,1,FALSE)),"X","○")</f>
        <v>X</v>
      </c>
      <c r="J70" s="228">
        <v>0</v>
      </c>
      <c r="K70" s="222">
        <v>0</v>
      </c>
      <c r="L70" s="218"/>
      <c r="M70" s="219">
        <v>0</v>
      </c>
      <c r="N70" s="222">
        <v>0</v>
      </c>
      <c r="O70" s="218"/>
      <c r="P70" s="220">
        <v>11976700</v>
      </c>
      <c r="Q70" s="220">
        <v>81183580</v>
      </c>
      <c r="R70" s="218"/>
      <c r="S70" s="218"/>
      <c r="T70" s="218"/>
    </row>
    <row r="71" spans="1:20">
      <c r="A71" s="219">
        <v>69</v>
      </c>
      <c r="B71" s="218">
        <v>1306</v>
      </c>
      <c r="C71" s="218" t="s">
        <v>388</v>
      </c>
      <c r="D71" s="219">
        <v>0</v>
      </c>
      <c r="E71" s="219">
        <v>0</v>
      </c>
      <c r="F71" s="219">
        <v>0</v>
      </c>
      <c r="G71" s="218"/>
      <c r="H71" s="220">
        <v>0</v>
      </c>
      <c r="I71" s="281" t="str">
        <f>IF(ISERROR(VLOOKUP(C71,'26년 5월경비'!$D:$D,1,FALSE)),"X","○")</f>
        <v>X</v>
      </c>
      <c r="J71" s="228">
        <v>0</v>
      </c>
      <c r="K71" s="222">
        <v>0</v>
      </c>
      <c r="L71" s="218"/>
      <c r="M71" s="219">
        <v>0</v>
      </c>
      <c r="N71" s="222">
        <v>0</v>
      </c>
      <c r="O71" s="218"/>
      <c r="P71" s="220">
        <v>197991000</v>
      </c>
      <c r="Q71" s="220">
        <v>727620000</v>
      </c>
      <c r="R71" s="218"/>
      <c r="S71" s="218"/>
      <c r="T71" s="218"/>
    </row>
    <row r="72" spans="1:20">
      <c r="A72" s="219">
        <v>70</v>
      </c>
      <c r="B72" s="218">
        <v>5008</v>
      </c>
      <c r="C72" s="218" t="s">
        <v>68</v>
      </c>
      <c r="D72" s="219">
        <v>0</v>
      </c>
      <c r="E72" s="219">
        <v>0</v>
      </c>
      <c r="F72" s="219">
        <v>0</v>
      </c>
      <c r="G72" s="218"/>
      <c r="H72" s="220">
        <v>0</v>
      </c>
      <c r="I72" s="281" t="str">
        <f>IF(ISERROR(VLOOKUP(C72,'26년 5월경비'!$D:$D,1,FALSE)),"X","○")</f>
        <v>X</v>
      </c>
      <c r="J72" s="228">
        <v>0</v>
      </c>
      <c r="K72" s="222">
        <v>0</v>
      </c>
      <c r="L72" s="218"/>
      <c r="M72" s="219">
        <v>0</v>
      </c>
      <c r="N72" s="222">
        <v>0</v>
      </c>
      <c r="O72" s="218"/>
      <c r="P72" s="219">
        <v>0</v>
      </c>
      <c r="Q72" s="220">
        <v>51781440</v>
      </c>
      <c r="R72" s="218"/>
      <c r="S72" s="218"/>
      <c r="T72" s="218"/>
    </row>
    <row r="73" spans="1:20">
      <c r="A73" s="219">
        <v>71</v>
      </c>
      <c r="B73" s="218">
        <v>5301</v>
      </c>
      <c r="C73" s="218" t="s">
        <v>365</v>
      </c>
      <c r="D73" s="219">
        <v>0</v>
      </c>
      <c r="E73" s="219">
        <v>0</v>
      </c>
      <c r="F73" s="219">
        <v>0</v>
      </c>
      <c r="G73" s="218"/>
      <c r="H73" s="220">
        <v>0</v>
      </c>
      <c r="I73" s="281" t="str">
        <f>IF(ISERROR(VLOOKUP(C73,'26년 5월경비'!$D:$D,1,FALSE)),"X","○")</f>
        <v>X</v>
      </c>
      <c r="J73" s="228">
        <v>0</v>
      </c>
      <c r="K73" s="222">
        <v>0</v>
      </c>
      <c r="L73" s="218"/>
      <c r="M73" s="219">
        <v>0</v>
      </c>
      <c r="N73" s="222">
        <v>0</v>
      </c>
      <c r="O73" s="218"/>
      <c r="P73" s="219">
        <v>0</v>
      </c>
      <c r="Q73" s="220">
        <v>12520460</v>
      </c>
      <c r="R73" s="218"/>
      <c r="S73" s="218"/>
      <c r="T73" s="218"/>
    </row>
    <row r="74" spans="1:20">
      <c r="A74" s="219">
        <v>72</v>
      </c>
      <c r="B74" s="218">
        <v>5401</v>
      </c>
      <c r="C74" s="218" t="s">
        <v>366</v>
      </c>
      <c r="D74" s="219">
        <v>0</v>
      </c>
      <c r="E74" s="219">
        <v>0</v>
      </c>
      <c r="F74" s="219">
        <v>0</v>
      </c>
      <c r="G74" s="218"/>
      <c r="H74" s="220">
        <v>0</v>
      </c>
      <c r="I74" s="281" t="str">
        <f>IF(ISERROR(VLOOKUP(C74,'26년 5월경비'!$D:$D,1,FALSE)),"X","○")</f>
        <v>X</v>
      </c>
      <c r="J74" s="228">
        <v>0</v>
      </c>
      <c r="K74" s="222">
        <v>0</v>
      </c>
      <c r="L74" s="218"/>
      <c r="M74" s="219">
        <v>12490200</v>
      </c>
      <c r="N74" s="222">
        <v>0.222</v>
      </c>
      <c r="O74" s="218"/>
      <c r="P74" s="219">
        <v>0</v>
      </c>
      <c r="Q74" s="220">
        <v>56166600</v>
      </c>
      <c r="R74" s="218"/>
      <c r="S74" s="218"/>
      <c r="T74" s="218"/>
    </row>
    <row r="75" spans="1:20">
      <c r="A75" s="219">
        <v>73</v>
      </c>
      <c r="B75" s="218">
        <v>5402</v>
      </c>
      <c r="C75" s="218" t="s">
        <v>367</v>
      </c>
      <c r="D75" s="219">
        <v>0</v>
      </c>
      <c r="E75" s="219">
        <v>0</v>
      </c>
      <c r="F75" s="219">
        <v>0</v>
      </c>
      <c r="G75" s="218"/>
      <c r="H75" s="220">
        <v>0</v>
      </c>
      <c r="I75" s="281" t="str">
        <f>IF(ISERROR(VLOOKUP(C75,'26년 5월경비'!$D:$D,1,FALSE)),"X","○")</f>
        <v>X</v>
      </c>
      <c r="J75" s="228">
        <v>0</v>
      </c>
      <c r="K75" s="222">
        <v>0</v>
      </c>
      <c r="L75" s="218"/>
      <c r="M75" s="219">
        <v>0</v>
      </c>
      <c r="N75" s="222">
        <v>0</v>
      </c>
      <c r="O75" s="218"/>
      <c r="P75" s="219">
        <v>0</v>
      </c>
      <c r="Q75" s="220">
        <v>13242800</v>
      </c>
      <c r="R75" s="218"/>
      <c r="S75" s="218"/>
      <c r="T75" s="218"/>
    </row>
    <row r="76" spans="1:20">
      <c r="A76" s="219">
        <v>74</v>
      </c>
      <c r="B76" s="218">
        <v>5404</v>
      </c>
      <c r="C76" s="218" t="s">
        <v>368</v>
      </c>
      <c r="D76" s="219">
        <v>0</v>
      </c>
      <c r="E76" s="219">
        <v>0</v>
      </c>
      <c r="F76" s="219">
        <v>0</v>
      </c>
      <c r="G76" s="218"/>
      <c r="H76" s="220">
        <v>0</v>
      </c>
      <c r="I76" s="281" t="str">
        <f>IF(ISERROR(VLOOKUP(C76,'26년 5월경비'!$D:$D,1,FALSE)),"X","○")</f>
        <v>X</v>
      </c>
      <c r="J76" s="228">
        <v>0</v>
      </c>
      <c r="K76" s="222">
        <v>0</v>
      </c>
      <c r="L76" s="218"/>
      <c r="M76" s="219">
        <v>0</v>
      </c>
      <c r="N76" s="222">
        <v>0</v>
      </c>
      <c r="O76" s="218"/>
      <c r="P76" s="219">
        <v>0</v>
      </c>
      <c r="Q76" s="220">
        <v>32745400</v>
      </c>
      <c r="R76" s="218"/>
      <c r="S76" s="218"/>
      <c r="T76" s="218"/>
    </row>
    <row r="77" spans="1:20">
      <c r="A77" s="219">
        <v>75</v>
      </c>
      <c r="B77" s="218">
        <v>5407</v>
      </c>
      <c r="C77" s="218" t="s">
        <v>389</v>
      </c>
      <c r="D77" s="219">
        <v>0</v>
      </c>
      <c r="E77" s="219">
        <v>0</v>
      </c>
      <c r="F77" s="219">
        <v>0</v>
      </c>
      <c r="G77" s="218"/>
      <c r="H77" s="220">
        <v>0</v>
      </c>
      <c r="I77" s="281" t="str">
        <f>IF(ISERROR(VLOOKUP(C77,'26년 5월경비'!$D:$D,1,FALSE)),"X","○")</f>
        <v>X</v>
      </c>
      <c r="J77" s="228">
        <v>0</v>
      </c>
      <c r="K77" s="222">
        <v>0</v>
      </c>
      <c r="L77" s="218"/>
      <c r="M77" s="219">
        <v>0</v>
      </c>
      <c r="N77" s="222">
        <v>0</v>
      </c>
      <c r="O77" s="218"/>
      <c r="P77" s="219">
        <v>0</v>
      </c>
      <c r="Q77" s="220">
        <v>28990800</v>
      </c>
      <c r="R77" s="218"/>
      <c r="S77" s="218"/>
      <c r="T77" s="218"/>
    </row>
    <row r="78" spans="1:20">
      <c r="A78" s="219">
        <v>76</v>
      </c>
      <c r="B78" s="218">
        <v>5409</v>
      </c>
      <c r="C78" s="218" t="s">
        <v>370</v>
      </c>
      <c r="D78" s="219">
        <v>0</v>
      </c>
      <c r="E78" s="219">
        <v>0</v>
      </c>
      <c r="F78" s="219">
        <v>0</v>
      </c>
      <c r="G78" s="218"/>
      <c r="H78" s="220">
        <v>0</v>
      </c>
      <c r="I78" s="281" t="str">
        <f>IF(ISERROR(VLOOKUP(C78,'26년 5월경비'!$D:$D,1,FALSE)),"X","○")</f>
        <v>X</v>
      </c>
      <c r="J78" s="228">
        <v>0</v>
      </c>
      <c r="K78" s="222">
        <v>0</v>
      </c>
      <c r="L78" s="218"/>
      <c r="M78" s="219">
        <v>11048000</v>
      </c>
      <c r="N78" s="222">
        <v>0.9</v>
      </c>
      <c r="O78" s="218"/>
      <c r="P78" s="219">
        <v>0</v>
      </c>
      <c r="Q78" s="220">
        <v>12279600</v>
      </c>
      <c r="R78" s="218"/>
      <c r="S78" s="218"/>
      <c r="T78" s="218"/>
    </row>
    <row r="79" spans="1:20">
      <c r="A79" s="219">
        <v>77</v>
      </c>
      <c r="B79" s="218">
        <v>5410</v>
      </c>
      <c r="C79" s="218" t="s">
        <v>371</v>
      </c>
      <c r="D79" s="219">
        <v>0</v>
      </c>
      <c r="E79" s="219">
        <v>0</v>
      </c>
      <c r="F79" s="219">
        <v>0</v>
      </c>
      <c r="G79" s="218"/>
      <c r="H79" s="220">
        <v>0</v>
      </c>
      <c r="I79" s="281" t="str">
        <f>IF(ISERROR(VLOOKUP(C79,'26년 5월경비'!$D:$D,1,FALSE)),"X","○")</f>
        <v>X</v>
      </c>
      <c r="J79" s="228">
        <v>0</v>
      </c>
      <c r="K79" s="222">
        <v>0</v>
      </c>
      <c r="L79" s="218"/>
      <c r="M79" s="219">
        <v>0</v>
      </c>
      <c r="N79" s="222">
        <v>0</v>
      </c>
      <c r="O79" s="218"/>
      <c r="P79" s="219">
        <v>0</v>
      </c>
      <c r="Q79" s="220">
        <v>31076400</v>
      </c>
      <c r="R79" s="218"/>
      <c r="S79" s="218"/>
      <c r="T79" s="218"/>
    </row>
    <row r="80" spans="1:20">
      <c r="A80" s="219">
        <v>78</v>
      </c>
      <c r="B80" s="218">
        <v>5412</v>
      </c>
      <c r="C80" s="218" t="s">
        <v>372</v>
      </c>
      <c r="D80" s="219">
        <v>0</v>
      </c>
      <c r="E80" s="219">
        <v>0</v>
      </c>
      <c r="F80" s="219">
        <v>0</v>
      </c>
      <c r="G80" s="218"/>
      <c r="H80" s="220">
        <v>0</v>
      </c>
      <c r="I80" s="281" t="str">
        <f>IF(ISERROR(VLOOKUP(C80,'26년 5월경비'!$D:$D,1,FALSE)),"X","○")</f>
        <v>X</v>
      </c>
      <c r="J80" s="228">
        <v>0</v>
      </c>
      <c r="K80" s="222">
        <v>0</v>
      </c>
      <c r="L80" s="218"/>
      <c r="M80" s="219">
        <v>0</v>
      </c>
      <c r="N80" s="222">
        <v>0</v>
      </c>
      <c r="O80" s="218"/>
      <c r="P80" s="220">
        <v>0</v>
      </c>
      <c r="Q80" s="220">
        <v>23869000</v>
      </c>
      <c r="R80" s="218"/>
      <c r="S80" s="218"/>
      <c r="T80" s="218"/>
    </row>
    <row r="81" spans="1:20">
      <c r="A81" s="219">
        <v>79</v>
      </c>
      <c r="B81" s="218">
        <v>5413</v>
      </c>
      <c r="C81" s="218" t="s">
        <v>373</v>
      </c>
      <c r="D81" s="219">
        <v>0</v>
      </c>
      <c r="E81" s="219">
        <v>0</v>
      </c>
      <c r="F81" s="219">
        <v>0</v>
      </c>
      <c r="G81" s="218"/>
      <c r="H81" s="220">
        <v>0</v>
      </c>
      <c r="I81" s="281" t="str">
        <f>IF(ISERROR(VLOOKUP(C81,'26년 5월경비'!$D:$D,1,FALSE)),"X","○")</f>
        <v>X</v>
      </c>
      <c r="J81" s="228">
        <v>0</v>
      </c>
      <c r="K81" s="222">
        <v>0</v>
      </c>
      <c r="L81" s="218"/>
      <c r="M81" s="219">
        <v>0</v>
      </c>
      <c r="N81" s="222">
        <v>0</v>
      </c>
      <c r="O81" s="218"/>
      <c r="P81" s="219">
        <v>0</v>
      </c>
      <c r="Q81" s="220">
        <v>18108200</v>
      </c>
      <c r="R81" s="218"/>
      <c r="S81" s="218"/>
      <c r="T81" s="218"/>
    </row>
    <row r="82" spans="1:20">
      <c r="A82" s="219">
        <v>80</v>
      </c>
      <c r="B82" s="218">
        <v>5414</v>
      </c>
      <c r="C82" s="218" t="s">
        <v>374</v>
      </c>
      <c r="D82" s="219">
        <v>0</v>
      </c>
      <c r="E82" s="219">
        <v>0</v>
      </c>
      <c r="F82" s="219">
        <v>0</v>
      </c>
      <c r="G82" s="218"/>
      <c r="H82" s="220">
        <v>0</v>
      </c>
      <c r="I82" s="281" t="str">
        <f>IF(ISERROR(VLOOKUP(C82,'26년 5월경비'!$D:$D,1,FALSE)),"X","○")</f>
        <v>X</v>
      </c>
      <c r="J82" s="228">
        <v>0</v>
      </c>
      <c r="K82" s="222">
        <v>0</v>
      </c>
      <c r="L82" s="218"/>
      <c r="M82" s="219">
        <v>0</v>
      </c>
      <c r="N82" s="222">
        <v>0</v>
      </c>
      <c r="O82" s="218"/>
      <c r="P82" s="219">
        <v>0</v>
      </c>
      <c r="Q82" s="220">
        <v>11217200</v>
      </c>
      <c r="R82" s="218"/>
      <c r="S82" s="218"/>
      <c r="T82" s="218"/>
    </row>
    <row r="83" spans="1:20">
      <c r="A83" s="219">
        <v>81</v>
      </c>
      <c r="B83" s="218">
        <v>5415</v>
      </c>
      <c r="C83" s="218" t="s">
        <v>375</v>
      </c>
      <c r="D83" s="219">
        <v>0</v>
      </c>
      <c r="E83" s="219">
        <v>0</v>
      </c>
      <c r="F83" s="219">
        <v>0</v>
      </c>
      <c r="G83" s="218"/>
      <c r="H83" s="220">
        <v>0</v>
      </c>
      <c r="I83" s="281" t="str">
        <f>IF(ISERROR(VLOOKUP(C83,'26년 5월경비'!$D:$D,1,FALSE)),"X","○")</f>
        <v>X</v>
      </c>
      <c r="J83" s="228">
        <v>0</v>
      </c>
      <c r="K83" s="222">
        <v>0</v>
      </c>
      <c r="L83" s="218"/>
      <c r="M83" s="219">
        <v>8210800</v>
      </c>
      <c r="N83" s="222">
        <v>0.39</v>
      </c>
      <c r="O83" s="218"/>
      <c r="P83" s="219">
        <v>0</v>
      </c>
      <c r="Q83" s="220">
        <v>21031200</v>
      </c>
      <c r="R83" s="218"/>
      <c r="S83" s="218"/>
      <c r="T83" s="218"/>
    </row>
    <row r="84" spans="1:20">
      <c r="A84" s="219">
        <v>82</v>
      </c>
      <c r="B84" s="218">
        <v>5416</v>
      </c>
      <c r="C84" s="218" t="s">
        <v>376</v>
      </c>
      <c r="D84" s="219">
        <v>0</v>
      </c>
      <c r="E84" s="219">
        <v>0</v>
      </c>
      <c r="F84" s="219">
        <v>0</v>
      </c>
      <c r="G84" s="218"/>
      <c r="H84" s="220">
        <v>0</v>
      </c>
      <c r="I84" s="281" t="str">
        <f>IF(ISERROR(VLOOKUP(C84,'26년 5월경비'!$D:$D,1,FALSE)),"X","○")</f>
        <v>X</v>
      </c>
      <c r="J84" s="228">
        <v>0</v>
      </c>
      <c r="K84" s="222">
        <v>0</v>
      </c>
      <c r="L84" s="218"/>
      <c r="M84" s="219">
        <v>7307400</v>
      </c>
      <c r="N84" s="222">
        <v>0.152</v>
      </c>
      <c r="O84" s="218"/>
      <c r="P84" s="220">
        <v>0</v>
      </c>
      <c r="Q84" s="220">
        <v>47989200</v>
      </c>
      <c r="R84" s="218"/>
      <c r="S84" s="218"/>
      <c r="T84" s="218"/>
    </row>
    <row r="85" spans="1:20">
      <c r="A85" s="219">
        <v>83</v>
      </c>
      <c r="B85" s="218">
        <v>5417</v>
      </c>
      <c r="C85" s="218" t="s">
        <v>377</v>
      </c>
      <c r="D85" s="219">
        <v>0</v>
      </c>
      <c r="E85" s="219">
        <v>0</v>
      </c>
      <c r="F85" s="219">
        <v>0</v>
      </c>
      <c r="G85" s="218"/>
      <c r="H85" s="220">
        <v>0</v>
      </c>
      <c r="I85" s="281" t="str">
        <f>IF(ISERROR(VLOOKUP(C85,'26년 5월경비'!$D:$D,1,FALSE)),"X","○")</f>
        <v>X</v>
      </c>
      <c r="J85" s="228">
        <v>0</v>
      </c>
      <c r="K85" s="222">
        <v>0</v>
      </c>
      <c r="L85" s="218"/>
      <c r="M85" s="219">
        <v>15316800</v>
      </c>
      <c r="N85" s="222">
        <v>0.73799999999999999</v>
      </c>
      <c r="O85" s="218"/>
      <c r="P85" s="219">
        <v>0</v>
      </c>
      <c r="Q85" s="220">
        <v>20767800</v>
      </c>
      <c r="R85" s="218"/>
      <c r="S85" s="218"/>
      <c r="T85" s="218"/>
    </row>
    <row r="86" spans="1:20">
      <c r="A86" s="219">
        <v>84</v>
      </c>
      <c r="B86" s="218">
        <v>5418</v>
      </c>
      <c r="C86" s="218" t="s">
        <v>378</v>
      </c>
      <c r="D86" s="219">
        <v>0</v>
      </c>
      <c r="E86" s="219">
        <v>0</v>
      </c>
      <c r="F86" s="219">
        <v>0</v>
      </c>
      <c r="G86" s="218"/>
      <c r="H86" s="220">
        <v>0</v>
      </c>
      <c r="I86" s="281" t="str">
        <f>IF(ISERROR(VLOOKUP(C86,'26년 5월경비'!$D:$D,1,FALSE)),"X","○")</f>
        <v>X</v>
      </c>
      <c r="J86" s="228">
        <v>0</v>
      </c>
      <c r="K86" s="222">
        <v>0</v>
      </c>
      <c r="L86" s="218"/>
      <c r="M86" s="219">
        <v>0</v>
      </c>
      <c r="N86" s="222">
        <v>0</v>
      </c>
      <c r="O86" s="218"/>
      <c r="P86" s="219">
        <v>0</v>
      </c>
      <c r="Q86" s="220">
        <v>28117000</v>
      </c>
      <c r="R86" s="218"/>
      <c r="S86" s="218"/>
      <c r="T86" s="218"/>
    </row>
    <row r="87" spans="1:20">
      <c r="A87" s="219">
        <v>85</v>
      </c>
      <c r="B87" s="218">
        <v>5553</v>
      </c>
      <c r="C87" s="218" t="s">
        <v>406</v>
      </c>
      <c r="D87" s="219">
        <v>0</v>
      </c>
      <c r="E87" s="219">
        <v>0</v>
      </c>
      <c r="F87" s="219">
        <v>0</v>
      </c>
      <c r="G87" s="218"/>
      <c r="H87" s="220">
        <v>0</v>
      </c>
      <c r="I87" s="281" t="str">
        <f>IF(ISERROR(VLOOKUP(C87,'26년 5월경비'!$D:$D,1,FALSE)),"X","○")</f>
        <v>X</v>
      </c>
      <c r="J87" s="228">
        <v>0</v>
      </c>
      <c r="K87" s="222">
        <v>0</v>
      </c>
      <c r="L87" s="218"/>
      <c r="M87" s="219">
        <v>15070530</v>
      </c>
      <c r="N87" s="222">
        <v>0</v>
      </c>
      <c r="O87" s="218"/>
      <c r="P87" s="220">
        <v>0</v>
      </c>
      <c r="Q87" s="220">
        <v>0</v>
      </c>
      <c r="R87" s="218"/>
      <c r="S87" s="218"/>
      <c r="T87" s="218"/>
    </row>
    <row r="88" spans="1:20">
      <c r="A88" s="219">
        <v>86</v>
      </c>
      <c r="B88" s="219">
        <v>5603</v>
      </c>
      <c r="C88" s="218" t="s">
        <v>407</v>
      </c>
      <c r="D88" s="219">
        <v>0</v>
      </c>
      <c r="E88" s="219">
        <v>0</v>
      </c>
      <c r="F88" s="219">
        <v>0</v>
      </c>
      <c r="G88" s="218"/>
      <c r="H88" s="220">
        <v>0</v>
      </c>
      <c r="I88" s="281" t="str">
        <f>IF(ISERROR(VLOOKUP(C88,'26년 5월경비'!$D:$D,1,FALSE)),"X","○")</f>
        <v>X</v>
      </c>
      <c r="J88" s="228">
        <v>0</v>
      </c>
      <c r="K88" s="222">
        <v>0</v>
      </c>
      <c r="L88" s="218"/>
      <c r="M88" s="219">
        <v>0</v>
      </c>
      <c r="N88" s="222">
        <v>0</v>
      </c>
      <c r="O88" s="218"/>
      <c r="P88" s="219">
        <v>0</v>
      </c>
      <c r="Q88" s="220">
        <v>0</v>
      </c>
      <c r="R88" s="218"/>
      <c r="S88" s="218"/>
      <c r="T88" s="218"/>
    </row>
    <row r="89" spans="1:20">
      <c r="A89" s="219">
        <v>87</v>
      </c>
      <c r="B89" s="219">
        <v>5604</v>
      </c>
      <c r="C89" s="218" t="s">
        <v>390</v>
      </c>
      <c r="D89" s="219">
        <v>0</v>
      </c>
      <c r="E89" s="219">
        <v>0</v>
      </c>
      <c r="F89" s="219">
        <v>0</v>
      </c>
      <c r="G89" s="218"/>
      <c r="H89" s="220">
        <v>0</v>
      </c>
      <c r="I89" s="281" t="str">
        <f>IF(ISERROR(VLOOKUP(C89,'26년 5월경비'!$D:$D,1,FALSE)),"X","○")</f>
        <v>X</v>
      </c>
      <c r="J89" s="228">
        <v>0</v>
      </c>
      <c r="K89" s="222">
        <v>0</v>
      </c>
      <c r="L89" s="218"/>
      <c r="M89" s="219">
        <v>0</v>
      </c>
      <c r="N89" s="222">
        <v>0</v>
      </c>
      <c r="O89" s="218"/>
      <c r="P89" s="220">
        <v>0</v>
      </c>
      <c r="Q89" s="220">
        <v>10992710</v>
      </c>
      <c r="R89" s="218"/>
      <c r="S89" s="218"/>
      <c r="T89" s="218"/>
    </row>
    <row r="90" spans="1:20">
      <c r="A90">
        <v>88</v>
      </c>
      <c r="B90">
        <v>143</v>
      </c>
      <c r="C90" t="s">
        <v>415</v>
      </c>
      <c r="D90" s="263">
        <v>0</v>
      </c>
      <c r="E90" s="263">
        <v>0</v>
      </c>
      <c r="F90" s="263">
        <v>0</v>
      </c>
      <c r="H90" s="220">
        <v>-580500</v>
      </c>
      <c r="I90" s="281" t="str">
        <f>IF(ISERROR(VLOOKUP(C90,'26년 5월경비'!$D:$D,1,FALSE)),"X","○")</f>
        <v>X</v>
      </c>
      <c r="J90" s="226">
        <v>-580500</v>
      </c>
      <c r="K90" s="264">
        <v>0</v>
      </c>
      <c r="M90" s="263">
        <v>22855800</v>
      </c>
      <c r="N90" s="264">
        <v>0</v>
      </c>
      <c r="P90" s="263">
        <v>0</v>
      </c>
      <c r="Q90" s="263">
        <v>0</v>
      </c>
    </row>
    <row r="91" spans="1:20">
      <c r="A91" t="s">
        <v>380</v>
      </c>
      <c r="D91" s="263">
        <v>194782440</v>
      </c>
      <c r="E91" s="263">
        <v>194408620</v>
      </c>
      <c r="F91" s="263">
        <v>373820</v>
      </c>
      <c r="H91" s="263">
        <v>4160583510</v>
      </c>
      <c r="J91" s="226">
        <v>4160583510</v>
      </c>
      <c r="M91" s="263">
        <v>16326702590</v>
      </c>
      <c r="P91" s="263">
        <v>3750832513</v>
      </c>
      <c r="Q91" s="263">
        <v>39782628421</v>
      </c>
    </row>
    <row r="94" spans="1:20">
      <c r="H94" s="198">
        <f>SUMIF($I$3:$I$90,"○",$H$3:$H$90)</f>
        <v>4057389810</v>
      </c>
    </row>
    <row r="95" spans="1:20">
      <c r="H95" s="198">
        <f>H94-'26년 5월경비'!E79</f>
        <v>0</v>
      </c>
    </row>
  </sheetData>
  <autoFilter ref="A2:T89"/>
  <phoneticPr fontId="3" type="noConversion"/>
  <conditionalFormatting sqref="B79:B1048576 B1:B2">
    <cfRule type="duplicateValues" dxfId="0" priority="8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>
      <pane ySplit="6" topLeftCell="A7" activePane="bottomLeft" state="frozen"/>
      <selection pane="bottomLeft" activeCell="D52" sqref="D52"/>
    </sheetView>
  </sheetViews>
  <sheetFormatPr defaultRowHeight="16.5"/>
  <cols>
    <col min="1" max="1" width="4" style="229" bestFit="1" customWidth="1"/>
    <col min="2" max="2" width="11" style="230" bestFit="1" customWidth="1"/>
    <col min="3" max="3" width="21.625" style="230" bestFit="1" customWidth="1"/>
    <col min="4" max="4" width="10.75" style="230" bestFit="1" customWidth="1"/>
    <col min="5" max="5" width="13.25" style="230" customWidth="1"/>
    <col min="6" max="6" width="16.125" style="238" bestFit="1" customWidth="1"/>
    <col min="7" max="7" width="6.5" style="238" bestFit="1" customWidth="1"/>
    <col min="8" max="8" width="16.75" style="238" bestFit="1" customWidth="1"/>
    <col min="9" max="9" width="5.5" style="238" bestFit="1" customWidth="1"/>
    <col min="10" max="10" width="9.25" style="238" bestFit="1" customWidth="1"/>
    <col min="11" max="11" width="5.5" style="238" bestFit="1" customWidth="1"/>
    <col min="12" max="12" width="16.125" style="238" bestFit="1" customWidth="1"/>
    <col min="13" max="13" width="9" style="230"/>
    <col min="14" max="14" width="33.125" style="230" bestFit="1" customWidth="1"/>
  </cols>
  <sheetData>
    <row r="1" spans="1:14">
      <c r="C1" s="231">
        <v>1</v>
      </c>
      <c r="D1" s="231">
        <v>2</v>
      </c>
      <c r="E1" s="231">
        <v>3</v>
      </c>
      <c r="F1" s="232">
        <v>4</v>
      </c>
      <c r="G1" s="232">
        <v>5</v>
      </c>
      <c r="H1" s="232">
        <v>6</v>
      </c>
      <c r="I1" s="232">
        <v>7</v>
      </c>
      <c r="J1" s="232">
        <v>8</v>
      </c>
      <c r="K1" s="232">
        <v>9</v>
      </c>
      <c r="L1" s="232">
        <v>10</v>
      </c>
    </row>
    <row r="2" spans="1:14">
      <c r="C2" s="231"/>
      <c r="D2" s="231"/>
      <c r="E2" s="231"/>
      <c r="F2" s="233" t="s">
        <v>419</v>
      </c>
      <c r="G2" s="232"/>
      <c r="H2" s="232"/>
      <c r="I2" s="232"/>
      <c r="J2" s="232"/>
      <c r="K2" s="232"/>
      <c r="L2" s="232"/>
    </row>
    <row r="3" spans="1:14">
      <c r="A3" s="229">
        <f>COUNTIF($D$7:$D$68,B3)</f>
        <v>41</v>
      </c>
      <c r="B3" s="234" t="s">
        <v>414</v>
      </c>
      <c r="C3" s="235" t="s">
        <v>420</v>
      </c>
      <c r="D3" s="231"/>
      <c r="E3" s="231"/>
      <c r="F3" s="232"/>
      <c r="G3" s="232"/>
      <c r="H3" s="232"/>
      <c r="I3" s="232"/>
      <c r="J3" s="232"/>
      <c r="K3" s="232"/>
      <c r="L3" s="236" t="s">
        <v>400</v>
      </c>
    </row>
    <row r="4" spans="1:14">
      <c r="A4" s="229">
        <f>COUNTIF($D$7:$D$68,B4)</f>
        <v>21</v>
      </c>
      <c r="B4" s="237" t="s">
        <v>397</v>
      </c>
      <c r="C4" s="235" t="s">
        <v>398</v>
      </c>
      <c r="L4" s="239">
        <f>COUNTIFS($D$7:$D$68,"본사지급",$L$7:$L$68,0)+COUNTIFS($D$7:$D$68,"본사지급",$L$7:$L$68,"")</f>
        <v>0</v>
      </c>
      <c r="N4" s="238"/>
    </row>
    <row r="5" spans="1:14">
      <c r="E5" s="240" t="s">
        <v>421</v>
      </c>
      <c r="F5" s="238">
        <f>SUM(F7:F68)</f>
        <v>6214785</v>
      </c>
      <c r="G5" s="238">
        <f t="shared" ref="G5:L5" si="0">SUM(G7:G68)</f>
        <v>1332</v>
      </c>
      <c r="H5" s="238">
        <f t="shared" si="0"/>
        <v>2454345</v>
      </c>
      <c r="I5" s="238">
        <f t="shared" si="0"/>
        <v>591</v>
      </c>
      <c r="J5" s="238">
        <f t="shared" si="0"/>
        <v>442100</v>
      </c>
      <c r="K5" s="238">
        <f t="shared" si="0"/>
        <v>23</v>
      </c>
      <c r="L5" s="238">
        <f t="shared" si="0"/>
        <v>9111230</v>
      </c>
    </row>
    <row r="6" spans="1:14">
      <c r="B6" s="241" t="s">
        <v>408</v>
      </c>
      <c r="C6" s="241" t="s">
        <v>409</v>
      </c>
      <c r="D6" s="241" t="s">
        <v>410</v>
      </c>
      <c r="E6" s="241" t="s">
        <v>411</v>
      </c>
      <c r="F6" s="242" t="s">
        <v>177</v>
      </c>
      <c r="G6" s="242" t="s">
        <v>178</v>
      </c>
      <c r="H6" s="242" t="s">
        <v>179</v>
      </c>
      <c r="I6" s="242" t="s">
        <v>178</v>
      </c>
      <c r="J6" s="242" t="s">
        <v>180</v>
      </c>
      <c r="K6" s="242" t="s">
        <v>178</v>
      </c>
      <c r="L6" s="243" t="s">
        <v>140</v>
      </c>
      <c r="M6" s="261" t="s">
        <v>412</v>
      </c>
      <c r="N6" s="261" t="s">
        <v>413</v>
      </c>
    </row>
    <row r="7" spans="1:14">
      <c r="A7" s="229">
        <v>1</v>
      </c>
      <c r="B7" s="244" t="s">
        <v>401</v>
      </c>
      <c r="C7" s="245" t="s">
        <v>14</v>
      </c>
      <c r="D7" s="246" t="s">
        <v>414</v>
      </c>
      <c r="E7" s="247" t="s">
        <v>399</v>
      </c>
      <c r="F7" s="248">
        <v>145000</v>
      </c>
      <c r="G7" s="248">
        <v>29</v>
      </c>
      <c r="H7" s="248">
        <v>73500</v>
      </c>
      <c r="I7" s="248">
        <v>17</v>
      </c>
      <c r="J7" s="248"/>
      <c r="K7" s="248"/>
      <c r="L7" s="249">
        <f>H7+F7+J7</f>
        <v>218500</v>
      </c>
    </row>
    <row r="8" spans="1:14">
      <c r="A8" s="229">
        <v>2</v>
      </c>
      <c r="B8" s="244" t="s">
        <v>402</v>
      </c>
      <c r="C8" s="245" t="s">
        <v>383</v>
      </c>
      <c r="D8" s="246" t="s">
        <v>414</v>
      </c>
      <c r="E8" s="247" t="s">
        <v>399</v>
      </c>
      <c r="F8" s="248">
        <v>374900</v>
      </c>
      <c r="G8" s="248">
        <v>92</v>
      </c>
      <c r="H8" s="248">
        <v>54100</v>
      </c>
      <c r="I8" s="248">
        <v>14</v>
      </c>
      <c r="J8" s="248"/>
      <c r="K8" s="248"/>
      <c r="L8" s="249">
        <f t="shared" ref="L8:L68" si="1">H8+F8+J8</f>
        <v>429000</v>
      </c>
    </row>
    <row r="9" spans="1:14">
      <c r="A9" s="229">
        <v>3</v>
      </c>
      <c r="B9" s="244" t="s">
        <v>402</v>
      </c>
      <c r="C9" s="245" t="s">
        <v>63</v>
      </c>
      <c r="D9" s="254" t="s">
        <v>414</v>
      </c>
      <c r="E9" s="247" t="s">
        <v>399</v>
      </c>
      <c r="F9" s="248">
        <v>165450</v>
      </c>
      <c r="G9" s="248">
        <v>42</v>
      </c>
      <c r="H9" s="248">
        <v>32500</v>
      </c>
      <c r="I9" s="248">
        <v>8</v>
      </c>
      <c r="J9" s="248"/>
      <c r="K9" s="248"/>
      <c r="L9" s="249">
        <f t="shared" si="1"/>
        <v>197950</v>
      </c>
    </row>
    <row r="10" spans="1:14">
      <c r="A10" s="229">
        <v>4</v>
      </c>
      <c r="B10" s="244" t="s">
        <v>403</v>
      </c>
      <c r="C10" s="250" t="s">
        <v>104</v>
      </c>
      <c r="D10" s="251" t="s">
        <v>397</v>
      </c>
      <c r="E10" s="252" t="s">
        <v>398</v>
      </c>
      <c r="F10" s="253"/>
      <c r="G10" s="253"/>
      <c r="H10" s="253"/>
      <c r="I10" s="253"/>
      <c r="J10" s="253"/>
      <c r="K10" s="253"/>
      <c r="L10" s="249">
        <f t="shared" si="1"/>
        <v>0</v>
      </c>
    </row>
    <row r="11" spans="1:14">
      <c r="A11" s="229">
        <v>5</v>
      </c>
      <c r="B11" s="244" t="s">
        <v>404</v>
      </c>
      <c r="C11" s="245" t="s">
        <v>136</v>
      </c>
      <c r="D11" s="246" t="s">
        <v>414</v>
      </c>
      <c r="E11" s="247" t="s">
        <v>399</v>
      </c>
      <c r="F11" s="248"/>
      <c r="G11" s="248"/>
      <c r="H11" s="248">
        <v>12500</v>
      </c>
      <c r="I11" s="248">
        <v>3</v>
      </c>
      <c r="J11" s="248"/>
      <c r="K11" s="248"/>
      <c r="L11" s="249">
        <f t="shared" si="1"/>
        <v>12500</v>
      </c>
    </row>
    <row r="12" spans="1:14">
      <c r="A12" s="229">
        <v>6</v>
      </c>
      <c r="B12" s="244" t="s">
        <v>402</v>
      </c>
      <c r="C12" s="245" t="s">
        <v>35</v>
      </c>
      <c r="D12" s="246" t="s">
        <v>414</v>
      </c>
      <c r="E12" s="247" t="s">
        <v>399</v>
      </c>
      <c r="F12" s="248">
        <v>200000</v>
      </c>
      <c r="G12" s="248">
        <v>40</v>
      </c>
      <c r="H12" s="248">
        <v>25500</v>
      </c>
      <c r="I12" s="248">
        <v>6</v>
      </c>
      <c r="J12" s="248"/>
      <c r="K12" s="248"/>
      <c r="L12" s="249">
        <f t="shared" si="1"/>
        <v>225500</v>
      </c>
    </row>
    <row r="13" spans="1:14">
      <c r="A13" s="229">
        <v>7</v>
      </c>
      <c r="B13" s="244" t="s">
        <v>403</v>
      </c>
      <c r="C13" s="245" t="s">
        <v>170</v>
      </c>
      <c r="D13" s="246" t="s">
        <v>414</v>
      </c>
      <c r="E13" s="247" t="s">
        <v>399</v>
      </c>
      <c r="F13" s="248">
        <v>154495</v>
      </c>
      <c r="G13" s="248">
        <v>35</v>
      </c>
      <c r="H13" s="248">
        <v>68495</v>
      </c>
      <c r="I13" s="248">
        <v>16</v>
      </c>
      <c r="J13" s="248"/>
      <c r="K13" s="248"/>
      <c r="L13" s="249">
        <f t="shared" si="1"/>
        <v>222990</v>
      </c>
    </row>
    <row r="14" spans="1:14">
      <c r="A14" s="229">
        <v>8</v>
      </c>
      <c r="B14" s="244" t="s">
        <v>401</v>
      </c>
      <c r="C14" s="245" t="s">
        <v>91</v>
      </c>
      <c r="D14" s="246" t="s">
        <v>414</v>
      </c>
      <c r="E14" s="247" t="s">
        <v>399</v>
      </c>
      <c r="F14" s="248">
        <v>46000</v>
      </c>
      <c r="G14" s="248">
        <v>8</v>
      </c>
      <c r="H14" s="248">
        <v>60500</v>
      </c>
      <c r="I14" s="248">
        <v>15</v>
      </c>
      <c r="J14" s="248">
        <v>22000</v>
      </c>
      <c r="K14" s="248">
        <v>1</v>
      </c>
      <c r="L14" s="249">
        <f t="shared" si="1"/>
        <v>128500</v>
      </c>
    </row>
    <row r="15" spans="1:14">
      <c r="A15" s="229">
        <v>9</v>
      </c>
      <c r="B15" s="244" t="s">
        <v>401</v>
      </c>
      <c r="C15" s="245" t="s">
        <v>94</v>
      </c>
      <c r="D15" s="246" t="s">
        <v>414</v>
      </c>
      <c r="E15" s="247" t="s">
        <v>399</v>
      </c>
      <c r="F15" s="248">
        <v>21000</v>
      </c>
      <c r="G15" s="248">
        <v>2</v>
      </c>
      <c r="H15" s="248">
        <v>38500</v>
      </c>
      <c r="I15" s="248">
        <v>10</v>
      </c>
      <c r="J15" s="248">
        <v>6500</v>
      </c>
      <c r="K15" s="248">
        <v>2</v>
      </c>
      <c r="L15" s="249">
        <f t="shared" si="1"/>
        <v>66000</v>
      </c>
    </row>
    <row r="16" spans="1:14">
      <c r="A16" s="229">
        <v>10</v>
      </c>
      <c r="B16" s="244" t="s">
        <v>405</v>
      </c>
      <c r="C16" s="245" t="s">
        <v>81</v>
      </c>
      <c r="D16" s="254" t="s">
        <v>414</v>
      </c>
      <c r="E16" s="247" t="s">
        <v>399</v>
      </c>
      <c r="F16" s="248">
        <v>87000</v>
      </c>
      <c r="G16" s="248">
        <v>22</v>
      </c>
      <c r="H16" s="248">
        <v>42000</v>
      </c>
      <c r="I16" s="248">
        <v>11</v>
      </c>
      <c r="J16" s="248">
        <v>15900</v>
      </c>
      <c r="K16" s="248">
        <v>1</v>
      </c>
      <c r="L16" s="249">
        <f t="shared" si="1"/>
        <v>144900</v>
      </c>
    </row>
    <row r="17" spans="1:13">
      <c r="A17" s="229">
        <v>11</v>
      </c>
      <c r="B17" s="244" t="s">
        <v>403</v>
      </c>
      <c r="C17" s="250" t="s">
        <v>65</v>
      </c>
      <c r="D17" s="251" t="s">
        <v>397</v>
      </c>
      <c r="E17" s="252" t="s">
        <v>398</v>
      </c>
      <c r="F17" s="253"/>
      <c r="G17" s="253"/>
      <c r="H17" s="253"/>
      <c r="I17" s="253"/>
      <c r="J17" s="253"/>
      <c r="K17" s="253"/>
      <c r="L17" s="249">
        <f t="shared" si="1"/>
        <v>0</v>
      </c>
    </row>
    <row r="18" spans="1:13">
      <c r="A18" s="229">
        <v>12</v>
      </c>
      <c r="B18" s="244" t="s">
        <v>403</v>
      </c>
      <c r="C18" s="245" t="s">
        <v>27</v>
      </c>
      <c r="D18" s="254" t="s">
        <v>414</v>
      </c>
      <c r="E18" s="247" t="s">
        <v>399</v>
      </c>
      <c r="F18" s="248">
        <v>49000</v>
      </c>
      <c r="G18" s="248">
        <v>13</v>
      </c>
      <c r="H18" s="248">
        <v>91500</v>
      </c>
      <c r="I18" s="248">
        <v>22</v>
      </c>
      <c r="J18" s="248"/>
      <c r="K18" s="248"/>
      <c r="L18" s="249">
        <f t="shared" si="1"/>
        <v>140500</v>
      </c>
    </row>
    <row r="19" spans="1:13">
      <c r="A19" s="229">
        <v>13</v>
      </c>
      <c r="B19" s="244" t="s">
        <v>405</v>
      </c>
      <c r="C19" s="250" t="s">
        <v>82</v>
      </c>
      <c r="D19" s="251" t="s">
        <v>397</v>
      </c>
      <c r="E19" s="252" t="s">
        <v>398</v>
      </c>
      <c r="F19" s="253"/>
      <c r="G19" s="253"/>
      <c r="H19" s="253"/>
      <c r="I19" s="253"/>
      <c r="J19" s="253"/>
      <c r="K19" s="253"/>
      <c r="L19" s="249">
        <f t="shared" si="1"/>
        <v>0</v>
      </c>
    </row>
    <row r="20" spans="1:13">
      <c r="A20" s="229">
        <v>14</v>
      </c>
      <c r="B20" s="244" t="s">
        <v>405</v>
      </c>
      <c r="C20" s="245" t="s">
        <v>29</v>
      </c>
      <c r="D20" s="254" t="s">
        <v>414</v>
      </c>
      <c r="E20" s="247" t="s">
        <v>398</v>
      </c>
      <c r="F20" s="248">
        <v>134500</v>
      </c>
      <c r="G20" s="248">
        <v>18</v>
      </c>
      <c r="H20" s="248">
        <v>85500</v>
      </c>
      <c r="I20" s="248">
        <v>21</v>
      </c>
      <c r="J20" s="258"/>
      <c r="K20" s="248"/>
      <c r="L20" s="249">
        <f t="shared" si="1"/>
        <v>220000</v>
      </c>
    </row>
    <row r="21" spans="1:13">
      <c r="A21" s="229">
        <v>15</v>
      </c>
      <c r="B21" s="244" t="s">
        <v>405</v>
      </c>
      <c r="C21" s="245" t="s">
        <v>92</v>
      </c>
      <c r="D21" s="254" t="s">
        <v>397</v>
      </c>
      <c r="E21" s="247" t="s">
        <v>398</v>
      </c>
      <c r="F21" s="248"/>
      <c r="G21" s="248"/>
      <c r="H21" s="248"/>
      <c r="I21" s="248"/>
      <c r="J21" s="248"/>
      <c r="K21" s="248"/>
      <c r="L21" s="249">
        <f t="shared" si="1"/>
        <v>0</v>
      </c>
    </row>
    <row r="22" spans="1:13">
      <c r="A22" s="229">
        <v>16</v>
      </c>
      <c r="B22" s="244" t="s">
        <v>403</v>
      </c>
      <c r="C22" s="245" t="s">
        <v>135</v>
      </c>
      <c r="D22" s="254" t="s">
        <v>414</v>
      </c>
      <c r="E22" s="247" t="s">
        <v>399</v>
      </c>
      <c r="F22" s="259">
        <v>137500</v>
      </c>
      <c r="G22" s="260"/>
      <c r="H22" s="248">
        <v>53500</v>
      </c>
      <c r="I22" s="248">
        <v>12</v>
      </c>
      <c r="J22" s="248">
        <v>5000</v>
      </c>
      <c r="K22" s="248">
        <v>1</v>
      </c>
      <c r="L22" s="249">
        <f t="shared" si="1"/>
        <v>196000</v>
      </c>
    </row>
    <row r="23" spans="1:13">
      <c r="A23" s="229">
        <v>17</v>
      </c>
      <c r="B23" s="244" t="s">
        <v>403</v>
      </c>
      <c r="C23" s="245" t="s">
        <v>95</v>
      </c>
      <c r="D23" s="254" t="s">
        <v>414</v>
      </c>
      <c r="E23" s="247" t="s">
        <v>399</v>
      </c>
      <c r="F23" s="248">
        <v>9500</v>
      </c>
      <c r="G23" s="248">
        <v>2</v>
      </c>
      <c r="H23" s="248">
        <v>98000</v>
      </c>
      <c r="I23" s="248">
        <v>20</v>
      </c>
      <c r="J23" s="248">
        <v>3500</v>
      </c>
      <c r="K23" s="248">
        <v>1</v>
      </c>
      <c r="L23" s="249">
        <f t="shared" si="1"/>
        <v>111000</v>
      </c>
    </row>
    <row r="24" spans="1:13">
      <c r="A24" s="229">
        <v>18</v>
      </c>
      <c r="B24" s="244" t="s">
        <v>405</v>
      </c>
      <c r="C24" s="245" t="s">
        <v>76</v>
      </c>
      <c r="D24" s="254" t="s">
        <v>414</v>
      </c>
      <c r="E24" s="247" t="s">
        <v>399</v>
      </c>
      <c r="F24" s="248">
        <v>117000</v>
      </c>
      <c r="G24" s="248">
        <v>29</v>
      </c>
      <c r="H24" s="248">
        <v>108400</v>
      </c>
      <c r="I24" s="248">
        <v>27</v>
      </c>
      <c r="J24" s="248">
        <v>22000</v>
      </c>
      <c r="K24" s="248">
        <v>3</v>
      </c>
      <c r="L24" s="249">
        <f t="shared" si="1"/>
        <v>247400</v>
      </c>
    </row>
    <row r="25" spans="1:13">
      <c r="A25" s="229">
        <v>19</v>
      </c>
      <c r="B25" s="244" t="s">
        <v>405</v>
      </c>
      <c r="C25" s="245" t="s">
        <v>97</v>
      </c>
      <c r="D25" s="254" t="s">
        <v>414</v>
      </c>
      <c r="E25" s="247" t="s">
        <v>399</v>
      </c>
      <c r="F25" s="248">
        <v>70000</v>
      </c>
      <c r="G25" s="248">
        <v>15</v>
      </c>
      <c r="H25" s="248">
        <v>35500</v>
      </c>
      <c r="I25" s="248">
        <v>9</v>
      </c>
      <c r="J25" s="248"/>
      <c r="K25" s="248"/>
      <c r="L25" s="249">
        <f t="shared" si="1"/>
        <v>105500</v>
      </c>
      <c r="M25" s="262"/>
    </row>
    <row r="26" spans="1:13">
      <c r="A26" s="229">
        <v>20</v>
      </c>
      <c r="B26" s="244" t="s">
        <v>402</v>
      </c>
      <c r="C26" s="245" t="s">
        <v>30</v>
      </c>
      <c r="D26" s="254" t="s">
        <v>414</v>
      </c>
      <c r="E26" s="247" t="s">
        <v>399</v>
      </c>
      <c r="F26" s="248">
        <v>78000</v>
      </c>
      <c r="G26" s="248">
        <v>20</v>
      </c>
      <c r="H26" s="248">
        <v>57000</v>
      </c>
      <c r="I26" s="248">
        <v>14</v>
      </c>
      <c r="J26" s="248"/>
      <c r="K26" s="248"/>
      <c r="L26" s="249">
        <f t="shared" si="1"/>
        <v>135000</v>
      </c>
    </row>
    <row r="27" spans="1:13">
      <c r="A27" s="229">
        <v>21</v>
      </c>
      <c r="B27" s="244" t="s">
        <v>401</v>
      </c>
      <c r="C27" s="245" t="s">
        <v>37</v>
      </c>
      <c r="D27" s="254" t="s">
        <v>414</v>
      </c>
      <c r="E27" s="247" t="s">
        <v>399</v>
      </c>
      <c r="F27" s="248">
        <v>121100</v>
      </c>
      <c r="G27" s="248">
        <v>30</v>
      </c>
      <c r="H27" s="248">
        <v>49000</v>
      </c>
      <c r="I27" s="248">
        <v>13</v>
      </c>
      <c r="J27" s="248"/>
      <c r="K27" s="248"/>
      <c r="L27" s="249">
        <f t="shared" si="1"/>
        <v>170100</v>
      </c>
    </row>
    <row r="28" spans="1:13">
      <c r="A28" s="229">
        <v>22</v>
      </c>
      <c r="B28" s="244" t="s">
        <v>403</v>
      </c>
      <c r="C28" s="245" t="s">
        <v>84</v>
      </c>
      <c r="D28" s="254" t="s">
        <v>414</v>
      </c>
      <c r="E28" s="247" t="s">
        <v>399</v>
      </c>
      <c r="F28" s="248">
        <v>195000</v>
      </c>
      <c r="G28" s="248">
        <v>35</v>
      </c>
      <c r="H28" s="248">
        <v>54000</v>
      </c>
      <c r="I28" s="248">
        <v>13</v>
      </c>
      <c r="J28" s="248"/>
      <c r="K28" s="248"/>
      <c r="L28" s="249">
        <f t="shared" si="1"/>
        <v>249000</v>
      </c>
    </row>
    <row r="29" spans="1:13">
      <c r="A29" s="229">
        <v>23</v>
      </c>
      <c r="B29" s="244" t="s">
        <v>402</v>
      </c>
      <c r="C29" s="245" t="s">
        <v>75</v>
      </c>
      <c r="D29" s="254" t="s">
        <v>414</v>
      </c>
      <c r="E29" s="247" t="s">
        <v>399</v>
      </c>
      <c r="F29" s="248">
        <v>121500</v>
      </c>
      <c r="G29" s="248">
        <v>29</v>
      </c>
      <c r="H29" s="248">
        <v>37500</v>
      </c>
      <c r="I29" s="248">
        <v>9</v>
      </c>
      <c r="J29" s="248">
        <v>3500</v>
      </c>
      <c r="K29" s="248">
        <v>1</v>
      </c>
      <c r="L29" s="249">
        <f t="shared" si="1"/>
        <v>162500</v>
      </c>
    </row>
    <row r="30" spans="1:13">
      <c r="A30" s="229">
        <v>24</v>
      </c>
      <c r="B30" s="244" t="s">
        <v>402</v>
      </c>
      <c r="C30" s="245" t="s">
        <v>38</v>
      </c>
      <c r="D30" s="254" t="s">
        <v>414</v>
      </c>
      <c r="E30" s="247" t="s">
        <v>399</v>
      </c>
      <c r="F30" s="248">
        <v>71400</v>
      </c>
      <c r="G30" s="248">
        <v>19</v>
      </c>
      <c r="H30" s="248">
        <v>32600</v>
      </c>
      <c r="I30" s="248">
        <v>7</v>
      </c>
      <c r="J30" s="248"/>
      <c r="K30" s="248"/>
      <c r="L30" s="249">
        <f t="shared" si="1"/>
        <v>104000</v>
      </c>
      <c r="M30" s="262"/>
    </row>
    <row r="31" spans="1:13">
      <c r="A31" s="229">
        <v>25</v>
      </c>
      <c r="B31" s="244" t="s">
        <v>404</v>
      </c>
      <c r="C31" s="245" t="s">
        <v>64</v>
      </c>
      <c r="D31" s="254" t="s">
        <v>397</v>
      </c>
      <c r="E31" s="247" t="s">
        <v>398</v>
      </c>
      <c r="F31" s="248"/>
      <c r="G31" s="248"/>
      <c r="H31" s="248"/>
      <c r="I31" s="248"/>
      <c r="J31" s="248"/>
      <c r="K31" s="248"/>
      <c r="L31" s="249">
        <f t="shared" si="1"/>
        <v>0</v>
      </c>
    </row>
    <row r="32" spans="1:13">
      <c r="A32" s="229">
        <v>26</v>
      </c>
      <c r="B32" s="244" t="s">
        <v>405</v>
      </c>
      <c r="C32" s="250" t="s">
        <v>105</v>
      </c>
      <c r="D32" s="251" t="s">
        <v>414</v>
      </c>
      <c r="E32" s="252" t="s">
        <v>399</v>
      </c>
      <c r="F32" s="253">
        <v>472000</v>
      </c>
      <c r="G32" s="253">
        <v>91</v>
      </c>
      <c r="H32" s="253">
        <v>46000</v>
      </c>
      <c r="I32" s="253">
        <v>12</v>
      </c>
      <c r="J32" s="253">
        <v>24000</v>
      </c>
      <c r="K32" s="253">
        <v>1</v>
      </c>
      <c r="L32" s="249">
        <f t="shared" si="1"/>
        <v>542000</v>
      </c>
    </row>
    <row r="33" spans="1:12">
      <c r="A33" s="229">
        <v>27</v>
      </c>
      <c r="B33" s="244" t="s">
        <v>403</v>
      </c>
      <c r="C33" s="245" t="s">
        <v>86</v>
      </c>
      <c r="D33" s="254" t="s">
        <v>397</v>
      </c>
      <c r="E33" s="247" t="s">
        <v>398</v>
      </c>
      <c r="F33" s="248"/>
      <c r="G33" s="248"/>
      <c r="H33" s="248"/>
      <c r="I33" s="248"/>
      <c r="J33" s="248"/>
      <c r="K33" s="248"/>
      <c r="L33" s="249">
        <f t="shared" si="1"/>
        <v>0</v>
      </c>
    </row>
    <row r="34" spans="1:12">
      <c r="A34" s="229">
        <v>28</v>
      </c>
      <c r="B34" s="244" t="s">
        <v>402</v>
      </c>
      <c r="C34" s="250" t="s">
        <v>88</v>
      </c>
      <c r="D34" s="251" t="s">
        <v>414</v>
      </c>
      <c r="E34" s="252" t="s">
        <v>399</v>
      </c>
      <c r="F34" s="253">
        <v>62000</v>
      </c>
      <c r="G34" s="253">
        <v>15</v>
      </c>
      <c r="H34" s="253">
        <v>90950</v>
      </c>
      <c r="I34" s="253">
        <v>22</v>
      </c>
      <c r="J34" s="253"/>
      <c r="K34" s="253"/>
      <c r="L34" s="249">
        <f t="shared" si="1"/>
        <v>152950</v>
      </c>
    </row>
    <row r="35" spans="1:12">
      <c r="A35" s="229">
        <v>29</v>
      </c>
      <c r="B35" s="244" t="s">
        <v>405</v>
      </c>
      <c r="C35" s="245" t="s">
        <v>83</v>
      </c>
      <c r="D35" s="254" t="s">
        <v>397</v>
      </c>
      <c r="E35" s="247" t="s">
        <v>398</v>
      </c>
      <c r="F35" s="248"/>
      <c r="G35" s="248"/>
      <c r="H35" s="248"/>
      <c r="I35" s="248"/>
      <c r="J35" s="248"/>
      <c r="K35" s="248"/>
      <c r="L35" s="249">
        <f t="shared" si="1"/>
        <v>0</v>
      </c>
    </row>
    <row r="36" spans="1:12">
      <c r="A36" s="229">
        <v>30</v>
      </c>
      <c r="B36" s="244" t="s">
        <v>401</v>
      </c>
      <c r="C36" s="255" t="s">
        <v>130</v>
      </c>
      <c r="D36" s="256" t="s">
        <v>397</v>
      </c>
      <c r="E36" s="252" t="s">
        <v>398</v>
      </c>
      <c r="F36" s="257"/>
      <c r="G36" s="257"/>
      <c r="H36" s="257"/>
      <c r="I36" s="257"/>
      <c r="J36" s="257"/>
      <c r="K36" s="257"/>
      <c r="L36" s="249">
        <f t="shared" si="1"/>
        <v>0</v>
      </c>
    </row>
    <row r="37" spans="1:12">
      <c r="A37" s="229">
        <v>31</v>
      </c>
      <c r="B37" s="244" t="s">
        <v>405</v>
      </c>
      <c r="C37" s="245" t="s">
        <v>32</v>
      </c>
      <c r="D37" s="254" t="s">
        <v>414</v>
      </c>
      <c r="E37" s="247" t="s">
        <v>399</v>
      </c>
      <c r="F37" s="248">
        <v>66700</v>
      </c>
      <c r="G37" s="248">
        <v>15</v>
      </c>
      <c r="H37" s="248">
        <v>60500</v>
      </c>
      <c r="I37" s="248">
        <v>15</v>
      </c>
      <c r="J37" s="248">
        <v>4000</v>
      </c>
      <c r="K37" s="248">
        <v>1</v>
      </c>
      <c r="L37" s="249">
        <f t="shared" si="1"/>
        <v>131200</v>
      </c>
    </row>
    <row r="38" spans="1:12">
      <c r="A38" s="229">
        <v>32</v>
      </c>
      <c r="B38" s="244" t="s">
        <v>422</v>
      </c>
      <c r="C38" s="245" t="s">
        <v>70</v>
      </c>
      <c r="D38" s="254" t="s">
        <v>414</v>
      </c>
      <c r="E38" s="247" t="s">
        <v>399</v>
      </c>
      <c r="F38" s="248">
        <v>231600</v>
      </c>
      <c r="G38" s="248">
        <v>47</v>
      </c>
      <c r="H38" s="248">
        <v>56000</v>
      </c>
      <c r="I38" s="248">
        <v>14</v>
      </c>
      <c r="J38" s="248"/>
      <c r="K38" s="248"/>
      <c r="L38" s="249">
        <f t="shared" si="1"/>
        <v>287600</v>
      </c>
    </row>
    <row r="39" spans="1:12">
      <c r="A39" s="229">
        <v>33</v>
      </c>
      <c r="B39" s="244" t="s">
        <v>423</v>
      </c>
      <c r="C39" s="245" t="s">
        <v>89</v>
      </c>
      <c r="D39" s="246" t="s">
        <v>414</v>
      </c>
      <c r="E39" s="247" t="s">
        <v>399</v>
      </c>
      <c r="F39" s="248">
        <v>49400</v>
      </c>
      <c r="G39" s="248">
        <v>13</v>
      </c>
      <c r="H39" s="248">
        <v>30500</v>
      </c>
      <c r="I39" s="248">
        <v>8</v>
      </c>
      <c r="J39" s="248"/>
      <c r="K39" s="248"/>
      <c r="L39" s="249">
        <f t="shared" si="1"/>
        <v>79900</v>
      </c>
    </row>
    <row r="40" spans="1:12">
      <c r="A40" s="229">
        <v>34</v>
      </c>
      <c r="B40" s="244" t="s">
        <v>401</v>
      </c>
      <c r="C40" s="245" t="s">
        <v>31</v>
      </c>
      <c r="D40" s="254" t="s">
        <v>414</v>
      </c>
      <c r="E40" s="247" t="s">
        <v>398</v>
      </c>
      <c r="F40" s="248">
        <v>125500</v>
      </c>
      <c r="G40" s="248">
        <v>30</v>
      </c>
      <c r="H40" s="248">
        <v>23500</v>
      </c>
      <c r="I40" s="248">
        <v>6</v>
      </c>
      <c r="J40" s="248"/>
      <c r="K40" s="248"/>
      <c r="L40" s="249">
        <f t="shared" si="1"/>
        <v>149000</v>
      </c>
    </row>
    <row r="41" spans="1:12">
      <c r="A41" s="229">
        <v>35</v>
      </c>
      <c r="B41" s="244" t="s">
        <v>405</v>
      </c>
      <c r="C41" s="245" t="s">
        <v>73</v>
      </c>
      <c r="D41" s="254" t="s">
        <v>397</v>
      </c>
      <c r="E41" s="247" t="s">
        <v>398</v>
      </c>
      <c r="F41" s="248"/>
      <c r="G41" s="248"/>
      <c r="H41" s="248"/>
      <c r="I41" s="248"/>
      <c r="J41" s="248"/>
      <c r="K41" s="248"/>
      <c r="L41" s="249">
        <f t="shared" si="1"/>
        <v>0</v>
      </c>
    </row>
    <row r="42" spans="1:12">
      <c r="A42" s="229">
        <v>36</v>
      </c>
      <c r="B42" s="244" t="s">
        <v>405</v>
      </c>
      <c r="C42" s="255" t="s">
        <v>71</v>
      </c>
      <c r="D42" s="251" t="s">
        <v>397</v>
      </c>
      <c r="E42" s="252" t="s">
        <v>398</v>
      </c>
      <c r="F42" s="257"/>
      <c r="G42" s="257"/>
      <c r="H42" s="257"/>
      <c r="I42" s="257"/>
      <c r="J42" s="257"/>
      <c r="K42" s="257"/>
      <c r="L42" s="249">
        <f t="shared" si="1"/>
        <v>0</v>
      </c>
    </row>
    <row r="43" spans="1:12">
      <c r="A43" s="229">
        <v>37</v>
      </c>
      <c r="B43" s="244" t="s">
        <v>405</v>
      </c>
      <c r="C43" s="250" t="s">
        <v>153</v>
      </c>
      <c r="D43" s="251" t="s">
        <v>414</v>
      </c>
      <c r="E43" s="252" t="s">
        <v>399</v>
      </c>
      <c r="F43" s="253">
        <v>220600</v>
      </c>
      <c r="G43" s="253">
        <v>37</v>
      </c>
      <c r="H43" s="253">
        <v>77200</v>
      </c>
      <c r="I43" s="253">
        <v>18</v>
      </c>
      <c r="J43" s="253">
        <v>20000</v>
      </c>
      <c r="K43" s="253">
        <v>1</v>
      </c>
      <c r="L43" s="249">
        <f t="shared" si="1"/>
        <v>317800</v>
      </c>
    </row>
    <row r="44" spans="1:12">
      <c r="A44" s="229">
        <v>38</v>
      </c>
      <c r="B44" s="244" t="s">
        <v>403</v>
      </c>
      <c r="C44" s="245" t="s">
        <v>79</v>
      </c>
      <c r="D44" s="254" t="s">
        <v>397</v>
      </c>
      <c r="E44" s="247" t="s">
        <v>398</v>
      </c>
      <c r="F44" s="248"/>
      <c r="G44" s="248"/>
      <c r="H44" s="248"/>
      <c r="I44" s="248"/>
      <c r="J44" s="248"/>
      <c r="K44" s="248"/>
      <c r="L44" s="249">
        <f t="shared" si="1"/>
        <v>0</v>
      </c>
    </row>
    <row r="45" spans="1:12">
      <c r="A45" s="229">
        <v>39</v>
      </c>
      <c r="B45" s="244" t="s">
        <v>403</v>
      </c>
      <c r="C45" s="250" t="s">
        <v>11</v>
      </c>
      <c r="D45" s="251" t="s">
        <v>397</v>
      </c>
      <c r="E45" s="252" t="s">
        <v>398</v>
      </c>
      <c r="F45" s="253"/>
      <c r="G45" s="253"/>
      <c r="H45" s="253"/>
      <c r="I45" s="253"/>
      <c r="J45" s="253"/>
      <c r="K45" s="253"/>
      <c r="L45" s="249">
        <f t="shared" si="1"/>
        <v>0</v>
      </c>
    </row>
    <row r="46" spans="1:12">
      <c r="A46" s="229">
        <v>40</v>
      </c>
      <c r="B46" s="244" t="s">
        <v>404</v>
      </c>
      <c r="C46" s="255" t="s">
        <v>90</v>
      </c>
      <c r="D46" s="251" t="s">
        <v>414</v>
      </c>
      <c r="E46" s="252" t="s">
        <v>399</v>
      </c>
      <c r="F46" s="257">
        <v>190500</v>
      </c>
      <c r="G46" s="257">
        <v>58</v>
      </c>
      <c r="H46" s="257">
        <v>56000</v>
      </c>
      <c r="I46" s="257">
        <v>14</v>
      </c>
      <c r="J46" s="257">
        <v>76150</v>
      </c>
      <c r="K46" s="257">
        <v>2</v>
      </c>
      <c r="L46" s="249">
        <f t="shared" si="1"/>
        <v>322650</v>
      </c>
    </row>
    <row r="47" spans="1:12">
      <c r="A47" s="229">
        <v>41</v>
      </c>
      <c r="B47" s="244" t="s">
        <v>405</v>
      </c>
      <c r="C47" s="245" t="s">
        <v>78</v>
      </c>
      <c r="D47" s="254" t="s">
        <v>397</v>
      </c>
      <c r="E47" s="247" t="s">
        <v>398</v>
      </c>
      <c r="F47" s="248"/>
      <c r="G47" s="248"/>
      <c r="H47" s="248"/>
      <c r="I47" s="248"/>
      <c r="J47" s="248"/>
      <c r="K47" s="248"/>
      <c r="L47" s="249">
        <f t="shared" si="1"/>
        <v>0</v>
      </c>
    </row>
    <row r="48" spans="1:12">
      <c r="A48" s="229">
        <v>42</v>
      </c>
      <c r="B48" s="244" t="s">
        <v>402</v>
      </c>
      <c r="C48" s="255" t="s">
        <v>137</v>
      </c>
      <c r="D48" s="256" t="s">
        <v>414</v>
      </c>
      <c r="E48" s="252" t="s">
        <v>399</v>
      </c>
      <c r="F48" s="257">
        <v>140000</v>
      </c>
      <c r="G48" s="257">
        <v>13</v>
      </c>
      <c r="H48" s="257">
        <v>66400</v>
      </c>
      <c r="I48" s="257">
        <v>13</v>
      </c>
      <c r="J48" s="257"/>
      <c r="K48" s="257"/>
      <c r="L48" s="249">
        <f t="shared" si="1"/>
        <v>206400</v>
      </c>
    </row>
    <row r="49" spans="1:12">
      <c r="A49" s="229">
        <v>43</v>
      </c>
      <c r="B49" s="244" t="s">
        <v>401</v>
      </c>
      <c r="C49" s="245" t="s">
        <v>33</v>
      </c>
      <c r="D49" s="254" t="s">
        <v>414</v>
      </c>
      <c r="E49" s="247" t="s">
        <v>398</v>
      </c>
      <c r="F49" s="248">
        <v>476000</v>
      </c>
      <c r="G49" s="248">
        <v>116</v>
      </c>
      <c r="H49" s="248">
        <v>34000</v>
      </c>
      <c r="I49" s="248">
        <v>9</v>
      </c>
      <c r="J49" s="248"/>
      <c r="K49" s="248"/>
      <c r="L49" s="249">
        <f t="shared" si="1"/>
        <v>510000</v>
      </c>
    </row>
    <row r="50" spans="1:12">
      <c r="A50" s="229">
        <v>44</v>
      </c>
      <c r="B50" s="244" t="s">
        <v>405</v>
      </c>
      <c r="C50" s="245" t="s">
        <v>66</v>
      </c>
      <c r="D50" s="254" t="s">
        <v>397</v>
      </c>
      <c r="E50" s="247" t="s">
        <v>398</v>
      </c>
      <c r="F50" s="248"/>
      <c r="G50" s="248"/>
      <c r="H50" s="248"/>
      <c r="I50" s="248"/>
      <c r="J50" s="248"/>
      <c r="K50" s="248"/>
      <c r="L50" s="249">
        <f t="shared" si="1"/>
        <v>0</v>
      </c>
    </row>
    <row r="51" spans="1:12">
      <c r="A51" s="229">
        <v>45</v>
      </c>
      <c r="B51" s="244" t="s">
        <v>405</v>
      </c>
      <c r="C51" s="250" t="s">
        <v>67</v>
      </c>
      <c r="D51" s="251" t="s">
        <v>397</v>
      </c>
      <c r="E51" s="252" t="s">
        <v>398</v>
      </c>
      <c r="F51" s="253"/>
      <c r="G51" s="253"/>
      <c r="H51" s="253"/>
      <c r="I51" s="253"/>
      <c r="J51" s="253"/>
      <c r="K51" s="253"/>
      <c r="L51" s="249">
        <f t="shared" si="1"/>
        <v>0</v>
      </c>
    </row>
    <row r="52" spans="1:12">
      <c r="A52" s="229">
        <v>46</v>
      </c>
      <c r="B52" s="244" t="s">
        <v>403</v>
      </c>
      <c r="C52" s="250" t="s">
        <v>245</v>
      </c>
      <c r="D52" s="251" t="s">
        <v>414</v>
      </c>
      <c r="E52" s="252" t="s">
        <v>399</v>
      </c>
      <c r="F52" s="253">
        <v>119500</v>
      </c>
      <c r="G52" s="253">
        <v>34</v>
      </c>
      <c r="H52" s="253">
        <v>33800</v>
      </c>
      <c r="I52" s="253">
        <v>9</v>
      </c>
      <c r="J52" s="253">
        <v>103100</v>
      </c>
      <c r="K52" s="253">
        <v>2</v>
      </c>
      <c r="L52" s="249">
        <f t="shared" si="1"/>
        <v>256400</v>
      </c>
    </row>
    <row r="53" spans="1:12">
      <c r="A53" s="229">
        <v>47</v>
      </c>
      <c r="B53" s="244" t="s">
        <v>401</v>
      </c>
      <c r="C53" s="245" t="s">
        <v>159</v>
      </c>
      <c r="D53" s="254" t="s">
        <v>414</v>
      </c>
      <c r="E53" s="247" t="s">
        <v>399</v>
      </c>
      <c r="F53" s="248">
        <v>172000</v>
      </c>
      <c r="G53" s="248">
        <v>38</v>
      </c>
      <c r="H53" s="248">
        <v>189000</v>
      </c>
      <c r="I53" s="248">
        <v>44</v>
      </c>
      <c r="J53" s="248"/>
      <c r="K53" s="248"/>
      <c r="L53" s="249">
        <f t="shared" si="1"/>
        <v>361000</v>
      </c>
    </row>
    <row r="54" spans="1:12">
      <c r="A54" s="229">
        <v>48</v>
      </c>
      <c r="B54" s="244" t="s">
        <v>405</v>
      </c>
      <c r="C54" s="245" t="s">
        <v>166</v>
      </c>
      <c r="D54" s="254" t="s">
        <v>414</v>
      </c>
      <c r="E54" s="247" t="s">
        <v>399</v>
      </c>
      <c r="F54" s="248">
        <v>211000</v>
      </c>
      <c r="G54" s="248">
        <v>48</v>
      </c>
      <c r="H54" s="248">
        <v>42000</v>
      </c>
      <c r="I54" s="248">
        <v>10</v>
      </c>
      <c r="J54" s="248">
        <v>19900</v>
      </c>
      <c r="K54" s="248">
        <v>2</v>
      </c>
      <c r="L54" s="249">
        <f t="shared" si="1"/>
        <v>272900</v>
      </c>
    </row>
    <row r="55" spans="1:12">
      <c r="A55" s="229">
        <v>49</v>
      </c>
      <c r="B55" s="244" t="s">
        <v>402</v>
      </c>
      <c r="C55" s="245" t="s">
        <v>138</v>
      </c>
      <c r="D55" s="254" t="s">
        <v>414</v>
      </c>
      <c r="E55" s="247" t="s">
        <v>399</v>
      </c>
      <c r="F55" s="248">
        <v>94000</v>
      </c>
      <c r="G55" s="248">
        <v>23</v>
      </c>
      <c r="H55" s="248">
        <v>43200</v>
      </c>
      <c r="I55" s="248">
        <v>11</v>
      </c>
      <c r="J55" s="248"/>
      <c r="K55" s="248"/>
      <c r="L55" s="249">
        <f t="shared" si="1"/>
        <v>137200</v>
      </c>
    </row>
    <row r="56" spans="1:12">
      <c r="A56" s="229">
        <v>50</v>
      </c>
      <c r="B56" s="244" t="s">
        <v>405</v>
      </c>
      <c r="C56" s="245" t="s">
        <v>129</v>
      </c>
      <c r="D56" s="254" t="s">
        <v>397</v>
      </c>
      <c r="E56" s="247" t="s">
        <v>398</v>
      </c>
      <c r="F56" s="248"/>
      <c r="G56" s="248"/>
      <c r="H56" s="248"/>
      <c r="I56" s="248"/>
      <c r="J56" s="248"/>
      <c r="K56" s="248"/>
      <c r="L56" s="249">
        <f t="shared" si="1"/>
        <v>0</v>
      </c>
    </row>
    <row r="57" spans="1:12">
      <c r="A57" s="229">
        <v>51</v>
      </c>
      <c r="B57" s="244" t="s">
        <v>405</v>
      </c>
      <c r="C57" s="250" t="s">
        <v>74</v>
      </c>
      <c r="D57" s="251" t="s">
        <v>397</v>
      </c>
      <c r="E57" s="252" t="s">
        <v>398</v>
      </c>
      <c r="F57" s="253"/>
      <c r="G57" s="253"/>
      <c r="H57" s="253"/>
      <c r="I57" s="253"/>
      <c r="J57" s="253"/>
      <c r="K57" s="253"/>
      <c r="L57" s="249">
        <f t="shared" si="1"/>
        <v>0</v>
      </c>
    </row>
    <row r="58" spans="1:12">
      <c r="A58" s="229">
        <v>52</v>
      </c>
      <c r="B58" s="244" t="s">
        <v>401</v>
      </c>
      <c r="C58" s="250" t="s">
        <v>93</v>
      </c>
      <c r="D58" s="251" t="s">
        <v>414</v>
      </c>
      <c r="E58" s="252" t="s">
        <v>399</v>
      </c>
      <c r="F58" s="253">
        <v>258000</v>
      </c>
      <c r="G58" s="253">
        <v>52</v>
      </c>
      <c r="H58" s="253">
        <v>18000</v>
      </c>
      <c r="I58" s="253">
        <v>4</v>
      </c>
      <c r="J58" s="253">
        <v>4000</v>
      </c>
      <c r="K58" s="253">
        <v>1</v>
      </c>
      <c r="L58" s="249">
        <f t="shared" si="1"/>
        <v>280000</v>
      </c>
    </row>
    <row r="59" spans="1:12">
      <c r="A59" s="229">
        <v>53</v>
      </c>
      <c r="B59" s="244" t="s">
        <v>403</v>
      </c>
      <c r="C59" s="245" t="s">
        <v>87</v>
      </c>
      <c r="D59" s="254" t="s">
        <v>414</v>
      </c>
      <c r="E59" s="247" t="s">
        <v>399</v>
      </c>
      <c r="F59" s="248">
        <v>204500</v>
      </c>
      <c r="G59" s="248">
        <v>37</v>
      </c>
      <c r="H59" s="248">
        <v>37200</v>
      </c>
      <c r="I59" s="248">
        <v>9</v>
      </c>
      <c r="J59" s="248"/>
      <c r="K59" s="248"/>
      <c r="L59" s="249">
        <f t="shared" si="1"/>
        <v>241700</v>
      </c>
    </row>
    <row r="60" spans="1:12">
      <c r="A60" s="229">
        <v>54</v>
      </c>
      <c r="B60" s="244" t="s">
        <v>405</v>
      </c>
      <c r="C60" s="245" t="s">
        <v>381</v>
      </c>
      <c r="D60" s="254" t="s">
        <v>414</v>
      </c>
      <c r="E60" s="247" t="s">
        <v>399</v>
      </c>
      <c r="F60" s="248">
        <v>187000</v>
      </c>
      <c r="G60" s="248">
        <v>39</v>
      </c>
      <c r="H60" s="248">
        <v>140500</v>
      </c>
      <c r="I60" s="248">
        <v>34</v>
      </c>
      <c r="J60" s="248">
        <v>13000</v>
      </c>
      <c r="K60" s="248">
        <v>2</v>
      </c>
      <c r="L60" s="249">
        <f t="shared" si="1"/>
        <v>340500</v>
      </c>
    </row>
    <row r="61" spans="1:12">
      <c r="A61" s="229">
        <v>55</v>
      </c>
      <c r="B61" s="244" t="s">
        <v>403</v>
      </c>
      <c r="C61" s="250" t="s">
        <v>132</v>
      </c>
      <c r="D61" s="251" t="s">
        <v>397</v>
      </c>
      <c r="E61" s="252" t="s">
        <v>398</v>
      </c>
      <c r="F61" s="253"/>
      <c r="G61" s="253"/>
      <c r="H61" s="253"/>
      <c r="I61" s="253"/>
      <c r="J61" s="253"/>
      <c r="K61" s="253"/>
      <c r="L61" s="249">
        <f t="shared" si="1"/>
        <v>0</v>
      </c>
    </row>
    <row r="62" spans="1:12">
      <c r="A62" s="229">
        <v>56</v>
      </c>
      <c r="B62" s="244" t="s">
        <v>402</v>
      </c>
      <c r="C62" s="245" t="s">
        <v>171</v>
      </c>
      <c r="D62" s="254" t="s">
        <v>397</v>
      </c>
      <c r="E62" s="247" t="s">
        <v>398</v>
      </c>
      <c r="F62" s="248"/>
      <c r="G62" s="248"/>
      <c r="H62" s="248"/>
      <c r="I62" s="248"/>
      <c r="J62" s="248"/>
      <c r="K62" s="248"/>
      <c r="L62" s="249">
        <f t="shared" si="1"/>
        <v>0</v>
      </c>
    </row>
    <row r="63" spans="1:12">
      <c r="A63" s="229">
        <v>57</v>
      </c>
      <c r="B63" s="244" t="s">
        <v>401</v>
      </c>
      <c r="C63" s="250" t="s">
        <v>77</v>
      </c>
      <c r="D63" s="251" t="s">
        <v>414</v>
      </c>
      <c r="E63" s="252" t="s">
        <v>399</v>
      </c>
      <c r="F63" s="253">
        <v>108640</v>
      </c>
      <c r="G63" s="253">
        <v>24</v>
      </c>
      <c r="H63" s="253">
        <v>61700</v>
      </c>
      <c r="I63" s="253">
        <v>15</v>
      </c>
      <c r="J63" s="253">
        <v>99550</v>
      </c>
      <c r="K63" s="253">
        <v>1</v>
      </c>
      <c r="L63" s="249">
        <f t="shared" si="1"/>
        <v>269890</v>
      </c>
    </row>
    <row r="64" spans="1:12">
      <c r="A64" s="229">
        <v>58</v>
      </c>
      <c r="B64" s="244" t="s">
        <v>405</v>
      </c>
      <c r="C64" s="250" t="s">
        <v>80</v>
      </c>
      <c r="D64" s="251" t="s">
        <v>414</v>
      </c>
      <c r="E64" s="252" t="s">
        <v>399</v>
      </c>
      <c r="F64" s="253">
        <v>247000</v>
      </c>
      <c r="G64" s="253">
        <v>58</v>
      </c>
      <c r="H64" s="253">
        <v>84500</v>
      </c>
      <c r="I64" s="253">
        <v>21</v>
      </c>
      <c r="J64" s="253"/>
      <c r="K64" s="253"/>
      <c r="L64" s="249">
        <f t="shared" si="1"/>
        <v>331500</v>
      </c>
    </row>
    <row r="65" spans="1:12">
      <c r="A65" s="229">
        <v>59</v>
      </c>
      <c r="B65" s="244" t="s">
        <v>405</v>
      </c>
      <c r="C65" s="245" t="s">
        <v>62</v>
      </c>
      <c r="D65" s="254" t="s">
        <v>397</v>
      </c>
      <c r="E65" s="247" t="s">
        <v>398</v>
      </c>
      <c r="F65" s="248"/>
      <c r="G65" s="248"/>
      <c r="H65" s="248"/>
      <c r="I65" s="248"/>
      <c r="J65" s="248"/>
      <c r="K65" s="248"/>
      <c r="L65" s="249">
        <f t="shared" si="1"/>
        <v>0</v>
      </c>
    </row>
    <row r="66" spans="1:12">
      <c r="A66" s="229">
        <v>60</v>
      </c>
      <c r="B66" s="244" t="s">
        <v>403</v>
      </c>
      <c r="C66" s="245" t="s">
        <v>69</v>
      </c>
      <c r="D66" s="254" t="s">
        <v>414</v>
      </c>
      <c r="E66" s="247" t="s">
        <v>399</v>
      </c>
      <c r="F66" s="248">
        <v>128000</v>
      </c>
      <c r="G66" s="248">
        <v>31</v>
      </c>
      <c r="H66" s="248">
        <v>79700</v>
      </c>
      <c r="I66" s="248">
        <v>18</v>
      </c>
      <c r="J66" s="248"/>
      <c r="K66" s="248"/>
      <c r="L66" s="249">
        <f t="shared" si="1"/>
        <v>207700</v>
      </c>
    </row>
    <row r="67" spans="1:12">
      <c r="A67" s="229">
        <v>61</v>
      </c>
      <c r="B67" s="244" t="s">
        <v>401</v>
      </c>
      <c r="C67" s="250" t="s">
        <v>385</v>
      </c>
      <c r="D67" s="251" t="s">
        <v>414</v>
      </c>
      <c r="E67" s="252" t="s">
        <v>399</v>
      </c>
      <c r="F67" s="253">
        <v>152500</v>
      </c>
      <c r="G67" s="253">
        <v>33</v>
      </c>
      <c r="H67" s="253">
        <v>73600</v>
      </c>
      <c r="I67" s="253">
        <v>18</v>
      </c>
      <c r="J67" s="253"/>
      <c r="K67" s="253"/>
      <c r="L67" s="249">
        <f t="shared" si="1"/>
        <v>226100</v>
      </c>
    </row>
    <row r="68" spans="1:12">
      <c r="A68" s="229">
        <v>62</v>
      </c>
      <c r="B68" s="244" t="s">
        <v>405</v>
      </c>
      <c r="C68" s="245" t="s">
        <v>72</v>
      </c>
      <c r="D68" s="254" t="s">
        <v>397</v>
      </c>
      <c r="E68" s="247" t="s">
        <v>398</v>
      </c>
      <c r="F68" s="248"/>
      <c r="G68" s="248"/>
      <c r="H68" s="248"/>
      <c r="I68" s="248"/>
      <c r="J68" s="248"/>
      <c r="K68" s="248"/>
      <c r="L68" s="249">
        <f t="shared" si="1"/>
        <v>0</v>
      </c>
    </row>
  </sheetData>
  <autoFilter ref="A6:N6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U111"/>
  <sheetViews>
    <sheetView zoomScale="85" zoomScaleNormal="85" zoomScaleSheetLayoutView="85" workbookViewId="0">
      <selection activeCell="D63" sqref="D63"/>
    </sheetView>
  </sheetViews>
  <sheetFormatPr defaultColWidth="9" defaultRowHeight="28.5" customHeight="1"/>
  <cols>
    <col min="1" max="1" width="3.625" style="7" customWidth="1"/>
    <col min="2" max="2" width="21.625" style="7" bestFit="1" customWidth="1"/>
    <col min="3" max="3" width="18.125" style="7" customWidth="1"/>
    <col min="4" max="4" width="18" style="8" customWidth="1"/>
    <col min="5" max="5" width="8.25" style="8" customWidth="1"/>
    <col min="6" max="6" width="18.625" style="9" customWidth="1"/>
    <col min="7" max="7" width="8.25" style="9" customWidth="1"/>
    <col min="8" max="8" width="12.5" style="9" customWidth="1"/>
    <col min="9" max="9" width="7" style="9" customWidth="1"/>
    <col min="10" max="10" width="13.75" style="6" customWidth="1"/>
    <col min="11" max="11" width="9.25" style="6" customWidth="1"/>
    <col min="12" max="12" width="12.75" style="7" bestFit="1" customWidth="1"/>
    <col min="13" max="13" width="39.625" style="18" customWidth="1"/>
    <col min="14" max="14" width="11.375" style="18" bestFit="1" customWidth="1"/>
    <col min="15" max="15" width="4.625" style="6" customWidth="1"/>
    <col min="16" max="16" width="11.375" style="18" bestFit="1" customWidth="1"/>
    <col min="17" max="17" width="13.25" style="18" bestFit="1" customWidth="1"/>
    <col min="18" max="18" width="23.875" style="18" customWidth="1"/>
    <col min="19" max="19" width="44.25" style="18" bestFit="1" customWidth="1"/>
    <col min="20" max="20" width="9.875" style="6" bestFit="1" customWidth="1"/>
    <col min="21" max="16384" width="9" style="6"/>
  </cols>
  <sheetData>
    <row r="1" spans="1:19" ht="28.5" customHeight="1">
      <c r="A1" s="4" t="s">
        <v>118</v>
      </c>
      <c r="B1" s="5" t="s">
        <v>0</v>
      </c>
      <c r="C1" s="20"/>
      <c r="D1" s="266" t="s">
        <v>1</v>
      </c>
      <c r="E1" s="267"/>
      <c r="F1" s="267"/>
      <c r="G1" s="267"/>
      <c r="H1" s="267"/>
      <c r="I1" s="267"/>
      <c r="J1" s="267"/>
      <c r="K1" s="267"/>
      <c r="L1" s="267"/>
      <c r="M1" s="267"/>
      <c r="N1" s="2"/>
      <c r="P1" s="55"/>
      <c r="Q1" s="55"/>
      <c r="R1" s="55"/>
      <c r="S1" s="55"/>
    </row>
    <row r="2" spans="1:19" s="3" customFormat="1" ht="39.75" customHeight="1">
      <c r="A2" s="1"/>
      <c r="B2" s="17" t="s">
        <v>2</v>
      </c>
      <c r="C2" s="17" t="s">
        <v>250</v>
      </c>
      <c r="D2" s="28" t="s">
        <v>3</v>
      </c>
      <c r="E2" s="28" t="s">
        <v>42</v>
      </c>
      <c r="F2" s="28" t="s">
        <v>4</v>
      </c>
      <c r="G2" s="28" t="s">
        <v>42</v>
      </c>
      <c r="H2" s="28" t="s">
        <v>5</v>
      </c>
      <c r="I2" s="28" t="s">
        <v>42</v>
      </c>
      <c r="J2" s="33" t="s">
        <v>6</v>
      </c>
      <c r="K2" s="56" t="s">
        <v>251</v>
      </c>
      <c r="L2" s="2" t="s">
        <v>252</v>
      </c>
      <c r="M2" s="2" t="s">
        <v>253</v>
      </c>
      <c r="N2" s="2" t="s">
        <v>254</v>
      </c>
      <c r="P2" s="57" t="s">
        <v>255</v>
      </c>
      <c r="Q2" s="57" t="s">
        <v>256</v>
      </c>
      <c r="R2" s="57" t="s">
        <v>257</v>
      </c>
      <c r="S2" s="57" t="s">
        <v>258</v>
      </c>
    </row>
    <row r="3" spans="1:19" s="3" customFormat="1" ht="28.5" customHeight="1">
      <c r="A3" s="15">
        <v>1</v>
      </c>
      <c r="B3" s="29" t="s">
        <v>259</v>
      </c>
      <c r="C3" s="46">
        <v>53173400</v>
      </c>
      <c r="D3" s="31">
        <v>132500</v>
      </c>
      <c r="E3" s="31">
        <v>30</v>
      </c>
      <c r="F3" s="31">
        <v>161300</v>
      </c>
      <c r="G3" s="31">
        <v>40</v>
      </c>
      <c r="H3" s="31">
        <v>2000</v>
      </c>
      <c r="I3" s="31">
        <v>1</v>
      </c>
      <c r="J3" s="34">
        <f>SUM(D3,F3,H3)</f>
        <v>295800</v>
      </c>
      <c r="K3" s="44">
        <f t="shared" ref="K3:K70" si="0">J3/C3</f>
        <v>5.56293184186078E-3</v>
      </c>
      <c r="L3" s="32"/>
      <c r="M3" s="23" t="s">
        <v>260</v>
      </c>
      <c r="N3" s="22" t="s">
        <v>261</v>
      </c>
      <c r="P3" s="22">
        <v>5000</v>
      </c>
      <c r="Q3" s="22" t="s">
        <v>262</v>
      </c>
      <c r="R3" s="22"/>
      <c r="S3" s="22"/>
    </row>
    <row r="4" spans="1:19" s="3" customFormat="1" ht="28.5" customHeight="1">
      <c r="A4" s="15">
        <v>3</v>
      </c>
      <c r="B4" s="29" t="s">
        <v>263</v>
      </c>
      <c r="C4" s="46">
        <v>24865550</v>
      </c>
      <c r="D4" s="31">
        <v>4000</v>
      </c>
      <c r="E4" s="31">
        <v>1</v>
      </c>
      <c r="F4" s="31">
        <v>51000</v>
      </c>
      <c r="G4" s="31">
        <v>12</v>
      </c>
      <c r="H4" s="31">
        <v>8500</v>
      </c>
      <c r="I4" s="31">
        <v>2</v>
      </c>
      <c r="J4" s="34">
        <f>SUM(D4,F4,H4)</f>
        <v>63500</v>
      </c>
      <c r="K4" s="44">
        <f t="shared" si="0"/>
        <v>2.5537339813517094E-3</v>
      </c>
      <c r="L4" s="32"/>
      <c r="M4" s="23" t="s">
        <v>264</v>
      </c>
      <c r="N4" s="22" t="s">
        <v>261</v>
      </c>
      <c r="P4" s="22">
        <v>4000</v>
      </c>
      <c r="Q4" s="22" t="s">
        <v>265</v>
      </c>
      <c r="R4" s="22"/>
      <c r="S4" s="22"/>
    </row>
    <row r="5" spans="1:19" s="3" customFormat="1" ht="28.5" customHeight="1">
      <c r="A5" s="15">
        <v>4</v>
      </c>
      <c r="B5" s="188" t="s">
        <v>266</v>
      </c>
      <c r="C5" s="46">
        <v>74282870</v>
      </c>
      <c r="D5" s="100"/>
      <c r="E5" s="100"/>
      <c r="F5" s="101"/>
      <c r="G5" s="101"/>
      <c r="H5" s="101"/>
      <c r="I5" s="101"/>
      <c r="J5" s="34">
        <f t="shared" ref="J5:J69" si="1">SUM(D5,F5,H5)</f>
        <v>0</v>
      </c>
      <c r="K5" s="44">
        <f t="shared" si="0"/>
        <v>0</v>
      </c>
      <c r="L5" s="102"/>
      <c r="M5" s="22"/>
      <c r="N5" s="22"/>
      <c r="P5" s="103"/>
      <c r="Q5" s="103"/>
      <c r="R5" s="103"/>
      <c r="S5" s="103"/>
    </row>
    <row r="6" spans="1:19" s="3" customFormat="1" ht="28.5" customHeight="1">
      <c r="A6" s="15">
        <v>5</v>
      </c>
      <c r="B6" s="29" t="s">
        <v>267</v>
      </c>
      <c r="C6" s="46">
        <v>40703070</v>
      </c>
      <c r="D6" s="31">
        <v>175900</v>
      </c>
      <c r="E6" s="31">
        <v>38</v>
      </c>
      <c r="F6" s="31"/>
      <c r="G6" s="31"/>
      <c r="H6" s="31"/>
      <c r="I6" s="31"/>
      <c r="J6" s="34">
        <f t="shared" si="1"/>
        <v>175900</v>
      </c>
      <c r="K6" s="44">
        <f t="shared" si="0"/>
        <v>4.321541348109614E-3</v>
      </c>
      <c r="L6" s="32"/>
      <c r="M6" s="24"/>
      <c r="N6" s="22" t="s">
        <v>261</v>
      </c>
      <c r="P6" s="22">
        <v>4000</v>
      </c>
      <c r="Q6" s="22" t="s">
        <v>265</v>
      </c>
      <c r="R6" s="104"/>
      <c r="S6" s="104"/>
    </row>
    <row r="7" spans="1:19" s="3" customFormat="1" ht="28.5" customHeight="1">
      <c r="A7" s="15">
        <v>6</v>
      </c>
      <c r="B7" s="188" t="s">
        <v>268</v>
      </c>
      <c r="C7" s="46">
        <v>60157540</v>
      </c>
      <c r="D7" s="100"/>
      <c r="E7" s="100"/>
      <c r="F7" s="101"/>
      <c r="G7" s="101"/>
      <c r="H7" s="101"/>
      <c r="I7" s="101"/>
      <c r="J7" s="34">
        <f t="shared" si="1"/>
        <v>0</v>
      </c>
      <c r="K7" s="44">
        <f t="shared" si="0"/>
        <v>0</v>
      </c>
      <c r="L7" s="102"/>
      <c r="M7" s="22"/>
      <c r="N7" s="22"/>
      <c r="P7" s="103"/>
      <c r="Q7" s="103"/>
      <c r="R7" s="103"/>
      <c r="S7" s="103"/>
    </row>
    <row r="8" spans="1:19" s="3" customFormat="1" ht="28.5" customHeight="1">
      <c r="A8" s="15">
        <v>7</v>
      </c>
      <c r="B8" s="29" t="s">
        <v>269</v>
      </c>
      <c r="C8" s="46">
        <v>32195150</v>
      </c>
      <c r="D8" s="13">
        <v>68500</v>
      </c>
      <c r="E8" s="31">
        <v>17</v>
      </c>
      <c r="F8" s="31">
        <v>76900</v>
      </c>
      <c r="G8" s="31">
        <v>19</v>
      </c>
      <c r="H8" s="31">
        <v>31350</v>
      </c>
      <c r="I8" s="31">
        <v>1</v>
      </c>
      <c r="J8" s="34">
        <f t="shared" si="1"/>
        <v>176750</v>
      </c>
      <c r="K8" s="44">
        <f t="shared" si="0"/>
        <v>5.4899573382947431E-3</v>
      </c>
      <c r="L8" s="32"/>
      <c r="M8" s="23" t="s">
        <v>270</v>
      </c>
      <c r="N8" s="22"/>
      <c r="P8" s="22">
        <v>4000</v>
      </c>
      <c r="Q8" s="14" t="s">
        <v>265</v>
      </c>
      <c r="R8" s="14"/>
      <c r="S8" s="14"/>
    </row>
    <row r="9" spans="1:19" s="3" customFormat="1" ht="28.5" customHeight="1">
      <c r="A9" s="15">
        <v>8</v>
      </c>
      <c r="B9" s="29" t="s">
        <v>271</v>
      </c>
      <c r="C9" s="46">
        <v>46794050</v>
      </c>
      <c r="D9" s="31">
        <v>144500</v>
      </c>
      <c r="E9" s="31">
        <v>39</v>
      </c>
      <c r="F9" s="31">
        <v>135050</v>
      </c>
      <c r="G9" s="31">
        <v>35</v>
      </c>
      <c r="H9" s="31">
        <v>7480</v>
      </c>
      <c r="I9" s="31">
        <v>2</v>
      </c>
      <c r="J9" s="34">
        <f t="shared" si="1"/>
        <v>287030</v>
      </c>
      <c r="K9" s="44">
        <f t="shared" si="0"/>
        <v>6.1338995021802982E-3</v>
      </c>
      <c r="L9" s="32"/>
      <c r="M9" s="23" t="s">
        <v>272</v>
      </c>
      <c r="N9" s="22" t="s">
        <v>261</v>
      </c>
      <c r="P9" s="22">
        <v>3500</v>
      </c>
      <c r="Q9" s="14" t="s">
        <v>265</v>
      </c>
      <c r="R9" s="14"/>
      <c r="S9" s="14"/>
    </row>
    <row r="10" spans="1:19" s="3" customFormat="1" ht="28.5" customHeight="1">
      <c r="A10" s="15">
        <v>9</v>
      </c>
      <c r="B10" s="35" t="s">
        <v>273</v>
      </c>
      <c r="C10" s="46">
        <v>31253600</v>
      </c>
      <c r="D10" s="35"/>
      <c r="E10" s="35"/>
      <c r="F10" s="35">
        <v>81300</v>
      </c>
      <c r="G10" s="35">
        <v>19</v>
      </c>
      <c r="H10" s="35"/>
      <c r="I10" s="32"/>
      <c r="J10" s="34">
        <f t="shared" si="1"/>
        <v>81300</v>
      </c>
      <c r="K10" s="44">
        <f t="shared" si="0"/>
        <v>2.6013003302019608E-3</v>
      </c>
      <c r="L10" s="32"/>
      <c r="M10" s="23"/>
      <c r="N10" s="22" t="s">
        <v>274</v>
      </c>
      <c r="P10" s="22">
        <v>4000</v>
      </c>
      <c r="Q10" s="14" t="s">
        <v>265</v>
      </c>
      <c r="R10" s="14"/>
      <c r="S10" s="14"/>
    </row>
    <row r="11" spans="1:19" s="3" customFormat="1" ht="28.5" customHeight="1">
      <c r="A11" s="15">
        <v>10</v>
      </c>
      <c r="B11" s="29" t="s">
        <v>31</v>
      </c>
      <c r="C11" s="46">
        <v>75455660</v>
      </c>
      <c r="D11" s="31">
        <v>371000</v>
      </c>
      <c r="E11" s="32">
        <v>96</v>
      </c>
      <c r="F11" s="32">
        <v>280830</v>
      </c>
      <c r="G11" s="32">
        <v>68</v>
      </c>
      <c r="H11" s="32"/>
      <c r="I11" s="32"/>
      <c r="J11" s="34">
        <f t="shared" si="1"/>
        <v>651830</v>
      </c>
      <c r="K11" s="44">
        <f t="shared" si="0"/>
        <v>8.6385832421318684E-3</v>
      </c>
      <c r="L11" s="32"/>
      <c r="M11" s="23"/>
      <c r="N11" s="22" t="s">
        <v>274</v>
      </c>
      <c r="P11" s="22">
        <v>4000</v>
      </c>
      <c r="Q11" s="14" t="s">
        <v>275</v>
      </c>
      <c r="R11" s="14"/>
      <c r="S11" s="14"/>
    </row>
    <row r="12" spans="1:19" s="3" customFormat="1" ht="28.5" customHeight="1">
      <c r="A12" s="15">
        <v>11</v>
      </c>
      <c r="B12" s="29" t="s">
        <v>276</v>
      </c>
      <c r="C12" s="46">
        <v>34607800</v>
      </c>
      <c r="D12" s="32">
        <v>91500</v>
      </c>
      <c r="E12" s="31">
        <v>15</v>
      </c>
      <c r="F12" s="32">
        <v>101400</v>
      </c>
      <c r="G12" s="32">
        <v>25</v>
      </c>
      <c r="H12" s="32"/>
      <c r="I12" s="32"/>
      <c r="J12" s="34">
        <f t="shared" si="1"/>
        <v>192900</v>
      </c>
      <c r="K12" s="44">
        <f t="shared" si="0"/>
        <v>5.5738879674524242E-3</v>
      </c>
      <c r="L12" s="32"/>
      <c r="M12" s="23"/>
      <c r="N12" s="22" t="s">
        <v>261</v>
      </c>
      <c r="P12" s="22">
        <v>5000</v>
      </c>
      <c r="Q12" s="14" t="s">
        <v>277</v>
      </c>
      <c r="R12" s="103"/>
      <c r="S12" s="103"/>
    </row>
    <row r="13" spans="1:19" s="3" customFormat="1" ht="28.5" customHeight="1">
      <c r="A13" s="15">
        <v>12</v>
      </c>
      <c r="B13" s="29" t="s">
        <v>278</v>
      </c>
      <c r="C13" s="46">
        <v>31943720</v>
      </c>
      <c r="D13" s="31">
        <v>24000</v>
      </c>
      <c r="E13" s="31">
        <v>5</v>
      </c>
      <c r="F13" s="31">
        <v>196500</v>
      </c>
      <c r="G13" s="31">
        <v>50</v>
      </c>
      <c r="H13" s="31">
        <v>3700</v>
      </c>
      <c r="I13" s="31">
        <v>1</v>
      </c>
      <c r="J13" s="34">
        <f t="shared" si="1"/>
        <v>224200</v>
      </c>
      <c r="K13" s="44">
        <f t="shared" si="0"/>
        <v>7.0185939521132789E-3</v>
      </c>
      <c r="L13" s="32"/>
      <c r="M13" s="23" t="s">
        <v>279</v>
      </c>
      <c r="N13" s="22" t="s">
        <v>261</v>
      </c>
      <c r="P13" s="22">
        <v>5000</v>
      </c>
      <c r="Q13" s="103" t="s">
        <v>265</v>
      </c>
      <c r="R13" s="103"/>
      <c r="S13" s="103"/>
    </row>
    <row r="14" spans="1:19" s="3" customFormat="1" ht="28.5" customHeight="1">
      <c r="A14" s="15">
        <v>13</v>
      </c>
      <c r="B14" s="29" t="s">
        <v>27</v>
      </c>
      <c r="C14" s="46">
        <v>34982230</v>
      </c>
      <c r="D14" s="31">
        <v>109000</v>
      </c>
      <c r="E14" s="31">
        <v>24</v>
      </c>
      <c r="F14" s="31">
        <v>141670</v>
      </c>
      <c r="G14" s="31">
        <v>35</v>
      </c>
      <c r="H14" s="31"/>
      <c r="I14" s="31"/>
      <c r="J14" s="34">
        <f t="shared" si="1"/>
        <v>250670</v>
      </c>
      <c r="K14" s="44">
        <f t="shared" si="0"/>
        <v>7.165638096828018E-3</v>
      </c>
      <c r="L14" s="32"/>
      <c r="M14" s="23"/>
      <c r="N14" s="22" t="s">
        <v>274</v>
      </c>
      <c r="P14" s="22">
        <v>4500</v>
      </c>
      <c r="Q14" s="14" t="s">
        <v>265</v>
      </c>
      <c r="R14" s="103"/>
      <c r="S14" s="103"/>
    </row>
    <row r="15" spans="1:19" s="3" customFormat="1" ht="28.5" customHeight="1">
      <c r="A15" s="15">
        <v>14</v>
      </c>
      <c r="B15" s="188" t="s">
        <v>280</v>
      </c>
      <c r="C15" s="46">
        <v>41205710</v>
      </c>
      <c r="D15" s="105"/>
      <c r="E15" s="105"/>
      <c r="F15" s="101"/>
      <c r="G15" s="101"/>
      <c r="H15" s="101"/>
      <c r="I15" s="101"/>
      <c r="J15" s="34">
        <f t="shared" si="1"/>
        <v>0</v>
      </c>
      <c r="K15" s="44">
        <f t="shared" si="0"/>
        <v>0</v>
      </c>
      <c r="L15" s="102"/>
      <c r="M15" s="22"/>
      <c r="N15" s="22"/>
      <c r="P15" s="103"/>
      <c r="Q15" s="103"/>
      <c r="R15" s="103"/>
      <c r="S15" s="103"/>
    </row>
    <row r="16" spans="1:19" s="3" customFormat="1" ht="28.5" customHeight="1">
      <c r="A16" s="15">
        <v>15</v>
      </c>
      <c r="B16" s="29" t="s">
        <v>281</v>
      </c>
      <c r="C16" s="46">
        <v>8456960</v>
      </c>
      <c r="D16" s="13">
        <v>37500</v>
      </c>
      <c r="E16" s="13">
        <v>8</v>
      </c>
      <c r="F16" s="31">
        <v>48800</v>
      </c>
      <c r="G16" s="31">
        <v>13</v>
      </c>
      <c r="H16" s="31"/>
      <c r="I16" s="31"/>
      <c r="J16" s="34">
        <f t="shared" si="1"/>
        <v>86300</v>
      </c>
      <c r="K16" s="44">
        <f t="shared" si="0"/>
        <v>1.0204612532162857E-2</v>
      </c>
      <c r="L16" s="32"/>
      <c r="M16" s="23"/>
      <c r="N16" s="22" t="s">
        <v>261</v>
      </c>
      <c r="P16" s="22">
        <v>4000</v>
      </c>
      <c r="Q16" s="103" t="s">
        <v>275</v>
      </c>
      <c r="R16" s="103"/>
      <c r="S16" s="103"/>
    </row>
    <row r="17" spans="1:21" s="3" customFormat="1" ht="28.5" customHeight="1">
      <c r="A17" s="15">
        <v>16</v>
      </c>
      <c r="B17" s="29" t="s">
        <v>282</v>
      </c>
      <c r="C17" s="46">
        <v>75092600</v>
      </c>
      <c r="D17" s="31">
        <v>230000</v>
      </c>
      <c r="E17" s="31">
        <v>60</v>
      </c>
      <c r="F17" s="31">
        <v>260030</v>
      </c>
      <c r="G17" s="31">
        <v>34</v>
      </c>
      <c r="H17" s="31">
        <v>5000</v>
      </c>
      <c r="I17" s="31">
        <v>1</v>
      </c>
      <c r="J17" s="34">
        <f t="shared" si="1"/>
        <v>495030</v>
      </c>
      <c r="K17" s="44">
        <f t="shared" si="0"/>
        <v>6.5922607553873481E-3</v>
      </c>
      <c r="L17" s="32"/>
      <c r="M17" s="23" t="s">
        <v>279</v>
      </c>
      <c r="N17" s="22" t="s">
        <v>261</v>
      </c>
      <c r="P17" s="22">
        <v>4000</v>
      </c>
      <c r="Q17" s="103" t="s">
        <v>275</v>
      </c>
      <c r="R17" s="103"/>
      <c r="S17" s="103"/>
    </row>
    <row r="18" spans="1:21" s="3" customFormat="1" ht="28.5" customHeight="1">
      <c r="A18" s="15">
        <v>17</v>
      </c>
      <c r="B18" s="188" t="s">
        <v>283</v>
      </c>
      <c r="C18" s="46">
        <v>40666730</v>
      </c>
      <c r="D18" s="105"/>
      <c r="E18" s="105"/>
      <c r="F18" s="101"/>
      <c r="G18" s="101"/>
      <c r="H18" s="101"/>
      <c r="I18" s="101"/>
      <c r="J18" s="34">
        <f t="shared" si="1"/>
        <v>0</v>
      </c>
      <c r="K18" s="44">
        <f t="shared" si="0"/>
        <v>0</v>
      </c>
      <c r="L18" s="102"/>
      <c r="M18" s="22"/>
      <c r="N18" s="22"/>
      <c r="P18" s="103"/>
      <c r="Q18" s="103"/>
      <c r="R18" s="103"/>
      <c r="S18" s="103"/>
    </row>
    <row r="19" spans="1:21" s="3" customFormat="1" ht="28.5" customHeight="1">
      <c r="A19" s="15">
        <v>18</v>
      </c>
      <c r="B19" s="29" t="s">
        <v>284</v>
      </c>
      <c r="C19" s="46">
        <v>32119720</v>
      </c>
      <c r="D19" s="13">
        <v>29500</v>
      </c>
      <c r="E19" s="13">
        <v>7</v>
      </c>
      <c r="F19" s="31">
        <v>203100</v>
      </c>
      <c r="G19" s="31">
        <v>49</v>
      </c>
      <c r="H19" s="31">
        <v>4000</v>
      </c>
      <c r="I19" s="31">
        <v>1</v>
      </c>
      <c r="J19" s="34">
        <f t="shared" si="1"/>
        <v>236600</v>
      </c>
      <c r="K19" s="44">
        <f t="shared" si="0"/>
        <v>7.3661912370344453E-3</v>
      </c>
      <c r="L19" s="32"/>
      <c r="M19" s="23" t="s">
        <v>279</v>
      </c>
      <c r="N19" s="22" t="s">
        <v>261</v>
      </c>
      <c r="P19" s="22">
        <v>4000</v>
      </c>
      <c r="Q19" s="103" t="s">
        <v>275</v>
      </c>
      <c r="R19" s="14"/>
      <c r="S19" s="104"/>
    </row>
    <row r="20" spans="1:21" s="3" customFormat="1" ht="28.5" customHeight="1">
      <c r="A20" s="15">
        <v>19</v>
      </c>
      <c r="B20" s="189" t="s">
        <v>285</v>
      </c>
      <c r="C20" s="46">
        <v>52036450</v>
      </c>
      <c r="D20" s="105"/>
      <c r="E20" s="105"/>
      <c r="F20" s="100"/>
      <c r="G20" s="100"/>
      <c r="H20" s="100"/>
      <c r="I20" s="100"/>
      <c r="J20" s="34">
        <f t="shared" si="1"/>
        <v>0</v>
      </c>
      <c r="K20" s="44">
        <f t="shared" si="0"/>
        <v>0</v>
      </c>
      <c r="L20" s="101"/>
      <c r="M20" s="23"/>
      <c r="N20" s="22"/>
      <c r="P20" s="103"/>
      <c r="Q20" s="103"/>
      <c r="R20" s="103"/>
      <c r="S20" s="103"/>
    </row>
    <row r="21" spans="1:21" s="3" customFormat="1" ht="28.5" customHeight="1">
      <c r="A21" s="15">
        <v>20</v>
      </c>
      <c r="B21" s="29" t="s">
        <v>28</v>
      </c>
      <c r="C21" s="46">
        <v>66067300</v>
      </c>
      <c r="D21" s="13">
        <v>114400</v>
      </c>
      <c r="E21" s="13">
        <v>17</v>
      </c>
      <c r="F21" s="31">
        <v>185630</v>
      </c>
      <c r="G21" s="31">
        <v>46</v>
      </c>
      <c r="H21" s="31">
        <v>3500</v>
      </c>
      <c r="I21" s="31">
        <v>1</v>
      </c>
      <c r="J21" s="34">
        <f t="shared" si="1"/>
        <v>303530</v>
      </c>
      <c r="K21" s="44">
        <f t="shared" si="0"/>
        <v>4.5942546463984451E-3</v>
      </c>
      <c r="L21" s="32"/>
      <c r="M21" s="23" t="s">
        <v>286</v>
      </c>
      <c r="N21" s="22" t="s">
        <v>261</v>
      </c>
      <c r="P21" s="22">
        <v>7000</v>
      </c>
      <c r="Q21" s="14" t="s">
        <v>275</v>
      </c>
      <c r="R21" s="14"/>
      <c r="S21" s="14"/>
    </row>
    <row r="22" spans="1:21" s="3" customFormat="1" ht="28.5" customHeight="1">
      <c r="A22" s="15">
        <v>21</v>
      </c>
      <c r="B22" s="29" t="s">
        <v>287</v>
      </c>
      <c r="C22" s="46">
        <v>47416180</v>
      </c>
      <c r="D22" s="31">
        <v>99050</v>
      </c>
      <c r="E22" s="31">
        <v>26</v>
      </c>
      <c r="F22" s="31">
        <v>123670</v>
      </c>
      <c r="G22" s="31">
        <v>33</v>
      </c>
      <c r="H22" s="31">
        <v>21000</v>
      </c>
      <c r="I22" s="31">
        <v>2</v>
      </c>
      <c r="J22" s="34">
        <f t="shared" si="1"/>
        <v>243720</v>
      </c>
      <c r="K22" s="44">
        <f t="shared" si="0"/>
        <v>5.1400176058046011E-3</v>
      </c>
      <c r="L22" s="32"/>
      <c r="M22" s="23" t="s">
        <v>264</v>
      </c>
      <c r="N22" s="22" t="s">
        <v>261</v>
      </c>
      <c r="P22" s="22">
        <v>4000</v>
      </c>
      <c r="Q22" s="14" t="s">
        <v>275</v>
      </c>
      <c r="R22" s="14"/>
      <c r="S22" s="14"/>
      <c r="U22" s="3" t="s">
        <v>288</v>
      </c>
    </row>
    <row r="23" spans="1:21" s="3" customFormat="1" ht="28.5" customHeight="1">
      <c r="A23" s="15">
        <v>22</v>
      </c>
      <c r="B23" s="29" t="s">
        <v>30</v>
      </c>
      <c r="C23" s="46">
        <v>37619100</v>
      </c>
      <c r="D23" s="31">
        <v>72500</v>
      </c>
      <c r="E23" s="31">
        <v>16</v>
      </c>
      <c r="F23" s="31">
        <v>112300</v>
      </c>
      <c r="G23" s="31">
        <v>28</v>
      </c>
      <c r="H23" s="31"/>
      <c r="I23" s="31"/>
      <c r="J23" s="34">
        <f t="shared" si="1"/>
        <v>184800</v>
      </c>
      <c r="K23" s="44">
        <f t="shared" si="0"/>
        <v>4.9123982232429806E-3</v>
      </c>
      <c r="L23" s="32"/>
      <c r="M23" s="23"/>
      <c r="N23" s="22" t="s">
        <v>261</v>
      </c>
      <c r="P23" s="22">
        <v>5000</v>
      </c>
      <c r="Q23" s="14" t="s">
        <v>265</v>
      </c>
      <c r="R23" s="103"/>
      <c r="S23" s="103"/>
    </row>
    <row r="24" spans="1:21" s="3" customFormat="1" ht="28.5" customHeight="1">
      <c r="A24" s="15">
        <v>23</v>
      </c>
      <c r="B24" s="29" t="s">
        <v>29</v>
      </c>
      <c r="C24" s="46">
        <v>42754070</v>
      </c>
      <c r="D24" s="31">
        <v>214000</v>
      </c>
      <c r="E24" s="31">
        <v>32</v>
      </c>
      <c r="F24" s="31">
        <v>200330</v>
      </c>
      <c r="G24" s="31">
        <v>47</v>
      </c>
      <c r="H24" s="31"/>
      <c r="I24" s="31"/>
      <c r="J24" s="34">
        <f t="shared" si="1"/>
        <v>414330</v>
      </c>
      <c r="K24" s="44">
        <f t="shared" si="0"/>
        <v>9.6910071953383616E-3</v>
      </c>
      <c r="L24" s="32"/>
      <c r="M24" s="106"/>
      <c r="N24" s="22" t="s">
        <v>261</v>
      </c>
      <c r="P24" s="22">
        <v>6000</v>
      </c>
      <c r="Q24" s="103" t="s">
        <v>277</v>
      </c>
      <c r="R24" s="103"/>
      <c r="S24" s="103"/>
    </row>
    <row r="25" spans="1:21" s="3" customFormat="1" ht="28.5" customHeight="1">
      <c r="A25" s="15">
        <v>24</v>
      </c>
      <c r="B25" s="29" t="s">
        <v>289</v>
      </c>
      <c r="C25" s="46">
        <v>40388260</v>
      </c>
      <c r="D25" s="31">
        <v>142400</v>
      </c>
      <c r="E25" s="31">
        <v>32</v>
      </c>
      <c r="F25" s="31">
        <v>86100</v>
      </c>
      <c r="G25" s="31">
        <v>21</v>
      </c>
      <c r="H25" s="31">
        <v>3800</v>
      </c>
      <c r="I25" s="31">
        <v>1</v>
      </c>
      <c r="J25" s="34">
        <f t="shared" si="1"/>
        <v>232300</v>
      </c>
      <c r="K25" s="44">
        <f t="shared" si="0"/>
        <v>5.7516714015409427E-3</v>
      </c>
      <c r="L25" s="32"/>
      <c r="M25" s="23" t="s">
        <v>290</v>
      </c>
      <c r="N25" s="22" t="s">
        <v>261</v>
      </c>
      <c r="P25" s="22">
        <v>3800</v>
      </c>
      <c r="Q25" s="103" t="s">
        <v>275</v>
      </c>
      <c r="R25" s="103"/>
      <c r="S25" s="103"/>
    </row>
    <row r="26" spans="1:21" s="3" customFormat="1" ht="28.5" customHeight="1">
      <c r="A26" s="15">
        <v>25</v>
      </c>
      <c r="B26" s="29" t="s">
        <v>291</v>
      </c>
      <c r="C26" s="46">
        <v>39132260</v>
      </c>
      <c r="D26" s="31">
        <v>57000</v>
      </c>
      <c r="E26" s="31">
        <v>7</v>
      </c>
      <c r="F26" s="32">
        <v>107800</v>
      </c>
      <c r="G26" s="32">
        <v>27</v>
      </c>
      <c r="H26" s="32">
        <v>25900</v>
      </c>
      <c r="I26" s="32">
        <v>5</v>
      </c>
      <c r="J26" s="34">
        <f t="shared" si="1"/>
        <v>190700</v>
      </c>
      <c r="K26" s="44">
        <f t="shared" si="0"/>
        <v>4.8732171359384818E-3</v>
      </c>
      <c r="L26" s="32"/>
      <c r="M26" s="106" t="s">
        <v>264</v>
      </c>
      <c r="N26" s="22" t="s">
        <v>261</v>
      </c>
      <c r="P26" s="22">
        <v>8000</v>
      </c>
      <c r="Q26" s="14" t="s">
        <v>265</v>
      </c>
      <c r="R26" s="103"/>
      <c r="S26" s="103"/>
    </row>
    <row r="27" spans="1:21" s="3" customFormat="1" ht="28.5" customHeight="1">
      <c r="A27" s="15">
        <v>26</v>
      </c>
      <c r="B27" s="29" t="s">
        <v>32</v>
      </c>
      <c r="C27" s="46">
        <v>100947910</v>
      </c>
      <c r="D27" s="31">
        <v>98900</v>
      </c>
      <c r="E27" s="31">
        <v>24</v>
      </c>
      <c r="F27" s="32">
        <v>121400</v>
      </c>
      <c r="G27" s="32">
        <v>28</v>
      </c>
      <c r="H27" s="32">
        <v>6000</v>
      </c>
      <c r="I27" s="32">
        <v>1</v>
      </c>
      <c r="J27" s="34">
        <f t="shared" si="1"/>
        <v>226300</v>
      </c>
      <c r="K27" s="44">
        <f t="shared" si="0"/>
        <v>2.24175022543805E-3</v>
      </c>
      <c r="L27" s="32"/>
      <c r="M27" s="106" t="s">
        <v>264</v>
      </c>
      <c r="N27" s="23" t="s">
        <v>274</v>
      </c>
      <c r="P27" s="22">
        <v>4000</v>
      </c>
      <c r="Q27" s="14" t="s">
        <v>275</v>
      </c>
      <c r="R27" s="103"/>
      <c r="S27" s="103"/>
    </row>
    <row r="28" spans="1:21" s="3" customFormat="1" ht="28.5" customHeight="1">
      <c r="A28" s="15">
        <v>28</v>
      </c>
      <c r="B28" s="189" t="s">
        <v>292</v>
      </c>
      <c r="C28" s="46">
        <v>112372210</v>
      </c>
      <c r="D28" s="100"/>
      <c r="E28" s="100"/>
      <c r="F28" s="101"/>
      <c r="G28" s="101"/>
      <c r="H28" s="101"/>
      <c r="I28" s="101"/>
      <c r="J28" s="34">
        <f t="shared" si="1"/>
        <v>0</v>
      </c>
      <c r="K28" s="44">
        <f t="shared" si="0"/>
        <v>0</v>
      </c>
      <c r="L28" s="101"/>
      <c r="M28" s="107"/>
      <c r="N28" s="22"/>
      <c r="P28" s="14"/>
      <c r="Q28" s="14"/>
      <c r="R28" s="14"/>
      <c r="S28" s="14"/>
    </row>
    <row r="29" spans="1:21" s="3" customFormat="1" ht="28.5" customHeight="1">
      <c r="A29" s="15">
        <v>29</v>
      </c>
      <c r="B29" s="29" t="s">
        <v>293</v>
      </c>
      <c r="C29" s="46">
        <v>93617543</v>
      </c>
      <c r="D29" s="31">
        <v>232000</v>
      </c>
      <c r="E29" s="31">
        <v>33</v>
      </c>
      <c r="F29" s="32">
        <v>105500</v>
      </c>
      <c r="G29" s="32">
        <v>26</v>
      </c>
      <c r="H29" s="32"/>
      <c r="I29" s="32"/>
      <c r="J29" s="34">
        <f t="shared" si="1"/>
        <v>337500</v>
      </c>
      <c r="K29" s="44">
        <f t="shared" si="0"/>
        <v>3.605093545341176E-3</v>
      </c>
      <c r="L29" s="32"/>
      <c r="M29" s="23"/>
      <c r="N29" s="23" t="s">
        <v>274</v>
      </c>
      <c r="P29" s="22">
        <v>4000</v>
      </c>
      <c r="Q29" s="103" t="s">
        <v>265</v>
      </c>
      <c r="R29" s="103"/>
      <c r="S29" s="103"/>
    </row>
    <row r="30" spans="1:21" s="3" customFormat="1" ht="28.5" customHeight="1">
      <c r="A30" s="15">
        <v>30</v>
      </c>
      <c r="B30" s="29" t="s">
        <v>294</v>
      </c>
      <c r="C30" s="46">
        <v>44147430</v>
      </c>
      <c r="D30" s="31">
        <v>86000</v>
      </c>
      <c r="E30" s="31">
        <v>21</v>
      </c>
      <c r="F30" s="32">
        <v>73400</v>
      </c>
      <c r="G30" s="32">
        <v>17</v>
      </c>
      <c r="H30" s="32"/>
      <c r="I30" s="32"/>
      <c r="J30" s="34">
        <f t="shared" si="1"/>
        <v>159400</v>
      </c>
      <c r="K30" s="44">
        <f t="shared" si="0"/>
        <v>3.610629203104235E-3</v>
      </c>
      <c r="L30" s="41"/>
      <c r="M30" s="23"/>
      <c r="N30" s="23" t="s">
        <v>274</v>
      </c>
      <c r="P30" s="22">
        <v>4000</v>
      </c>
      <c r="Q30" s="103" t="s">
        <v>275</v>
      </c>
      <c r="R30" s="14"/>
      <c r="S30" s="14"/>
    </row>
    <row r="31" spans="1:21" s="3" customFormat="1" ht="28.5" customHeight="1">
      <c r="A31" s="15">
        <v>31</v>
      </c>
      <c r="B31" s="189" t="s">
        <v>295</v>
      </c>
      <c r="C31" s="46">
        <v>38331300</v>
      </c>
      <c r="D31" s="100"/>
      <c r="E31" s="100"/>
      <c r="F31" s="101"/>
      <c r="G31" s="101"/>
      <c r="H31" s="101"/>
      <c r="I31" s="101"/>
      <c r="J31" s="34">
        <f t="shared" si="1"/>
        <v>0</v>
      </c>
      <c r="K31" s="44">
        <f t="shared" si="0"/>
        <v>0</v>
      </c>
      <c r="L31" s="101"/>
      <c r="M31" s="22"/>
      <c r="N31" s="22"/>
      <c r="P31" s="103"/>
      <c r="Q31" s="103"/>
      <c r="R31" s="103"/>
      <c r="S31" s="103"/>
    </row>
    <row r="32" spans="1:21" s="3" customFormat="1" ht="28.5" customHeight="1">
      <c r="A32" s="15">
        <v>32</v>
      </c>
      <c r="B32" s="189" t="s">
        <v>296</v>
      </c>
      <c r="C32" s="46">
        <v>95174970</v>
      </c>
      <c r="D32" s="100"/>
      <c r="E32" s="100"/>
      <c r="F32" s="101"/>
      <c r="G32" s="101"/>
      <c r="H32" s="101"/>
      <c r="I32" s="101"/>
      <c r="J32" s="34">
        <f t="shared" si="1"/>
        <v>0</v>
      </c>
      <c r="K32" s="44">
        <f t="shared" si="0"/>
        <v>0</v>
      </c>
      <c r="L32" s="102"/>
      <c r="M32" s="22"/>
      <c r="N32" s="22"/>
      <c r="P32" s="103"/>
      <c r="Q32" s="103"/>
      <c r="R32" s="103"/>
      <c r="S32" s="103"/>
    </row>
    <row r="33" spans="1:19" s="3" customFormat="1" ht="28.5" customHeight="1">
      <c r="A33" s="15">
        <v>33</v>
      </c>
      <c r="B33" s="29" t="s">
        <v>297</v>
      </c>
      <c r="C33" s="46">
        <v>78359960</v>
      </c>
      <c r="D33" s="13">
        <v>157500</v>
      </c>
      <c r="E33" s="13">
        <v>49</v>
      </c>
      <c r="F33" s="14">
        <v>197800</v>
      </c>
      <c r="G33" s="14">
        <v>60</v>
      </c>
      <c r="H33" s="14">
        <v>180500</v>
      </c>
      <c r="I33" s="14">
        <v>6</v>
      </c>
      <c r="J33" s="34">
        <f t="shared" si="1"/>
        <v>535800</v>
      </c>
      <c r="K33" s="44">
        <f t="shared" si="0"/>
        <v>6.8376757721673159E-3</v>
      </c>
      <c r="L33" s="41"/>
      <c r="M33" s="22" t="s">
        <v>298</v>
      </c>
      <c r="N33" s="22" t="s">
        <v>261</v>
      </c>
      <c r="P33" s="22">
        <v>4000</v>
      </c>
      <c r="Q33" s="103" t="s">
        <v>265</v>
      </c>
      <c r="R33" s="103"/>
      <c r="S33" s="103"/>
    </row>
    <row r="34" spans="1:19" s="3" customFormat="1" ht="28.5" customHeight="1">
      <c r="A34" s="15">
        <v>34</v>
      </c>
      <c r="B34" s="29" t="s">
        <v>299</v>
      </c>
      <c r="C34" s="46">
        <v>22557050</v>
      </c>
      <c r="D34" s="31">
        <v>10600</v>
      </c>
      <c r="E34" s="31">
        <v>3</v>
      </c>
      <c r="F34" s="32">
        <v>81400</v>
      </c>
      <c r="G34" s="32">
        <v>21</v>
      </c>
      <c r="H34" s="32"/>
      <c r="I34" s="32"/>
      <c r="J34" s="34">
        <f t="shared" si="1"/>
        <v>92000</v>
      </c>
      <c r="K34" s="44">
        <f t="shared" si="0"/>
        <v>4.0785475051037263E-3</v>
      </c>
      <c r="L34" s="41"/>
      <c r="M34" s="22"/>
      <c r="N34" s="22" t="s">
        <v>274</v>
      </c>
      <c r="P34" s="22">
        <v>3500</v>
      </c>
      <c r="Q34" s="103" t="s">
        <v>275</v>
      </c>
      <c r="R34" s="103"/>
      <c r="S34" s="103"/>
    </row>
    <row r="35" spans="1:19" s="3" customFormat="1" ht="28.5" customHeight="1">
      <c r="A35" s="15">
        <v>35</v>
      </c>
      <c r="B35" s="35" t="s">
        <v>300</v>
      </c>
      <c r="C35" s="46">
        <v>32932890</v>
      </c>
      <c r="D35" s="31">
        <v>191000</v>
      </c>
      <c r="E35" s="31">
        <v>36</v>
      </c>
      <c r="F35" s="32">
        <v>44570</v>
      </c>
      <c r="G35" s="32">
        <v>10</v>
      </c>
      <c r="H35" s="32">
        <v>4000</v>
      </c>
      <c r="I35" s="32">
        <v>2</v>
      </c>
      <c r="J35" s="34">
        <f t="shared" si="1"/>
        <v>239570</v>
      </c>
      <c r="K35" s="44">
        <f t="shared" si="0"/>
        <v>7.2744906383861241E-3</v>
      </c>
      <c r="L35" s="41"/>
      <c r="M35" s="22" t="s">
        <v>264</v>
      </c>
      <c r="N35" s="22" t="s">
        <v>274</v>
      </c>
      <c r="P35" s="22">
        <v>5000</v>
      </c>
      <c r="Q35" s="103" t="s">
        <v>265</v>
      </c>
      <c r="R35" s="103"/>
      <c r="S35" s="103"/>
    </row>
    <row r="36" spans="1:19" s="3" customFormat="1" ht="28.5" customHeight="1">
      <c r="A36" s="15">
        <v>36</v>
      </c>
      <c r="B36" s="58" t="s">
        <v>301</v>
      </c>
      <c r="C36" s="46">
        <v>109500810</v>
      </c>
      <c r="D36" s="58"/>
      <c r="E36" s="58"/>
      <c r="F36" s="58"/>
      <c r="G36" s="58"/>
      <c r="H36" s="58"/>
      <c r="I36" s="58"/>
      <c r="J36" s="108">
        <f t="shared" si="1"/>
        <v>0</v>
      </c>
      <c r="K36" s="44">
        <f t="shared" si="0"/>
        <v>0</v>
      </c>
      <c r="L36" s="101"/>
      <c r="M36" s="22"/>
      <c r="N36" s="22"/>
      <c r="P36" s="14"/>
      <c r="Q36" s="14"/>
      <c r="R36" s="14"/>
      <c r="S36" s="14"/>
    </row>
    <row r="37" spans="1:19" s="3" customFormat="1" ht="28.5" customHeight="1">
      <c r="A37" s="15">
        <v>37</v>
      </c>
      <c r="B37" s="35" t="s">
        <v>302</v>
      </c>
      <c r="C37" s="46">
        <v>23867453</v>
      </c>
      <c r="D37" s="32">
        <v>189100</v>
      </c>
      <c r="E37" s="32">
        <v>20</v>
      </c>
      <c r="F37" s="32">
        <v>54000</v>
      </c>
      <c r="G37" s="32">
        <v>14</v>
      </c>
      <c r="H37" s="109">
        <v>17000</v>
      </c>
      <c r="I37" s="32">
        <v>3</v>
      </c>
      <c r="J37" s="34">
        <f t="shared" si="1"/>
        <v>260100</v>
      </c>
      <c r="K37" s="44">
        <f t="shared" si="0"/>
        <v>1.0897685647479855E-2</v>
      </c>
      <c r="L37" s="41"/>
      <c r="M37" s="23" t="s">
        <v>303</v>
      </c>
      <c r="N37" s="22" t="s">
        <v>261</v>
      </c>
      <c r="P37" s="22">
        <v>6000</v>
      </c>
      <c r="Q37" s="103" t="s">
        <v>265</v>
      </c>
      <c r="R37" s="103"/>
      <c r="S37" s="103"/>
    </row>
    <row r="38" spans="1:19" s="3" customFormat="1" ht="28.5" customHeight="1">
      <c r="A38" s="15">
        <v>38</v>
      </c>
      <c r="B38" s="189" t="s">
        <v>11</v>
      </c>
      <c r="C38" s="46">
        <v>90772310</v>
      </c>
      <c r="D38" s="100"/>
      <c r="E38" s="100"/>
      <c r="F38" s="101"/>
      <c r="G38" s="101"/>
      <c r="H38" s="101"/>
      <c r="I38" s="101"/>
      <c r="J38" s="34">
        <f t="shared" si="1"/>
        <v>0</v>
      </c>
      <c r="K38" s="44">
        <f t="shared" si="0"/>
        <v>0</v>
      </c>
      <c r="L38" s="101"/>
      <c r="M38" s="22"/>
      <c r="N38" s="22"/>
      <c r="P38" s="103"/>
      <c r="Q38" s="103"/>
      <c r="R38" s="103"/>
      <c r="S38" s="103"/>
    </row>
    <row r="39" spans="1:19" s="3" customFormat="1" ht="28.5" customHeight="1">
      <c r="A39" s="15">
        <v>39</v>
      </c>
      <c r="B39" s="29" t="s">
        <v>33</v>
      </c>
      <c r="C39" s="46">
        <v>44928260</v>
      </c>
      <c r="D39" s="36">
        <v>135000</v>
      </c>
      <c r="E39" s="36">
        <v>16</v>
      </c>
      <c r="F39" s="36">
        <v>211750</v>
      </c>
      <c r="G39" s="36">
        <v>52</v>
      </c>
      <c r="H39" s="36">
        <v>20000</v>
      </c>
      <c r="I39" s="36">
        <v>1</v>
      </c>
      <c r="J39" s="34">
        <f t="shared" si="1"/>
        <v>366750</v>
      </c>
      <c r="K39" s="44">
        <f t="shared" si="0"/>
        <v>8.1630136577735268E-3</v>
      </c>
      <c r="L39" s="32"/>
      <c r="M39" s="22" t="s">
        <v>260</v>
      </c>
      <c r="N39" s="22"/>
      <c r="P39" s="22">
        <v>7000</v>
      </c>
      <c r="Q39" s="103" t="s">
        <v>262</v>
      </c>
      <c r="R39" s="103"/>
      <c r="S39" s="103"/>
    </row>
    <row r="40" spans="1:19" s="3" customFormat="1" ht="28.5" customHeight="1">
      <c r="A40" s="15">
        <v>40</v>
      </c>
      <c r="B40" s="29" t="s">
        <v>304</v>
      </c>
      <c r="C40" s="46">
        <v>61057270</v>
      </c>
      <c r="D40" s="36">
        <v>17500</v>
      </c>
      <c r="E40" s="36">
        <v>5</v>
      </c>
      <c r="F40" s="36">
        <v>155430</v>
      </c>
      <c r="G40" s="36">
        <v>38</v>
      </c>
      <c r="H40" s="36">
        <v>194950</v>
      </c>
      <c r="I40" s="36">
        <v>10</v>
      </c>
      <c r="J40" s="34">
        <f t="shared" si="1"/>
        <v>367880</v>
      </c>
      <c r="K40" s="44">
        <f>J40/C40</f>
        <v>6.0251629330954366E-3</v>
      </c>
      <c r="L40" s="32"/>
      <c r="M40" s="22" t="s">
        <v>305</v>
      </c>
      <c r="N40" s="22" t="s">
        <v>261</v>
      </c>
      <c r="P40" s="22">
        <v>3500</v>
      </c>
      <c r="Q40" s="103" t="s">
        <v>275</v>
      </c>
      <c r="R40" s="103"/>
      <c r="S40" s="103"/>
    </row>
    <row r="41" spans="1:19" s="3" customFormat="1" ht="28.5" customHeight="1">
      <c r="A41" s="15">
        <v>41</v>
      </c>
      <c r="B41" s="29" t="s">
        <v>306</v>
      </c>
      <c r="C41" s="46">
        <v>78763330</v>
      </c>
      <c r="D41" s="36"/>
      <c r="E41" s="36"/>
      <c r="F41" s="36">
        <v>235900</v>
      </c>
      <c r="G41" s="36">
        <v>45</v>
      </c>
      <c r="H41" s="36">
        <v>18500</v>
      </c>
      <c r="I41" s="36">
        <v>1</v>
      </c>
      <c r="J41" s="34">
        <f t="shared" si="1"/>
        <v>254400</v>
      </c>
      <c r="K41" s="44">
        <f t="shared" si="0"/>
        <v>3.2299294608290432E-3</v>
      </c>
      <c r="L41" s="32"/>
      <c r="M41" s="22" t="s">
        <v>307</v>
      </c>
      <c r="N41" s="22" t="s">
        <v>261</v>
      </c>
      <c r="P41" s="22">
        <v>4000</v>
      </c>
      <c r="Q41" s="103" t="s">
        <v>275</v>
      </c>
      <c r="R41" s="103"/>
      <c r="S41" s="103"/>
    </row>
    <row r="42" spans="1:19" s="3" customFormat="1" ht="28.5" customHeight="1">
      <c r="A42" s="15">
        <v>42</v>
      </c>
      <c r="B42" s="189" t="s">
        <v>308</v>
      </c>
      <c r="C42" s="46">
        <v>82111930</v>
      </c>
      <c r="D42" s="100"/>
      <c r="E42" s="100"/>
      <c r="F42" s="101"/>
      <c r="G42" s="101"/>
      <c r="H42" s="101"/>
      <c r="I42" s="101"/>
      <c r="J42" s="34">
        <f t="shared" si="1"/>
        <v>0</v>
      </c>
      <c r="K42" s="44">
        <f t="shared" si="0"/>
        <v>0</v>
      </c>
      <c r="L42" s="102"/>
      <c r="M42" s="22"/>
      <c r="N42" s="22"/>
      <c r="P42" s="103"/>
      <c r="Q42" s="103"/>
      <c r="R42" s="103"/>
      <c r="S42" s="103"/>
    </row>
    <row r="43" spans="1:19" s="3" customFormat="1" ht="28.5" customHeight="1">
      <c r="A43" s="15">
        <v>43</v>
      </c>
      <c r="B43" s="189" t="s">
        <v>309</v>
      </c>
      <c r="C43" s="46">
        <v>100085180</v>
      </c>
      <c r="D43" s="100"/>
      <c r="E43" s="100"/>
      <c r="F43" s="101"/>
      <c r="G43" s="101"/>
      <c r="H43" s="101"/>
      <c r="I43" s="101"/>
      <c r="J43" s="34">
        <f t="shared" si="1"/>
        <v>0</v>
      </c>
      <c r="K43" s="44">
        <f t="shared" si="0"/>
        <v>0</v>
      </c>
      <c r="L43" s="101"/>
      <c r="M43" s="22"/>
      <c r="N43" s="22"/>
      <c r="P43" s="103"/>
      <c r="Q43" s="103"/>
      <c r="R43" s="103"/>
      <c r="S43" s="103"/>
    </row>
    <row r="44" spans="1:19" s="3" customFormat="1" ht="28.5" customHeight="1">
      <c r="A44" s="15">
        <v>44</v>
      </c>
      <c r="B44" s="189" t="s">
        <v>310</v>
      </c>
      <c r="C44" s="46">
        <v>58659300</v>
      </c>
      <c r="D44" s="100"/>
      <c r="E44" s="100"/>
      <c r="F44" s="101"/>
      <c r="G44" s="101"/>
      <c r="H44" s="101"/>
      <c r="I44" s="101"/>
      <c r="J44" s="34">
        <f t="shared" si="1"/>
        <v>0</v>
      </c>
      <c r="K44" s="44">
        <f t="shared" si="0"/>
        <v>0</v>
      </c>
      <c r="L44" s="102"/>
      <c r="M44" s="22"/>
      <c r="N44" s="22"/>
      <c r="P44" s="103"/>
      <c r="Q44" s="103"/>
      <c r="R44" s="103"/>
      <c r="S44" s="103"/>
    </row>
    <row r="45" spans="1:19" s="3" customFormat="1" ht="28.5" customHeight="1">
      <c r="A45" s="15">
        <v>45</v>
      </c>
      <c r="B45" s="29" t="s">
        <v>311</v>
      </c>
      <c r="C45" s="46">
        <v>36175860</v>
      </c>
      <c r="D45" s="31">
        <v>400000</v>
      </c>
      <c r="E45" s="31">
        <v>110</v>
      </c>
      <c r="F45" s="32">
        <v>123970</v>
      </c>
      <c r="G45" s="32">
        <v>29</v>
      </c>
      <c r="H45" s="32"/>
      <c r="I45" s="32"/>
      <c r="J45" s="34">
        <f t="shared" si="1"/>
        <v>523970</v>
      </c>
      <c r="K45" s="44">
        <f t="shared" si="0"/>
        <v>1.4483968038354859E-2</v>
      </c>
      <c r="L45" s="41"/>
      <c r="M45" s="23"/>
      <c r="N45" s="22" t="s">
        <v>261</v>
      </c>
      <c r="P45" s="22">
        <v>4000</v>
      </c>
      <c r="Q45" s="23" t="s">
        <v>275</v>
      </c>
      <c r="R45" s="103"/>
      <c r="S45" s="103"/>
    </row>
    <row r="46" spans="1:19" s="3" customFormat="1" ht="28.5" customHeight="1">
      <c r="A46" s="15">
        <v>46</v>
      </c>
      <c r="B46" s="29" t="s">
        <v>312</v>
      </c>
      <c r="C46" s="46">
        <v>63081880</v>
      </c>
      <c r="D46" s="31">
        <v>20500</v>
      </c>
      <c r="E46" s="31">
        <v>4</v>
      </c>
      <c r="F46" s="32">
        <v>117360</v>
      </c>
      <c r="G46" s="32">
        <v>28</v>
      </c>
      <c r="H46" s="32">
        <v>3000</v>
      </c>
      <c r="I46" s="32">
        <v>1</v>
      </c>
      <c r="J46" s="34">
        <f t="shared" si="1"/>
        <v>140860</v>
      </c>
      <c r="K46" s="44">
        <f t="shared" si="0"/>
        <v>2.2329708626312342E-3</v>
      </c>
      <c r="L46" s="32"/>
      <c r="M46" s="24" t="s">
        <v>313</v>
      </c>
      <c r="N46" s="22" t="s">
        <v>274</v>
      </c>
      <c r="P46" s="22">
        <v>5000</v>
      </c>
      <c r="Q46" s="23" t="s">
        <v>275</v>
      </c>
      <c r="R46" s="14"/>
      <c r="S46" s="14"/>
    </row>
    <row r="47" spans="1:19" s="3" customFormat="1" ht="28.5" customHeight="1">
      <c r="A47" s="15">
        <v>47</v>
      </c>
      <c r="B47" s="29" t="s">
        <v>314</v>
      </c>
      <c r="C47" s="46">
        <v>44562400</v>
      </c>
      <c r="D47" s="31"/>
      <c r="E47" s="31"/>
      <c r="F47" s="32">
        <v>39200</v>
      </c>
      <c r="G47" s="32">
        <v>10</v>
      </c>
      <c r="H47" s="32">
        <v>8000</v>
      </c>
      <c r="I47" s="32">
        <v>1</v>
      </c>
      <c r="J47" s="34">
        <f t="shared" si="1"/>
        <v>47200</v>
      </c>
      <c r="K47" s="44">
        <f t="shared" si="0"/>
        <v>1.0591889126258908E-3</v>
      </c>
      <c r="L47" s="32"/>
      <c r="M47" s="24"/>
      <c r="N47" s="22" t="s">
        <v>274</v>
      </c>
      <c r="P47" s="22">
        <v>4000</v>
      </c>
      <c r="Q47" s="110" t="s">
        <v>275</v>
      </c>
      <c r="R47" s="110"/>
      <c r="S47" s="110"/>
    </row>
    <row r="48" spans="1:19" s="3" customFormat="1" ht="28.5" customHeight="1">
      <c r="A48" s="15">
        <v>48</v>
      </c>
      <c r="B48" s="29" t="s">
        <v>315</v>
      </c>
      <c r="C48" s="46">
        <v>73733010</v>
      </c>
      <c r="D48" s="31">
        <v>290000</v>
      </c>
      <c r="E48" s="31">
        <v>58</v>
      </c>
      <c r="F48" s="32">
        <v>269630</v>
      </c>
      <c r="G48" s="32">
        <v>67</v>
      </c>
      <c r="H48" s="32"/>
      <c r="I48" s="32"/>
      <c r="J48" s="34">
        <f t="shared" si="1"/>
        <v>559630</v>
      </c>
      <c r="K48" s="44">
        <f t="shared" si="0"/>
        <v>7.58995190892112E-3</v>
      </c>
      <c r="L48" s="32"/>
      <c r="M48" s="23"/>
      <c r="N48" s="22" t="s">
        <v>274</v>
      </c>
      <c r="P48" s="22">
        <v>4000</v>
      </c>
      <c r="Q48" s="110" t="s">
        <v>275</v>
      </c>
      <c r="R48" s="14"/>
      <c r="S48" s="14"/>
    </row>
    <row r="49" spans="1:19" s="3" customFormat="1" ht="28.5" customHeight="1">
      <c r="A49" s="15">
        <v>49</v>
      </c>
      <c r="B49" s="29" t="s">
        <v>316</v>
      </c>
      <c r="C49" s="46">
        <v>45008800</v>
      </c>
      <c r="D49" s="31">
        <v>296000</v>
      </c>
      <c r="E49" s="31">
        <v>290</v>
      </c>
      <c r="F49" s="32">
        <v>90170</v>
      </c>
      <c r="G49" s="32">
        <v>22</v>
      </c>
      <c r="H49" s="32"/>
      <c r="I49" s="32"/>
      <c r="J49" s="34">
        <f t="shared" si="1"/>
        <v>386170</v>
      </c>
      <c r="K49" s="44">
        <f t="shared" si="0"/>
        <v>8.5798777128028303E-3</v>
      </c>
      <c r="L49" s="32"/>
      <c r="M49" s="23"/>
      <c r="N49" s="22" t="s">
        <v>274</v>
      </c>
      <c r="P49" s="22">
        <v>10000</v>
      </c>
      <c r="Q49" s="14" t="s">
        <v>317</v>
      </c>
      <c r="R49" s="14"/>
      <c r="S49" s="14"/>
    </row>
    <row r="50" spans="1:19" s="3" customFormat="1" ht="28.5" customHeight="1">
      <c r="A50" s="15">
        <v>50</v>
      </c>
      <c r="B50" s="29" t="s">
        <v>35</v>
      </c>
      <c r="C50" s="46">
        <v>68092010</v>
      </c>
      <c r="D50" s="31">
        <v>397500</v>
      </c>
      <c r="E50" s="31">
        <v>71</v>
      </c>
      <c r="F50" s="31">
        <v>251070</v>
      </c>
      <c r="G50" s="31">
        <v>49</v>
      </c>
      <c r="H50" s="32"/>
      <c r="I50" s="32"/>
      <c r="J50" s="34">
        <f t="shared" si="1"/>
        <v>648570</v>
      </c>
      <c r="K50" s="44">
        <f t="shared" si="0"/>
        <v>9.5249060792888911E-3</v>
      </c>
      <c r="L50" s="32"/>
      <c r="M50" s="23"/>
      <c r="N50" s="22" t="s">
        <v>261</v>
      </c>
      <c r="P50" s="22">
        <v>5500</v>
      </c>
      <c r="Q50" s="14" t="s">
        <v>262</v>
      </c>
      <c r="R50" s="14"/>
      <c r="S50" s="14"/>
    </row>
    <row r="51" spans="1:19" s="3" customFormat="1" ht="28.5" customHeight="1">
      <c r="A51" s="15">
        <v>51</v>
      </c>
      <c r="B51" s="190" t="s">
        <v>318</v>
      </c>
      <c r="C51" s="46">
        <v>85704790</v>
      </c>
      <c r="D51" s="111"/>
      <c r="E51" s="111"/>
      <c r="F51" s="112"/>
      <c r="G51" s="112"/>
      <c r="H51" s="112"/>
      <c r="I51" s="112"/>
      <c r="J51" s="34">
        <f t="shared" si="1"/>
        <v>0</v>
      </c>
      <c r="K51" s="44">
        <f t="shared" si="0"/>
        <v>0</v>
      </c>
      <c r="L51" s="101"/>
      <c r="M51" s="25"/>
      <c r="N51" s="23"/>
      <c r="P51" s="14"/>
      <c r="Q51" s="14"/>
      <c r="R51" s="14"/>
      <c r="S51" s="14"/>
    </row>
    <row r="52" spans="1:19" s="3" customFormat="1" ht="28.5" customHeight="1">
      <c r="A52" s="15">
        <v>52</v>
      </c>
      <c r="B52" s="29" t="s">
        <v>319</v>
      </c>
      <c r="C52" s="46">
        <v>66291746</v>
      </c>
      <c r="D52" s="35">
        <v>732500</v>
      </c>
      <c r="E52" s="35">
        <v>155</v>
      </c>
      <c r="F52" s="35">
        <v>150700</v>
      </c>
      <c r="G52" s="35">
        <v>33</v>
      </c>
      <c r="H52" s="35"/>
      <c r="I52" s="35"/>
      <c r="J52" s="108">
        <f t="shared" si="1"/>
        <v>883200</v>
      </c>
      <c r="K52" s="44">
        <f t="shared" si="0"/>
        <v>1.3322925602231084E-2</v>
      </c>
      <c r="L52" s="41"/>
      <c r="M52" s="25"/>
      <c r="N52" s="22" t="s">
        <v>274</v>
      </c>
      <c r="P52" s="22">
        <v>4000</v>
      </c>
      <c r="Q52" s="103" t="s">
        <v>265</v>
      </c>
      <c r="R52" s="103"/>
      <c r="S52" s="103"/>
    </row>
    <row r="53" spans="1:19" s="3" customFormat="1" ht="28.5" customHeight="1">
      <c r="A53" s="15">
        <v>53</v>
      </c>
      <c r="B53" s="29" t="s">
        <v>14</v>
      </c>
      <c r="C53" s="46">
        <v>39410900</v>
      </c>
      <c r="D53" s="31">
        <v>373000</v>
      </c>
      <c r="E53" s="31">
        <v>66</v>
      </c>
      <c r="F53" s="31">
        <v>82100</v>
      </c>
      <c r="G53" s="31">
        <v>20</v>
      </c>
      <c r="H53" s="32"/>
      <c r="I53" s="32"/>
      <c r="J53" s="34">
        <f t="shared" si="1"/>
        <v>455100</v>
      </c>
      <c r="K53" s="44">
        <f t="shared" si="0"/>
        <v>1.1547566789898225E-2</v>
      </c>
      <c r="L53" s="41"/>
      <c r="M53" s="23"/>
      <c r="N53" s="22" t="s">
        <v>274</v>
      </c>
      <c r="P53" s="22">
        <v>5000</v>
      </c>
      <c r="Q53" s="103" t="s">
        <v>275</v>
      </c>
      <c r="R53" s="103"/>
      <c r="S53" s="103"/>
    </row>
    <row r="54" spans="1:19" s="3" customFormat="1" ht="28.5" customHeight="1">
      <c r="A54" s="15">
        <v>54</v>
      </c>
      <c r="B54" s="189" t="s">
        <v>320</v>
      </c>
      <c r="C54" s="46">
        <v>86517510</v>
      </c>
      <c r="D54" s="100"/>
      <c r="E54" s="100"/>
      <c r="F54" s="101"/>
      <c r="G54" s="101"/>
      <c r="H54" s="101"/>
      <c r="I54" s="101"/>
      <c r="J54" s="34">
        <f t="shared" si="1"/>
        <v>0</v>
      </c>
      <c r="K54" s="44">
        <f t="shared" si="0"/>
        <v>0</v>
      </c>
      <c r="L54" s="101"/>
      <c r="M54" s="23"/>
      <c r="N54" s="23"/>
      <c r="P54" s="23"/>
      <c r="Q54" s="23"/>
      <c r="R54" s="23"/>
      <c r="S54" s="23"/>
    </row>
    <row r="55" spans="1:19" s="3" customFormat="1" ht="28.5" customHeight="1">
      <c r="A55" s="15">
        <v>55</v>
      </c>
      <c r="B55" s="29" t="s">
        <v>36</v>
      </c>
      <c r="C55" s="46">
        <v>12101600</v>
      </c>
      <c r="D55" s="31">
        <v>155100</v>
      </c>
      <c r="E55" s="31">
        <v>40</v>
      </c>
      <c r="F55" s="32">
        <v>17200</v>
      </c>
      <c r="G55" s="32">
        <v>4</v>
      </c>
      <c r="H55" s="32">
        <v>6400</v>
      </c>
      <c r="I55" s="32">
        <v>2</v>
      </c>
      <c r="J55" s="34">
        <f t="shared" si="1"/>
        <v>178700</v>
      </c>
      <c r="K55" s="44">
        <f t="shared" si="0"/>
        <v>1.476664242744761E-2</v>
      </c>
      <c r="L55" s="32"/>
      <c r="M55" s="23" t="s">
        <v>321</v>
      </c>
      <c r="N55" s="22" t="s">
        <v>274</v>
      </c>
      <c r="P55" s="22">
        <v>4000</v>
      </c>
      <c r="Q55" s="103" t="s">
        <v>265</v>
      </c>
      <c r="R55" s="23"/>
      <c r="S55" s="23"/>
    </row>
    <row r="56" spans="1:19" s="3" customFormat="1" ht="28.5" customHeight="1">
      <c r="A56" s="15">
        <v>56</v>
      </c>
      <c r="B56" s="189" t="s">
        <v>322</v>
      </c>
      <c r="C56" s="46">
        <v>75037830</v>
      </c>
      <c r="D56" s="100"/>
      <c r="E56" s="100"/>
      <c r="F56" s="101"/>
      <c r="G56" s="101"/>
      <c r="H56" s="101"/>
      <c r="I56" s="101"/>
      <c r="J56" s="34">
        <f t="shared" si="1"/>
        <v>0</v>
      </c>
      <c r="K56" s="44">
        <f t="shared" si="0"/>
        <v>0</v>
      </c>
      <c r="L56" s="102"/>
      <c r="M56" s="22"/>
      <c r="N56" s="22"/>
      <c r="P56" s="22"/>
      <c r="Q56" s="22"/>
      <c r="R56" s="22"/>
      <c r="S56" s="22"/>
    </row>
    <row r="57" spans="1:19" s="3" customFormat="1" ht="28.5" customHeight="1">
      <c r="A57" s="15">
        <v>57</v>
      </c>
      <c r="B57" s="189" t="s">
        <v>323</v>
      </c>
      <c r="C57" s="46">
        <v>42181910</v>
      </c>
      <c r="D57" s="100"/>
      <c r="E57" s="100"/>
      <c r="F57" s="101"/>
      <c r="G57" s="101"/>
      <c r="H57" s="101"/>
      <c r="I57" s="101"/>
      <c r="J57" s="34">
        <f t="shared" si="1"/>
        <v>0</v>
      </c>
      <c r="K57" s="44">
        <f t="shared" si="0"/>
        <v>0</v>
      </c>
      <c r="L57" s="101"/>
      <c r="M57" s="23"/>
      <c r="N57" s="23"/>
      <c r="P57" s="23"/>
      <c r="Q57" s="23"/>
      <c r="R57" s="23"/>
      <c r="S57" s="23"/>
    </row>
    <row r="58" spans="1:19" s="3" customFormat="1" ht="28.5" customHeight="1">
      <c r="A58" s="15">
        <v>58</v>
      </c>
      <c r="B58" s="29" t="s">
        <v>324</v>
      </c>
      <c r="C58" s="46">
        <v>51280260</v>
      </c>
      <c r="D58" s="31">
        <v>547070</v>
      </c>
      <c r="E58" s="31">
        <v>104</v>
      </c>
      <c r="F58" s="32">
        <v>88770</v>
      </c>
      <c r="G58" s="32">
        <v>21</v>
      </c>
      <c r="H58" s="32">
        <v>82510</v>
      </c>
      <c r="I58" s="32">
        <v>4</v>
      </c>
      <c r="J58" s="34">
        <f t="shared" si="1"/>
        <v>718350</v>
      </c>
      <c r="K58" s="44">
        <f t="shared" si="0"/>
        <v>1.4008314310418863E-2</v>
      </c>
      <c r="L58" s="41"/>
      <c r="M58" s="22" t="s">
        <v>325</v>
      </c>
      <c r="N58" s="22" t="s">
        <v>274</v>
      </c>
      <c r="P58" s="22">
        <v>5000</v>
      </c>
      <c r="Q58" s="22" t="s">
        <v>265</v>
      </c>
      <c r="R58" s="22"/>
      <c r="S58" s="22"/>
    </row>
    <row r="59" spans="1:19" s="3" customFormat="1" ht="28.5" customHeight="1">
      <c r="A59" s="15">
        <v>59</v>
      </c>
      <c r="B59" s="29" t="s">
        <v>37</v>
      </c>
      <c r="C59" s="46">
        <v>23135200</v>
      </c>
      <c r="D59" s="31">
        <v>166900</v>
      </c>
      <c r="E59" s="31">
        <v>39</v>
      </c>
      <c r="F59" s="32">
        <v>81100</v>
      </c>
      <c r="G59" s="32">
        <v>20</v>
      </c>
      <c r="H59" s="32"/>
      <c r="I59" s="32"/>
      <c r="J59" s="34">
        <f t="shared" si="1"/>
        <v>248000</v>
      </c>
      <c r="K59" s="44">
        <f t="shared" si="0"/>
        <v>1.0719596113281925E-2</v>
      </c>
      <c r="L59" s="41"/>
      <c r="M59" s="22"/>
      <c r="N59" s="22" t="s">
        <v>261</v>
      </c>
      <c r="P59" s="22">
        <v>4000</v>
      </c>
      <c r="Q59" s="103" t="s">
        <v>275</v>
      </c>
      <c r="R59" s="22"/>
      <c r="S59" s="22"/>
    </row>
    <row r="60" spans="1:19" s="3" customFormat="1" ht="28.5" customHeight="1">
      <c r="A60" s="15">
        <v>60</v>
      </c>
      <c r="B60" s="29" t="s">
        <v>326</v>
      </c>
      <c r="C60" s="46">
        <v>40264090</v>
      </c>
      <c r="D60" s="31">
        <v>668000</v>
      </c>
      <c r="E60" s="31">
        <v>116</v>
      </c>
      <c r="F60" s="31">
        <v>82370</v>
      </c>
      <c r="G60" s="31">
        <v>20</v>
      </c>
      <c r="H60" s="31"/>
      <c r="I60" s="31"/>
      <c r="J60" s="34">
        <f t="shared" si="1"/>
        <v>750370</v>
      </c>
      <c r="K60" s="44">
        <f t="shared" si="0"/>
        <v>1.8636209088545151E-2</v>
      </c>
      <c r="L60" s="32"/>
      <c r="M60" s="23"/>
      <c r="N60" s="22" t="s">
        <v>261</v>
      </c>
      <c r="P60" s="22">
        <v>5000</v>
      </c>
      <c r="Q60" s="103" t="s">
        <v>275</v>
      </c>
      <c r="R60" s="23"/>
      <c r="S60" s="23"/>
    </row>
    <row r="61" spans="1:19" s="3" customFormat="1" ht="28.5" customHeight="1">
      <c r="A61" s="15">
        <v>61</v>
      </c>
      <c r="B61" s="29" t="s">
        <v>327</v>
      </c>
      <c r="C61" s="46">
        <v>70991400</v>
      </c>
      <c r="D61" s="31">
        <v>804000</v>
      </c>
      <c r="E61" s="31">
        <v>161</v>
      </c>
      <c r="F61" s="32">
        <v>145930</v>
      </c>
      <c r="G61" s="32">
        <v>36</v>
      </c>
      <c r="H61" s="32">
        <v>11500</v>
      </c>
      <c r="I61" s="32">
        <v>3</v>
      </c>
      <c r="J61" s="34">
        <f t="shared" si="1"/>
        <v>961430</v>
      </c>
      <c r="K61" s="44">
        <f t="shared" si="0"/>
        <v>1.3542908014210172E-2</v>
      </c>
      <c r="L61" s="32"/>
      <c r="M61" s="23" t="s">
        <v>328</v>
      </c>
      <c r="N61" s="22" t="s">
        <v>261</v>
      </c>
      <c r="P61" s="22">
        <v>5000</v>
      </c>
      <c r="Q61" s="103" t="s">
        <v>275</v>
      </c>
      <c r="R61" s="23"/>
      <c r="S61" s="23"/>
    </row>
    <row r="62" spans="1:19" s="3" customFormat="1" ht="28.5" customHeight="1">
      <c r="A62" s="15">
        <v>62</v>
      </c>
      <c r="B62" s="29" t="s">
        <v>38</v>
      </c>
      <c r="C62" s="46">
        <v>20299160</v>
      </c>
      <c r="D62" s="31">
        <v>168400</v>
      </c>
      <c r="E62" s="31">
        <v>73</v>
      </c>
      <c r="F62" s="32">
        <v>105200</v>
      </c>
      <c r="G62" s="32">
        <v>25</v>
      </c>
      <c r="H62" s="32"/>
      <c r="I62" s="32"/>
      <c r="J62" s="34">
        <f t="shared" si="1"/>
        <v>273600</v>
      </c>
      <c r="K62" s="44">
        <f t="shared" si="0"/>
        <v>1.3478390238807911E-2</v>
      </c>
      <c r="L62" s="32"/>
      <c r="M62" s="106"/>
      <c r="N62" s="22" t="s">
        <v>274</v>
      </c>
      <c r="P62" s="22">
        <v>3300</v>
      </c>
      <c r="Q62" s="103" t="s">
        <v>275</v>
      </c>
      <c r="R62" s="23"/>
      <c r="S62" s="23"/>
    </row>
    <row r="63" spans="1:19" s="3" customFormat="1" ht="28.5" customHeight="1">
      <c r="A63" s="15">
        <v>63</v>
      </c>
      <c r="B63" s="189" t="s">
        <v>329</v>
      </c>
      <c r="C63" s="46">
        <v>60312160</v>
      </c>
      <c r="D63" s="100"/>
      <c r="E63" s="100"/>
      <c r="F63" s="101"/>
      <c r="G63" s="101"/>
      <c r="H63" s="101"/>
      <c r="I63" s="101"/>
      <c r="J63" s="34">
        <f t="shared" si="1"/>
        <v>0</v>
      </c>
      <c r="K63" s="44">
        <f t="shared" si="0"/>
        <v>0</v>
      </c>
      <c r="L63" s="101"/>
      <c r="M63" s="23"/>
      <c r="N63" s="23"/>
      <c r="P63" s="23"/>
      <c r="Q63" s="23"/>
      <c r="R63" s="23"/>
      <c r="S63" s="23"/>
    </row>
    <row r="64" spans="1:19" s="3" customFormat="1" ht="28.5" customHeight="1">
      <c r="A64" s="15">
        <v>64</v>
      </c>
      <c r="B64" s="29" t="s">
        <v>330</v>
      </c>
      <c r="C64" s="46">
        <v>26045190</v>
      </c>
      <c r="D64" s="31">
        <v>309500</v>
      </c>
      <c r="E64" s="31">
        <v>80</v>
      </c>
      <c r="F64" s="32">
        <v>43600</v>
      </c>
      <c r="G64" s="32">
        <v>10</v>
      </c>
      <c r="H64" s="32"/>
      <c r="I64" s="32"/>
      <c r="J64" s="34">
        <f t="shared" si="1"/>
        <v>353100</v>
      </c>
      <c r="K64" s="44">
        <f t="shared" si="0"/>
        <v>1.3557205764288914E-2</v>
      </c>
      <c r="L64" s="32"/>
      <c r="M64" s="23"/>
      <c r="N64" s="22" t="s">
        <v>261</v>
      </c>
      <c r="P64" s="22">
        <v>4000</v>
      </c>
      <c r="Q64" s="23" t="s">
        <v>265</v>
      </c>
      <c r="R64" s="23"/>
      <c r="S64" s="23"/>
    </row>
    <row r="65" spans="1:19" s="3" customFormat="1" ht="28.5" customHeight="1">
      <c r="A65" s="15">
        <v>65</v>
      </c>
      <c r="B65" s="29" t="s">
        <v>331</v>
      </c>
      <c r="C65" s="46">
        <v>32094490</v>
      </c>
      <c r="D65" s="31">
        <v>291100</v>
      </c>
      <c r="E65" s="31">
        <v>64</v>
      </c>
      <c r="F65" s="32">
        <v>39000</v>
      </c>
      <c r="G65" s="32">
        <v>10</v>
      </c>
      <c r="H65" s="32"/>
      <c r="I65" s="32"/>
      <c r="J65" s="34">
        <f t="shared" si="1"/>
        <v>330100</v>
      </c>
      <c r="K65" s="44">
        <f t="shared" si="0"/>
        <v>1.02852545717349E-2</v>
      </c>
      <c r="L65" s="32"/>
      <c r="M65" s="23"/>
      <c r="N65" s="22" t="s">
        <v>261</v>
      </c>
      <c r="P65" s="22">
        <v>4000</v>
      </c>
      <c r="Q65" s="23" t="s">
        <v>275</v>
      </c>
      <c r="R65" s="23"/>
      <c r="S65" s="23"/>
    </row>
    <row r="66" spans="1:19" s="3" customFormat="1" ht="28.5" customHeight="1">
      <c r="A66" s="15">
        <v>66</v>
      </c>
      <c r="B66" s="29" t="s">
        <v>332</v>
      </c>
      <c r="C66" s="46">
        <v>20253020</v>
      </c>
      <c r="D66" s="31">
        <v>175020</v>
      </c>
      <c r="E66" s="31">
        <v>38</v>
      </c>
      <c r="F66" s="32">
        <v>53000</v>
      </c>
      <c r="G66" s="32">
        <v>13</v>
      </c>
      <c r="H66" s="32"/>
      <c r="I66" s="32"/>
      <c r="J66" s="34">
        <f t="shared" si="1"/>
        <v>228020</v>
      </c>
      <c r="K66" s="44">
        <f t="shared" si="0"/>
        <v>1.1258567858028087E-2</v>
      </c>
      <c r="L66" s="32"/>
      <c r="M66" s="23"/>
      <c r="N66" s="22" t="s">
        <v>274</v>
      </c>
      <c r="P66" s="22">
        <v>4500</v>
      </c>
      <c r="Q66" s="23" t="s">
        <v>265</v>
      </c>
      <c r="R66" s="23"/>
      <c r="S66" s="23"/>
    </row>
    <row r="67" spans="1:19" s="3" customFormat="1" ht="28.5" customHeight="1">
      <c r="A67" s="15">
        <v>67</v>
      </c>
      <c r="B67" s="37" t="s">
        <v>333</v>
      </c>
      <c r="C67" s="46">
        <v>40229800</v>
      </c>
      <c r="D67" s="113">
        <v>609100</v>
      </c>
      <c r="E67" s="38">
        <v>143</v>
      </c>
      <c r="F67" s="39">
        <v>217330</v>
      </c>
      <c r="G67" s="39">
        <v>53</v>
      </c>
      <c r="H67" s="39"/>
      <c r="I67" s="39"/>
      <c r="J67" s="34">
        <f t="shared" si="1"/>
        <v>826430</v>
      </c>
      <c r="K67" s="44">
        <f t="shared" si="0"/>
        <v>2.0542732004633382E-2</v>
      </c>
      <c r="L67" s="32"/>
      <c r="M67" s="23"/>
      <c r="N67" s="22" t="s">
        <v>261</v>
      </c>
      <c r="P67" s="22">
        <v>4000</v>
      </c>
      <c r="Q67" s="23" t="s">
        <v>265</v>
      </c>
      <c r="R67" s="23"/>
      <c r="S67" s="23"/>
    </row>
    <row r="68" spans="1:19" s="3" customFormat="1" ht="28.5" customHeight="1">
      <c r="A68" s="15">
        <v>68</v>
      </c>
      <c r="B68" s="189" t="s">
        <v>334</v>
      </c>
      <c r="C68" s="46"/>
      <c r="D68" s="100"/>
      <c r="E68" s="100"/>
      <c r="F68" s="101"/>
      <c r="G68" s="101"/>
      <c r="H68" s="101"/>
      <c r="I68" s="101"/>
      <c r="J68" s="34">
        <f t="shared" si="1"/>
        <v>0</v>
      </c>
      <c r="K68" s="44" t="e">
        <f>J68/C68</f>
        <v>#DIV/0!</v>
      </c>
      <c r="L68" s="32"/>
      <c r="M68" s="23"/>
      <c r="N68" s="22"/>
      <c r="P68" s="22"/>
      <c r="Q68" s="23"/>
      <c r="R68" s="23"/>
      <c r="S68" s="23"/>
    </row>
    <row r="69" spans="1:19" s="3" customFormat="1" ht="28.5" customHeight="1">
      <c r="A69" s="15">
        <v>69</v>
      </c>
      <c r="B69" s="29" t="s">
        <v>335</v>
      </c>
      <c r="C69" s="46">
        <v>25084740</v>
      </c>
      <c r="D69" s="39">
        <v>659600</v>
      </c>
      <c r="E69" s="39">
        <v>159</v>
      </c>
      <c r="F69" s="39">
        <v>108700</v>
      </c>
      <c r="G69" s="39">
        <v>23</v>
      </c>
      <c r="H69" s="39">
        <v>7900</v>
      </c>
      <c r="I69" s="39">
        <v>1</v>
      </c>
      <c r="J69" s="34">
        <f t="shared" si="1"/>
        <v>776200</v>
      </c>
      <c r="K69" s="44">
        <f>J69/C69</f>
        <v>3.0943115216661606E-2</v>
      </c>
      <c r="L69" s="32"/>
      <c r="M69" s="23" t="s">
        <v>336</v>
      </c>
      <c r="N69" s="22" t="s">
        <v>274</v>
      </c>
      <c r="P69" s="22">
        <v>4000</v>
      </c>
      <c r="Q69" s="23" t="s">
        <v>275</v>
      </c>
      <c r="R69" s="23"/>
      <c r="S69" s="23"/>
    </row>
    <row r="70" spans="1:19" s="3" customFormat="1" ht="28.5" customHeight="1" thickBot="1">
      <c r="A70" s="15">
        <v>70</v>
      </c>
      <c r="B70" s="189" t="s">
        <v>337</v>
      </c>
      <c r="C70" s="46">
        <v>81594780</v>
      </c>
      <c r="D70" s="100"/>
      <c r="E70" s="100"/>
      <c r="F70" s="101"/>
      <c r="G70" s="101"/>
      <c r="H70" s="101"/>
      <c r="I70" s="101"/>
      <c r="J70" s="34">
        <f>SUM(D70,F70,H70)</f>
        <v>0</v>
      </c>
      <c r="K70" s="44">
        <f t="shared" si="0"/>
        <v>0</v>
      </c>
      <c r="L70" s="101"/>
      <c r="M70" s="23"/>
      <c r="N70" s="23"/>
      <c r="P70" s="23"/>
      <c r="Q70" s="23"/>
      <c r="R70" s="23"/>
      <c r="S70" s="23"/>
    </row>
    <row r="71" spans="1:19" s="3" customFormat="1" ht="28.5" customHeight="1" thickBot="1">
      <c r="A71" s="191"/>
      <c r="B71" s="26" t="s">
        <v>338</v>
      </c>
      <c r="C71" s="43">
        <f>SUM(C3:C70)</f>
        <v>3561041622</v>
      </c>
      <c r="D71" s="43">
        <f t="shared" ref="D71:J71" si="2">SUM(D3:D70)</f>
        <v>10298140</v>
      </c>
      <c r="E71" s="43">
        <f t="shared" si="2"/>
        <v>2448</v>
      </c>
      <c r="F71" s="43">
        <f t="shared" si="2"/>
        <v>5941260</v>
      </c>
      <c r="G71" s="43">
        <f t="shared" si="2"/>
        <v>1405</v>
      </c>
      <c r="H71" s="43">
        <f t="shared" si="2"/>
        <v>676490</v>
      </c>
      <c r="I71" s="43">
        <f t="shared" si="2"/>
        <v>54</v>
      </c>
      <c r="J71" s="43">
        <f t="shared" si="2"/>
        <v>16915890</v>
      </c>
      <c r="K71" s="50">
        <f>J71/C71</f>
        <v>4.750264612324152E-3</v>
      </c>
      <c r="L71" s="59"/>
      <c r="M71" s="18"/>
    </row>
    <row r="72" spans="1:19" ht="28.5" customHeight="1">
      <c r="C72" s="7" t="b">
        <v>0</v>
      </c>
      <c r="J72" s="16"/>
      <c r="K72" s="16"/>
      <c r="L72" s="21"/>
      <c r="P72" s="6"/>
      <c r="Q72" s="6"/>
      <c r="R72" s="6"/>
      <c r="S72" s="6"/>
    </row>
    <row r="73" spans="1:19" ht="37.5" customHeight="1">
      <c r="B73" s="91"/>
      <c r="C73" s="91" t="s">
        <v>339</v>
      </c>
      <c r="D73" s="92" t="s">
        <v>340</v>
      </c>
      <c r="E73" s="92" t="s">
        <v>341</v>
      </c>
      <c r="F73" s="92" t="s">
        <v>342</v>
      </c>
      <c r="G73" s="92" t="s">
        <v>341</v>
      </c>
      <c r="H73" s="92" t="s">
        <v>343</v>
      </c>
      <c r="I73" s="92" t="s">
        <v>341</v>
      </c>
      <c r="J73" s="93" t="s">
        <v>344</v>
      </c>
      <c r="K73" s="94" t="s">
        <v>345</v>
      </c>
      <c r="L73" s="21"/>
      <c r="P73" s="6"/>
      <c r="Q73" s="6"/>
      <c r="R73" s="6"/>
      <c r="S73" s="6"/>
    </row>
    <row r="74" spans="1:19" ht="28.5" customHeight="1">
      <c r="B74" s="95" t="s">
        <v>346</v>
      </c>
      <c r="C74" s="96">
        <f t="shared" ref="C74:J74" si="3">SUM(C75:C86)</f>
        <v>11703745900</v>
      </c>
      <c r="D74" s="96">
        <f t="shared" si="3"/>
        <v>36241600</v>
      </c>
      <c r="E74" s="96">
        <f t="shared" si="3"/>
        <v>7639</v>
      </c>
      <c r="F74" s="96">
        <f t="shared" si="3"/>
        <v>18208510</v>
      </c>
      <c r="G74" s="96">
        <f t="shared" si="3"/>
        <v>4368</v>
      </c>
      <c r="H74" s="96">
        <f t="shared" si="3"/>
        <v>3699290</v>
      </c>
      <c r="I74" s="96">
        <f t="shared" si="3"/>
        <v>209</v>
      </c>
      <c r="J74" s="96">
        <f t="shared" si="3"/>
        <v>58149400</v>
      </c>
      <c r="K74" s="97">
        <f>J74/C74</f>
        <v>4.9684434792795695E-3</v>
      </c>
      <c r="L74" s="21"/>
      <c r="P74" s="6"/>
      <c r="Q74" s="6"/>
      <c r="R74" s="6"/>
      <c r="S74" s="6"/>
    </row>
    <row r="75" spans="1:19" ht="28.5" customHeight="1">
      <c r="B75" s="2" t="s">
        <v>347</v>
      </c>
      <c r="C75" s="28">
        <v>2544931756</v>
      </c>
      <c r="D75" s="98">
        <v>8241680</v>
      </c>
      <c r="E75" s="98">
        <v>1544</v>
      </c>
      <c r="F75" s="98">
        <v>2654640</v>
      </c>
      <c r="G75" s="98">
        <v>648</v>
      </c>
      <c r="H75" s="98">
        <v>1278240</v>
      </c>
      <c r="I75" s="98">
        <v>62</v>
      </c>
      <c r="J75" s="99">
        <v>12174560</v>
      </c>
      <c r="K75" s="97">
        <f>J75/C75</f>
        <v>4.783845370822588E-3</v>
      </c>
      <c r="L75" s="21"/>
      <c r="P75" s="6"/>
      <c r="Q75" s="6"/>
      <c r="R75" s="6"/>
      <c r="S75" s="6"/>
    </row>
    <row r="76" spans="1:19" ht="28.5" customHeight="1">
      <c r="B76" s="2" t="s">
        <v>183</v>
      </c>
      <c r="C76" s="28">
        <v>2676358390</v>
      </c>
      <c r="D76" s="98">
        <v>8212680</v>
      </c>
      <c r="E76" s="98">
        <v>1673</v>
      </c>
      <c r="F76" s="98">
        <v>4138740</v>
      </c>
      <c r="G76" s="98">
        <v>1015</v>
      </c>
      <c r="H76" s="98">
        <v>595780</v>
      </c>
      <c r="I76" s="98">
        <v>41</v>
      </c>
      <c r="J76" s="99">
        <v>12947200</v>
      </c>
      <c r="K76" s="97">
        <f>J76/C76</f>
        <v>4.8376181786326453E-3</v>
      </c>
      <c r="L76" s="21"/>
      <c r="P76" s="6"/>
      <c r="Q76" s="6"/>
      <c r="R76" s="6"/>
      <c r="S76" s="6"/>
    </row>
    <row r="77" spans="1:19" ht="28.5" customHeight="1">
      <c r="B77" s="2" t="s">
        <v>348</v>
      </c>
      <c r="C77" s="28">
        <v>2921414132</v>
      </c>
      <c r="D77" s="98">
        <v>9489100</v>
      </c>
      <c r="E77" s="98">
        <v>1974</v>
      </c>
      <c r="F77" s="98">
        <v>5473870</v>
      </c>
      <c r="G77" s="98">
        <v>1300</v>
      </c>
      <c r="H77" s="98">
        <v>1148780</v>
      </c>
      <c r="I77" s="98">
        <v>52</v>
      </c>
      <c r="J77" s="99">
        <v>16111750</v>
      </c>
      <c r="K77" s="97">
        <f>J77/C77</f>
        <v>5.5150517085264788E-3</v>
      </c>
      <c r="L77" s="21"/>
      <c r="P77" s="6"/>
      <c r="Q77" s="6"/>
      <c r="R77" s="6"/>
      <c r="S77" s="6"/>
    </row>
    <row r="78" spans="1:19" ht="28.5" customHeight="1">
      <c r="B78" s="2" t="s">
        <v>338</v>
      </c>
      <c r="C78" s="28">
        <v>3561041622</v>
      </c>
      <c r="D78" s="98">
        <v>10298140</v>
      </c>
      <c r="E78" s="98">
        <v>2448</v>
      </c>
      <c r="F78" s="98">
        <v>5941260</v>
      </c>
      <c r="G78" s="98">
        <v>1405</v>
      </c>
      <c r="H78" s="98">
        <v>676490</v>
      </c>
      <c r="I78" s="98">
        <v>54</v>
      </c>
      <c r="J78" s="99">
        <v>16915890</v>
      </c>
      <c r="K78" s="97">
        <f>J78/C78</f>
        <v>4.750264612324152E-3</v>
      </c>
      <c r="L78" s="21"/>
      <c r="P78" s="6"/>
      <c r="Q78" s="6"/>
      <c r="R78" s="6"/>
      <c r="S78" s="6"/>
    </row>
    <row r="79" spans="1:19" ht="28.5" hidden="1" customHeight="1">
      <c r="B79" s="2" t="s">
        <v>349</v>
      </c>
      <c r="C79" s="28"/>
      <c r="D79" s="98"/>
      <c r="E79" s="98"/>
      <c r="F79" s="98"/>
      <c r="G79" s="98"/>
      <c r="H79" s="98"/>
      <c r="I79" s="98"/>
      <c r="J79" s="99"/>
      <c r="K79" s="97" t="e">
        <f t="shared" ref="K79:K85" si="4">J79/C79</f>
        <v>#DIV/0!</v>
      </c>
      <c r="L79" s="21"/>
      <c r="P79" s="6"/>
      <c r="Q79" s="6"/>
      <c r="R79" s="6"/>
      <c r="S79" s="6"/>
    </row>
    <row r="80" spans="1:19" ht="28.5" hidden="1" customHeight="1">
      <c r="B80" s="2" t="s">
        <v>186</v>
      </c>
      <c r="C80" s="28"/>
      <c r="D80" s="98"/>
      <c r="E80" s="98"/>
      <c r="F80" s="98"/>
      <c r="G80" s="98"/>
      <c r="H80" s="98"/>
      <c r="I80" s="98"/>
      <c r="J80" s="99"/>
      <c r="K80" s="97" t="e">
        <f t="shared" si="4"/>
        <v>#DIV/0!</v>
      </c>
      <c r="L80" s="21"/>
      <c r="P80" s="6"/>
      <c r="Q80" s="6"/>
      <c r="R80" s="6"/>
      <c r="S80" s="6"/>
    </row>
    <row r="81" spans="1:19" ht="28.5" hidden="1" customHeight="1">
      <c r="B81" s="2" t="s">
        <v>187</v>
      </c>
      <c r="C81" s="28"/>
      <c r="D81" s="98"/>
      <c r="E81" s="98"/>
      <c r="F81" s="98"/>
      <c r="G81" s="98"/>
      <c r="H81" s="98"/>
      <c r="I81" s="98"/>
      <c r="J81" s="99"/>
      <c r="K81" s="97" t="e">
        <f t="shared" si="4"/>
        <v>#DIV/0!</v>
      </c>
      <c r="L81" s="21"/>
      <c r="P81" s="6"/>
      <c r="Q81" s="6"/>
      <c r="R81" s="6"/>
      <c r="S81" s="6"/>
    </row>
    <row r="82" spans="1:19" ht="28.5" hidden="1" customHeight="1">
      <c r="B82" s="2" t="s">
        <v>188</v>
      </c>
      <c r="C82" s="28"/>
      <c r="D82" s="98"/>
      <c r="E82" s="98"/>
      <c r="F82" s="98"/>
      <c r="G82" s="98"/>
      <c r="H82" s="98"/>
      <c r="I82" s="98"/>
      <c r="J82" s="99"/>
      <c r="K82" s="97" t="e">
        <f t="shared" si="4"/>
        <v>#DIV/0!</v>
      </c>
      <c r="L82" s="21"/>
      <c r="P82" s="6"/>
      <c r="Q82" s="6"/>
      <c r="R82" s="6"/>
      <c r="S82" s="6"/>
    </row>
    <row r="83" spans="1:19" ht="28.5" hidden="1" customHeight="1">
      <c r="B83" s="2" t="s">
        <v>189</v>
      </c>
      <c r="C83" s="28"/>
      <c r="D83" s="98"/>
      <c r="E83" s="98"/>
      <c r="F83" s="98"/>
      <c r="G83" s="98"/>
      <c r="H83" s="98"/>
      <c r="I83" s="98"/>
      <c r="J83" s="99"/>
      <c r="K83" s="97" t="e">
        <f t="shared" si="4"/>
        <v>#DIV/0!</v>
      </c>
      <c r="L83" s="21"/>
      <c r="P83" s="6"/>
      <c r="Q83" s="6"/>
      <c r="R83" s="6"/>
      <c r="S83" s="6"/>
    </row>
    <row r="84" spans="1:19" ht="28.5" hidden="1" customHeight="1">
      <c r="B84" s="2" t="s">
        <v>350</v>
      </c>
      <c r="C84" s="28"/>
      <c r="D84" s="98"/>
      <c r="E84" s="98"/>
      <c r="F84" s="98"/>
      <c r="G84" s="98"/>
      <c r="H84" s="98"/>
      <c r="I84" s="98"/>
      <c r="J84" s="99"/>
      <c r="K84" s="97" t="e">
        <f t="shared" si="4"/>
        <v>#DIV/0!</v>
      </c>
      <c r="L84" s="21"/>
      <c r="P84" s="6"/>
      <c r="Q84" s="6"/>
      <c r="R84" s="6"/>
      <c r="S84" s="6"/>
    </row>
    <row r="85" spans="1:19" ht="28.5" hidden="1" customHeight="1">
      <c r="B85" s="2" t="s">
        <v>191</v>
      </c>
      <c r="C85" s="28"/>
      <c r="D85" s="98"/>
      <c r="E85" s="98"/>
      <c r="F85" s="98"/>
      <c r="G85" s="98"/>
      <c r="H85" s="98"/>
      <c r="I85" s="98"/>
      <c r="J85" s="99"/>
      <c r="K85" s="97" t="e">
        <f t="shared" si="4"/>
        <v>#DIV/0!</v>
      </c>
      <c r="L85" s="21"/>
      <c r="P85" s="6"/>
      <c r="Q85" s="6"/>
      <c r="R85" s="6"/>
      <c r="S85" s="6"/>
    </row>
    <row r="86" spans="1:19" ht="28.5" hidden="1" customHeight="1">
      <c r="B86" s="2" t="s">
        <v>192</v>
      </c>
      <c r="C86" s="28"/>
      <c r="D86" s="98"/>
      <c r="E86" s="98"/>
      <c r="F86" s="98"/>
      <c r="G86" s="98"/>
      <c r="H86" s="98"/>
      <c r="I86" s="98"/>
      <c r="J86" s="99"/>
      <c r="K86" s="97">
        <v>6.2139669223478869E-3</v>
      </c>
      <c r="L86" s="21"/>
      <c r="P86" s="6"/>
      <c r="Q86" s="6"/>
      <c r="R86" s="6"/>
      <c r="S86" s="6"/>
    </row>
    <row r="87" spans="1:19" ht="28.5" customHeight="1">
      <c r="J87" s="16"/>
      <c r="K87" s="16"/>
      <c r="L87" s="21"/>
      <c r="P87" s="6"/>
      <c r="Q87" s="6"/>
      <c r="R87" s="6"/>
      <c r="S87" s="6"/>
    </row>
    <row r="88" spans="1:19" ht="35.25" customHeight="1">
      <c r="B88" s="91"/>
      <c r="C88" s="91" t="s">
        <v>339</v>
      </c>
      <c r="D88" s="92" t="s">
        <v>340</v>
      </c>
      <c r="E88" s="92" t="s">
        <v>341</v>
      </c>
      <c r="F88" s="92" t="s">
        <v>342</v>
      </c>
      <c r="G88" s="92" t="s">
        <v>341</v>
      </c>
      <c r="H88" s="92" t="s">
        <v>343</v>
      </c>
      <c r="I88" s="92" t="s">
        <v>341</v>
      </c>
      <c r="J88" s="93" t="s">
        <v>344</v>
      </c>
      <c r="K88" s="94" t="s">
        <v>345</v>
      </c>
      <c r="L88" s="21"/>
      <c r="P88" s="6"/>
      <c r="Q88" s="6"/>
      <c r="R88" s="6"/>
      <c r="S88" s="6"/>
    </row>
    <row r="89" spans="1:19" s="3" customFormat="1" ht="28.5" customHeight="1">
      <c r="A89" s="192"/>
      <c r="B89" s="95" t="s">
        <v>193</v>
      </c>
      <c r="C89" s="96">
        <v>40320872331</v>
      </c>
      <c r="D89" s="96">
        <v>124828900</v>
      </c>
      <c r="E89" s="96">
        <v>25234</v>
      </c>
      <c r="F89" s="96">
        <v>67143830</v>
      </c>
      <c r="G89" s="96">
        <v>16578</v>
      </c>
      <c r="H89" s="96">
        <v>9703740</v>
      </c>
      <c r="I89" s="96">
        <v>680</v>
      </c>
      <c r="J89" s="96">
        <v>201946470</v>
      </c>
      <c r="K89" s="97">
        <f>J89/C89</f>
        <v>5.0084846464181522E-3</v>
      </c>
      <c r="L89" s="280"/>
      <c r="M89" s="280"/>
      <c r="N89" s="280"/>
    </row>
    <row r="90" spans="1:19" s="3" customFormat="1" ht="28.5" customHeight="1">
      <c r="A90" s="193"/>
      <c r="B90" s="2" t="s">
        <v>182</v>
      </c>
      <c r="C90" s="28">
        <v>2953885856</v>
      </c>
      <c r="D90" s="98">
        <v>10589790</v>
      </c>
      <c r="E90" s="98">
        <v>2270</v>
      </c>
      <c r="F90" s="98">
        <v>8339100</v>
      </c>
      <c r="G90" s="98">
        <v>2054</v>
      </c>
      <c r="H90" s="98">
        <v>1171440</v>
      </c>
      <c r="I90" s="98">
        <v>68</v>
      </c>
      <c r="J90" s="99">
        <v>20100330</v>
      </c>
      <c r="K90" s="97">
        <f>J90/C90</f>
        <v>6.8047077578071453E-3</v>
      </c>
      <c r="L90" s="280"/>
      <c r="M90" s="280"/>
      <c r="N90" s="280"/>
    </row>
    <row r="91" spans="1:19" s="3" customFormat="1" ht="28.5" customHeight="1">
      <c r="A91" s="193"/>
      <c r="B91" s="2" t="s">
        <v>183</v>
      </c>
      <c r="C91" s="28">
        <v>2785202870</v>
      </c>
      <c r="D91" s="98">
        <v>9445890</v>
      </c>
      <c r="E91" s="98">
        <v>1735</v>
      </c>
      <c r="F91" s="98">
        <v>6396280</v>
      </c>
      <c r="G91" s="98">
        <v>1588</v>
      </c>
      <c r="H91" s="98">
        <v>595140</v>
      </c>
      <c r="I91" s="98">
        <v>52</v>
      </c>
      <c r="J91" s="99">
        <v>16437310</v>
      </c>
      <c r="K91" s="97">
        <f>J91/C91</f>
        <v>5.9016562768370263E-3</v>
      </c>
      <c r="L91" s="114"/>
    </row>
    <row r="92" spans="1:19" s="3" customFormat="1" ht="28.5" customHeight="1">
      <c r="A92" s="193"/>
      <c r="B92" s="2" t="s">
        <v>108</v>
      </c>
      <c r="C92" s="28">
        <v>2934002332</v>
      </c>
      <c r="D92" s="98">
        <v>9818140</v>
      </c>
      <c r="E92" s="98">
        <v>1912</v>
      </c>
      <c r="F92" s="98">
        <v>6949160</v>
      </c>
      <c r="G92" s="98">
        <v>1714</v>
      </c>
      <c r="H92" s="98">
        <v>665770</v>
      </c>
      <c r="I92" s="98">
        <v>48</v>
      </c>
      <c r="J92" s="99">
        <v>17433070</v>
      </c>
      <c r="K92" s="97">
        <f>J92/C92</f>
        <v>5.9417369270175482E-3</v>
      </c>
      <c r="L92" s="114"/>
    </row>
    <row r="93" spans="1:19" s="3" customFormat="1" ht="28.5" customHeight="1">
      <c r="A93" s="193"/>
      <c r="B93" s="2" t="s">
        <v>184</v>
      </c>
      <c r="C93" s="28">
        <v>4040333992</v>
      </c>
      <c r="D93" s="98">
        <v>11202250</v>
      </c>
      <c r="E93" s="98">
        <v>2201</v>
      </c>
      <c r="F93" s="98">
        <v>5692930</v>
      </c>
      <c r="G93" s="98">
        <v>1405</v>
      </c>
      <c r="H93" s="98">
        <v>795870</v>
      </c>
      <c r="I93" s="98">
        <v>52</v>
      </c>
      <c r="J93" s="99">
        <v>17691050</v>
      </c>
      <c r="K93" s="97">
        <f>J93/C93</f>
        <v>4.3786107868876399E-3</v>
      </c>
      <c r="L93" s="114"/>
    </row>
    <row r="94" spans="1:19" s="3" customFormat="1" ht="28.5" customHeight="1">
      <c r="A94" s="193"/>
      <c r="B94" s="2" t="s">
        <v>185</v>
      </c>
      <c r="C94" s="28">
        <v>3901318362</v>
      </c>
      <c r="D94" s="98">
        <v>12798240</v>
      </c>
      <c r="E94" s="98">
        <v>2642</v>
      </c>
      <c r="F94" s="98">
        <v>6475810</v>
      </c>
      <c r="G94" s="98">
        <v>1616</v>
      </c>
      <c r="H94" s="98">
        <v>1004010</v>
      </c>
      <c r="I94" s="98">
        <v>62</v>
      </c>
      <c r="J94" s="99">
        <v>20278060</v>
      </c>
      <c r="K94" s="97">
        <f t="shared" ref="K94:K101" si="5">J94/C94</f>
        <v>5.1977455102137603E-3</v>
      </c>
    </row>
    <row r="95" spans="1:19" s="3" customFormat="1" ht="28.5" customHeight="1">
      <c r="A95" s="193"/>
      <c r="B95" s="2" t="s">
        <v>186</v>
      </c>
      <c r="C95" s="28">
        <v>4511894922</v>
      </c>
      <c r="D95" s="98">
        <v>13979690</v>
      </c>
      <c r="E95" s="98">
        <v>2907</v>
      </c>
      <c r="F95" s="98">
        <v>7751860</v>
      </c>
      <c r="G95" s="98">
        <v>1931</v>
      </c>
      <c r="H95" s="98">
        <v>922900</v>
      </c>
      <c r="I95" s="98">
        <v>72</v>
      </c>
      <c r="J95" s="99">
        <v>22654450</v>
      </c>
      <c r="K95" s="97">
        <f t="shared" si="5"/>
        <v>5.0210500004193139E-3</v>
      </c>
    </row>
    <row r="96" spans="1:19" s="3" customFormat="1" ht="28.5" customHeight="1">
      <c r="A96" s="193"/>
      <c r="B96" s="2" t="s">
        <v>187</v>
      </c>
      <c r="C96" s="28">
        <v>3318942648</v>
      </c>
      <c r="D96" s="98">
        <v>10494730</v>
      </c>
      <c r="E96" s="98">
        <v>2324</v>
      </c>
      <c r="F96" s="98">
        <v>7945100</v>
      </c>
      <c r="G96" s="98">
        <v>1935</v>
      </c>
      <c r="H96" s="98">
        <v>704690</v>
      </c>
      <c r="I96" s="98">
        <v>58</v>
      </c>
      <c r="J96" s="99">
        <v>19144520</v>
      </c>
      <c r="K96" s="97">
        <f t="shared" si="5"/>
        <v>5.768258759016676E-3</v>
      </c>
    </row>
    <row r="97" spans="1:21" s="3" customFormat="1" ht="28.5" customHeight="1">
      <c r="A97" s="193"/>
      <c r="B97" s="2" t="s">
        <v>188</v>
      </c>
      <c r="C97" s="28">
        <v>2581088176</v>
      </c>
      <c r="D97" s="98">
        <v>6745850</v>
      </c>
      <c r="E97" s="98">
        <v>1471</v>
      </c>
      <c r="F97" s="98">
        <v>3341410</v>
      </c>
      <c r="G97" s="98">
        <v>841</v>
      </c>
      <c r="H97" s="98">
        <v>265130</v>
      </c>
      <c r="I97" s="98">
        <v>40</v>
      </c>
      <c r="J97" s="99">
        <v>10352390</v>
      </c>
      <c r="K97" s="97">
        <f t="shared" si="5"/>
        <v>4.0108625874391672E-3</v>
      </c>
    </row>
    <row r="98" spans="1:21" s="3" customFormat="1" ht="28.5" customHeight="1">
      <c r="A98" s="193"/>
      <c r="B98" s="2" t="s">
        <v>189</v>
      </c>
      <c r="C98" s="28">
        <v>3030980964</v>
      </c>
      <c r="D98" s="98">
        <v>7393670</v>
      </c>
      <c r="E98" s="98">
        <v>1374</v>
      </c>
      <c r="F98" s="98">
        <v>2911150</v>
      </c>
      <c r="G98" s="98">
        <v>725</v>
      </c>
      <c r="H98" s="98">
        <v>876040</v>
      </c>
      <c r="I98" s="98">
        <v>53</v>
      </c>
      <c r="J98" s="99">
        <v>11180860</v>
      </c>
      <c r="K98" s="97">
        <f t="shared" si="5"/>
        <v>3.6888585355034911E-3</v>
      </c>
    </row>
    <row r="99" spans="1:21" s="3" customFormat="1" ht="28.5" customHeight="1">
      <c r="A99" s="194"/>
      <c r="B99" s="2" t="s">
        <v>190</v>
      </c>
      <c r="C99" s="28">
        <v>4229153430</v>
      </c>
      <c r="D99" s="98">
        <v>11767220</v>
      </c>
      <c r="E99" s="98">
        <v>2426</v>
      </c>
      <c r="F99" s="98">
        <v>4518630</v>
      </c>
      <c r="G99" s="98">
        <v>1105</v>
      </c>
      <c r="H99" s="98">
        <v>1364270</v>
      </c>
      <c r="I99" s="98">
        <v>66</v>
      </c>
      <c r="J99" s="99">
        <v>17650120</v>
      </c>
      <c r="K99" s="97">
        <f t="shared" si="5"/>
        <v>4.1734404514144098E-3</v>
      </c>
    </row>
    <row r="100" spans="1:21" s="3" customFormat="1" ht="28.5" customHeight="1">
      <c r="A100" s="195"/>
      <c r="B100" s="2" t="s">
        <v>191</v>
      </c>
      <c r="C100" s="28">
        <v>2960965230</v>
      </c>
      <c r="D100" s="98">
        <v>10073650</v>
      </c>
      <c r="E100" s="98">
        <v>1984</v>
      </c>
      <c r="F100" s="98">
        <v>3670270</v>
      </c>
      <c r="G100" s="98">
        <v>883</v>
      </c>
      <c r="H100" s="98">
        <v>464050</v>
      </c>
      <c r="I100" s="98">
        <v>51</v>
      </c>
      <c r="J100" s="99">
        <v>14207970</v>
      </c>
      <c r="K100" s="97">
        <f t="shared" si="5"/>
        <v>4.7984251405748524E-3</v>
      </c>
    </row>
    <row r="101" spans="1:21" s="3" customFormat="1" ht="28.5" customHeight="1">
      <c r="A101" s="195"/>
      <c r="B101" s="2" t="s">
        <v>192</v>
      </c>
      <c r="C101" s="28">
        <v>3073103549</v>
      </c>
      <c r="D101" s="98">
        <v>10519780</v>
      </c>
      <c r="E101" s="98">
        <v>1988</v>
      </c>
      <c r="F101" s="98">
        <v>3152130</v>
      </c>
      <c r="G101" s="98">
        <v>781</v>
      </c>
      <c r="H101" s="98">
        <v>874430</v>
      </c>
      <c r="I101" s="98">
        <v>58</v>
      </c>
      <c r="J101" s="99">
        <v>14816340</v>
      </c>
      <c r="K101" s="97">
        <f t="shared" si="5"/>
        <v>4.8212953985300282E-3</v>
      </c>
    </row>
    <row r="102" spans="1:21" s="3" customFormat="1" ht="28.5" customHeight="1">
      <c r="A102" s="196"/>
      <c r="B102" s="197"/>
      <c r="C102" s="60"/>
      <c r="D102" s="61"/>
      <c r="E102" s="61"/>
      <c r="F102" s="61"/>
      <c r="G102" s="61"/>
      <c r="H102" s="61"/>
      <c r="I102" s="61"/>
      <c r="J102" s="61"/>
      <c r="K102" s="62"/>
    </row>
    <row r="103" spans="1:21" s="3" customFormat="1" ht="28.5" customHeight="1">
      <c r="A103" s="196"/>
      <c r="B103" s="197"/>
      <c r="C103" s="60"/>
      <c r="D103" s="61"/>
      <c r="E103" s="61"/>
      <c r="F103" s="61"/>
      <c r="G103" s="61"/>
      <c r="H103" s="61"/>
      <c r="I103" s="61"/>
      <c r="J103" s="61"/>
      <c r="K103" s="62"/>
    </row>
    <row r="104" spans="1:21" s="3" customFormat="1" ht="28.5" customHeight="1">
      <c r="A104" s="196"/>
      <c r="B104" s="197"/>
      <c r="C104" s="60"/>
      <c r="D104" s="61"/>
      <c r="E104" s="61"/>
      <c r="F104" s="61"/>
      <c r="G104" s="61"/>
      <c r="H104" s="61"/>
      <c r="I104" s="61"/>
      <c r="J104" s="61"/>
      <c r="K104" s="62"/>
    </row>
    <row r="105" spans="1:21" s="3" customFormat="1" ht="28.5" customHeight="1">
      <c r="A105" s="7"/>
      <c r="B105" s="197"/>
      <c r="C105" s="60"/>
      <c r="D105" s="61"/>
      <c r="E105" s="61"/>
      <c r="F105" s="61"/>
      <c r="G105" s="61"/>
      <c r="H105" s="61"/>
      <c r="I105" s="61"/>
      <c r="J105" s="61"/>
      <c r="K105" s="62"/>
    </row>
    <row r="111" spans="1:21" s="18" customFormat="1" ht="28.5" customHeight="1">
      <c r="A111" s="7"/>
      <c r="B111" s="7"/>
      <c r="C111" s="7"/>
      <c r="D111" s="8"/>
      <c r="E111" s="8"/>
      <c r="F111" s="9"/>
      <c r="G111" s="9"/>
      <c r="H111" s="9"/>
      <c r="I111" s="9"/>
      <c r="J111" s="6"/>
      <c r="K111" s="6"/>
      <c r="L111" s="7"/>
      <c r="M111" s="18" t="s">
        <v>351</v>
      </c>
      <c r="O111" s="6"/>
      <c r="T111" s="6"/>
      <c r="U111" s="6"/>
    </row>
  </sheetData>
  <mergeCells count="2">
    <mergeCell ref="D1:M1"/>
    <mergeCell ref="L89:N90"/>
  </mergeCells>
  <phoneticPr fontId="3" type="noConversion"/>
  <printOptions horizontalCentered="1" verticalCentered="1"/>
  <pageMargins left="0" right="0" top="0" bottom="0" header="0.31496062992125984" footer="0.31496062992125984"/>
  <pageSetup paperSize="8" scale="4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4월 (3)</vt:lpstr>
      <vt:lpstr>Sheet1</vt:lpstr>
      <vt:lpstr>Sheet4</vt:lpstr>
      <vt:lpstr>26년 5월경비</vt:lpstr>
      <vt:lpstr>매출</vt:lpstr>
      <vt:lpstr>매장경비정리</vt:lpstr>
      <vt:lpstr>23년 4월</vt:lpstr>
      <vt:lpstr>'23년 4월'!Print_Area</vt:lpstr>
      <vt:lpstr>'26년 5월경비'!Print_Area</vt:lpstr>
      <vt:lpstr>'4월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mmd_yse</dc:creator>
  <cp:lastModifiedBy>cn24101402</cp:lastModifiedBy>
  <cp:lastPrinted>2026-03-06T06:18:53Z</cp:lastPrinted>
  <dcterms:created xsi:type="dcterms:W3CDTF">2018-01-05T07:57:00Z</dcterms:created>
  <dcterms:modified xsi:type="dcterms:W3CDTF">2026-06-06T04:34:49Z</dcterms:modified>
</cp:coreProperties>
</file>