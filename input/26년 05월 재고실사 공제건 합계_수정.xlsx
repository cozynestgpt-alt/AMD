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24101601\Desktop\20_인사업무\06_급여관련\급여관리\★판매수수료체계\2026년 05월 판매수수료\"/>
    </mc:Choice>
  </mc:AlternateContent>
  <xr:revisionPtr revIDLastSave="0" documentId="8_{4B64EC60-6C19-4D33-9C41-6D59CBC51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 (2)" sheetId="4" r:id="rId1"/>
    <sheet name="Sheet1" sheetId="1" r:id="rId2"/>
    <sheet name="Sheet2" sheetId="2" r:id="rId3"/>
    <sheet name="Sheet3" sheetId="3" r:id="rId4"/>
  </sheets>
  <externalReferences>
    <externalReference r:id="rId5"/>
  </externalReferences>
  <definedNames>
    <definedName name="_xlnm.Print_Area" localSheetId="1">Sheet1!$A$1:$I$33</definedName>
    <definedName name="_xlnm.Print_Area" localSheetId="0">'Sheet1 (2)'!$A$1:$J$14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E10" i="4"/>
  <c r="E9" i="4"/>
  <c r="E8" i="4"/>
  <c r="E7" i="4"/>
  <c r="F14" i="4"/>
  <c r="D14" i="4"/>
  <c r="G9" i="4"/>
  <c r="G8" i="4"/>
  <c r="G7" i="4"/>
  <c r="G13" i="4"/>
  <c r="E13" i="4"/>
  <c r="G12" i="4"/>
  <c r="E12" i="4"/>
  <c r="G11" i="4"/>
  <c r="E11" i="4"/>
  <c r="G10" i="4"/>
  <c r="I11" i="4" l="1"/>
  <c r="I13" i="4"/>
  <c r="I8" i="4"/>
  <c r="I12" i="4"/>
  <c r="I7" i="4"/>
  <c r="I10" i="4"/>
  <c r="I9" i="4"/>
  <c r="E14" i="4" l="1"/>
  <c r="H14" i="4" l="1"/>
  <c r="G14" i="4"/>
  <c r="I14" i="4" l="1"/>
  <c r="H18" i="1" l="1"/>
  <c r="I19" i="1" s="1"/>
  <c r="I17" i="1"/>
  <c r="H31" i="1"/>
  <c r="I32" i="1" s="1"/>
  <c r="H21" i="1"/>
  <c r="H14" i="1"/>
  <c r="I15" i="1" s="1"/>
  <c r="H8" i="1"/>
  <c r="H10" i="1"/>
  <c r="H11" i="1"/>
  <c r="H16" i="1"/>
  <c r="H20" i="1"/>
  <c r="H12" i="1"/>
  <c r="H23" i="1"/>
  <c r="I24" i="1" s="1"/>
  <c r="H25" i="1"/>
  <c r="I26" i="1" s="1"/>
  <c r="H27" i="1"/>
  <c r="I28" i="1" s="1"/>
  <c r="H29" i="1"/>
  <c r="I30" i="1" s="1"/>
  <c r="H6" i="1"/>
  <c r="I13" i="1" l="1"/>
  <c r="I22" i="1"/>
  <c r="I33" i="1" l="1"/>
</calcChain>
</file>

<file path=xl/sharedStrings.xml><?xml version="1.0" encoding="utf-8"?>
<sst xmlns="http://schemas.openxmlformats.org/spreadsheetml/2006/main" count="152" uniqueCount="95">
  <si>
    <t>NO</t>
    <phoneticPr fontId="2" type="noConversion"/>
  </si>
  <si>
    <t>공제가</t>
    <phoneticPr fontId="2" type="noConversion"/>
  </si>
  <si>
    <t>처리요청</t>
    <phoneticPr fontId="2" type="noConversion"/>
  </si>
  <si>
    <t>기안자</t>
    <phoneticPr fontId="2" type="noConversion"/>
  </si>
  <si>
    <t>확인자</t>
    <phoneticPr fontId="2" type="noConversion"/>
  </si>
  <si>
    <t>부서장</t>
    <phoneticPr fontId="2" type="noConversion"/>
  </si>
  <si>
    <t>대표이사</t>
    <phoneticPr fontId="2" type="noConversion"/>
  </si>
  <si>
    <t>ETC
(한근석)</t>
    <phoneticPr fontId="2" type="noConversion"/>
  </si>
  <si>
    <t>MMD</t>
    <phoneticPr fontId="2" type="noConversion"/>
  </si>
  <si>
    <t>AMD</t>
    <phoneticPr fontId="2" type="noConversion"/>
  </si>
  <si>
    <t>공체처리</t>
    <phoneticPr fontId="2" type="noConversion"/>
  </si>
  <si>
    <t>조정처리</t>
    <phoneticPr fontId="2" type="noConversion"/>
  </si>
  <si>
    <t>일시 : 10월 05일</t>
    <phoneticPr fontId="2" type="noConversion"/>
  </si>
  <si>
    <t>반품매장</t>
    <phoneticPr fontId="2" type="noConversion"/>
  </si>
  <si>
    <t>매니저</t>
    <phoneticPr fontId="2" type="noConversion"/>
  </si>
  <si>
    <t>반품일자</t>
    <phoneticPr fontId="2" type="noConversion"/>
  </si>
  <si>
    <t>정상가</t>
    <phoneticPr fontId="2" type="noConversion"/>
  </si>
  <si>
    <t>공제율</t>
    <phoneticPr fontId="2" type="noConversion"/>
  </si>
  <si>
    <t>반품상품명</t>
    <phoneticPr fontId="2" type="noConversion"/>
  </si>
  <si>
    <t>9월 02일</t>
    <phoneticPr fontId="2" type="noConversion"/>
  </si>
  <si>
    <t>사각40트윌홑겹매트WHQ</t>
    <phoneticPr fontId="2" type="noConversion"/>
  </si>
  <si>
    <t>신세계본점</t>
    <phoneticPr fontId="2" type="noConversion"/>
  </si>
  <si>
    <t>김은주</t>
    <phoneticPr fontId="2" type="noConversion"/>
  </si>
  <si>
    <t>지오면플차렵이불GYQ</t>
    <phoneticPr fontId="2" type="noConversion"/>
  </si>
  <si>
    <t>갤러리아진주</t>
    <phoneticPr fontId="2" type="noConversion"/>
  </si>
  <si>
    <t>김순영</t>
    <phoneticPr fontId="2" type="noConversion"/>
  </si>
  <si>
    <t>9월 06일</t>
    <phoneticPr fontId="2" type="noConversion"/>
  </si>
  <si>
    <t>몬테퍼케일도트패드NAQ</t>
    <phoneticPr fontId="2" type="noConversion"/>
  </si>
  <si>
    <t>롯데이천아울렛</t>
    <phoneticPr fontId="2" type="noConversion"/>
  </si>
  <si>
    <t>최혜진</t>
    <phoneticPr fontId="2" type="noConversion"/>
  </si>
  <si>
    <t>페이티모플홑이불BLS</t>
    <phoneticPr fontId="2" type="noConversion"/>
  </si>
  <si>
    <t>현대울산</t>
    <phoneticPr fontId="2" type="noConversion"/>
  </si>
  <si>
    <t>이윤자</t>
    <phoneticPr fontId="2" type="noConversion"/>
  </si>
  <si>
    <t>디오멜란양면패드NASS</t>
    <phoneticPr fontId="2" type="noConversion"/>
  </si>
  <si>
    <t>9월 8일</t>
    <phoneticPr fontId="2" type="noConversion"/>
  </si>
  <si>
    <t>제노아자수양면패드WHQ</t>
    <phoneticPr fontId="2" type="noConversion"/>
  </si>
  <si>
    <t>롯데센텀</t>
    <phoneticPr fontId="2" type="noConversion"/>
  </si>
  <si>
    <t>정옥경</t>
    <phoneticPr fontId="2" type="noConversion"/>
  </si>
  <si>
    <t>9월 12일</t>
    <phoneticPr fontId="2" type="noConversion"/>
  </si>
  <si>
    <t>클라크피치안단이불NAQ</t>
    <phoneticPr fontId="2" type="noConversion"/>
  </si>
  <si>
    <t>롯데김해아울렛</t>
    <phoneticPr fontId="2" type="noConversion"/>
  </si>
  <si>
    <t>함미란</t>
    <phoneticPr fontId="2" type="noConversion"/>
  </si>
  <si>
    <t>9월 21일</t>
    <phoneticPr fontId="2" type="noConversion"/>
  </si>
  <si>
    <t>THE세종몰</t>
    <phoneticPr fontId="2" type="noConversion"/>
  </si>
  <si>
    <t>민선희</t>
    <phoneticPr fontId="2" type="noConversion"/>
  </si>
  <si>
    <t>듀폰사계절이불솜 WHK</t>
    <phoneticPr fontId="2" type="noConversion"/>
  </si>
  <si>
    <t>맥스사계절이불솜 WHS</t>
    <phoneticPr fontId="2" type="noConversion"/>
  </si>
  <si>
    <t>9월 22일</t>
    <phoneticPr fontId="2" type="noConversion"/>
  </si>
  <si>
    <t>마티스줄누비요NAD</t>
    <phoneticPr fontId="2" type="noConversion"/>
  </si>
  <si>
    <t xml:space="preserve">9월 28일 </t>
    <phoneticPr fontId="2" type="noConversion"/>
  </si>
  <si>
    <t>피닉스사틴홑겹이불GYQ</t>
    <phoneticPr fontId="2" type="noConversion"/>
  </si>
  <si>
    <t>현대대구</t>
    <phoneticPr fontId="2" type="noConversion"/>
  </si>
  <si>
    <t>김종숙</t>
    <phoneticPr fontId="2" type="noConversion"/>
  </si>
  <si>
    <t>9월 26일</t>
    <phoneticPr fontId="2" type="noConversion"/>
  </si>
  <si>
    <t>로잔느자수안단이불GYQ</t>
    <phoneticPr fontId="2" type="noConversion"/>
  </si>
  <si>
    <t>현대무역</t>
    <phoneticPr fontId="2" type="noConversion"/>
  </si>
  <si>
    <t>김은영</t>
    <phoneticPr fontId="2" type="noConversion"/>
  </si>
  <si>
    <t>루벤피치홑겹베개NAF</t>
    <phoneticPr fontId="2" type="noConversion"/>
  </si>
  <si>
    <t>현대충청</t>
    <phoneticPr fontId="2" type="noConversion"/>
  </si>
  <si>
    <t>송경아</t>
    <phoneticPr fontId="2" type="noConversion"/>
  </si>
  <si>
    <t>9월 30일</t>
    <phoneticPr fontId="2" type="noConversion"/>
  </si>
  <si>
    <t>브래든워싱홑겹이불 WHQ</t>
    <phoneticPr fontId="2" type="noConversion"/>
  </si>
  <si>
    <t>옴므80사틴홑겹베개WHF</t>
    <phoneticPr fontId="2" type="noConversion"/>
  </si>
  <si>
    <t>롯데대구</t>
    <phoneticPr fontId="2" type="noConversion"/>
  </si>
  <si>
    <t>황정애</t>
    <phoneticPr fontId="2" type="noConversion"/>
  </si>
  <si>
    <t>신세계인천</t>
    <phoneticPr fontId="2" type="noConversion"/>
  </si>
  <si>
    <t>정광옥</t>
    <phoneticPr fontId="2" type="noConversion"/>
  </si>
  <si>
    <t>공제금액합계</t>
    <phoneticPr fontId="2" type="noConversion"/>
  </si>
  <si>
    <t>총 9월 유통하자 (12개매장)</t>
    <phoneticPr fontId="2" type="noConversion"/>
  </si>
  <si>
    <t>◈ 재고실사 공제 요청건
(9월 공제분)</t>
    <phoneticPr fontId="2" type="noConversion"/>
  </si>
  <si>
    <t>매장명</t>
    <phoneticPr fontId="2" type="noConversion"/>
  </si>
  <si>
    <t>정상가</t>
  </si>
  <si>
    <t>공제가</t>
  </si>
  <si>
    <t>재고실사공제</t>
    <phoneticPr fontId="2" type="noConversion"/>
  </si>
  <si>
    <t>하자공제</t>
    <phoneticPr fontId="2" type="noConversion"/>
  </si>
  <si>
    <t>합계</t>
    <phoneticPr fontId="2" type="noConversion"/>
  </si>
  <si>
    <t>정상가</t>
    <phoneticPr fontId="2" type="noConversion"/>
  </si>
  <si>
    <t>합계</t>
    <phoneticPr fontId="2" type="noConversion"/>
  </si>
  <si>
    <t>신세계파주</t>
  </si>
  <si>
    <t>김나연</t>
  </si>
  <si>
    <t>신세계김해</t>
  </si>
  <si>
    <t>조명희</t>
  </si>
  <si>
    <t>신세계경기</t>
  </si>
  <si>
    <t>류영순</t>
  </si>
  <si>
    <t>롯데울산</t>
  </si>
  <si>
    <t>양미경</t>
  </si>
  <si>
    <t>신세계천안아산</t>
  </si>
  <si>
    <t>김우진</t>
  </si>
  <si>
    <t>신세계의정부</t>
  </si>
  <si>
    <t>강보인</t>
  </si>
  <si>
    <t>현대중동</t>
  </si>
  <si>
    <t>이명희</t>
  </si>
  <si>
    <t>◈ 재고실사 / 유통하자 공제 요청건
(05월 공제분)</t>
    <phoneticPr fontId="2" type="noConversion"/>
  </si>
  <si>
    <t>일시 : 06월 04일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</si>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</sst>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;[Red]\-#,##0\ "/>
  </numFmts>
  <fonts count="9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8"/>
      <name val="돋움체"/>
      <family val="2"/>
      <charset val="129"/>
    </font>
    <font>
      <b/>
      <sz val="16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41" fontId="4" fillId="0" borderId="4" xfId="1" applyFont="1" applyFill="1" applyBorder="1" applyAlignment="1">
      <alignment horizontal="center" vertical="center"/>
    </xf>
    <xf numFmtId="31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  <xf numFmtId="9" fontId="4" fillId="0" borderId="4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1" fontId="0" fillId="2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619125</xdr:colOff>
          <xdr:row>0</xdr:row>
          <xdr:rowOff>123825</xdr:rowOff>
        </xdr:from>
        <xdr:to>
          <xdr:col>8</xdr:col>
          <xdr:colOff>771525</xdr:colOff>
          <xdr:row>1</xdr:row>
          <xdr:rowOff>1200150</xdr:rowOff>
        </xdr:to>
        <xdr:pic>
          <xdr:nvPicPr>
            <xdr:cNvPr id="1085" name="Picture 1">
              <a:extLst>
                <a:ext uri="{FF2B5EF4-FFF2-40B4-BE49-F238E27FC236}">
                  <a16:creationId xmlns:a16="http://schemas.microsoft.com/office/drawing/2014/main" id="{D373F3DB-D656-B25E-9D6D-0AD111F21F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2!$A$6:$C$18" spid="_x0000_s108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3475" y="123825"/>
              <a:ext cx="3314700" cy="1781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gog-06/AppData/Roaming/Microsoft/Excel/&#50504;&#51221;&#50864;/&#51116;&#44256;&#51312;&#49324;&#54364;/&#51116;&#44256;&#47196;&#49828;&#44277;&#51228;&#50836;&#52397;&#44148;/16&#45380;%2006&#50900;/20160701%20&#54924;&#49688;&#49345;&#54408;(&#54260;&#50640;&#49828;&#50500;&#49324;)%20&#50756;/160704-&#47560;&#47532;&#50724;&#50500;&#50872;&#47131;(&#54260;&#50640;&#49828;&#50500;&#49324;).xlsx" TargetMode="External"/><Relationship Id="rId1" Type="http://schemas.openxmlformats.org/officeDocument/2006/relationships/externalLinkPath" Target="/Users/dogog-06/AppData/Roaming/Microsoft/Excel/&#50504;&#51221;&#50864;/&#51116;&#44256;&#51312;&#49324;&#54364;/&#51116;&#44256;&#47196;&#49828;&#44277;&#51228;&#50836;&#52397;&#44148;/16&#45380;%2006&#50900;/20160701%20&#54924;&#49688;&#49345;&#54408;(&#54260;&#50640;&#49828;&#50500;&#49324;)%20&#50756;/160704-&#47560;&#47532;&#50724;&#50500;&#50872;&#47131;(&#54260;&#50640;&#49828;&#50500;&#4932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view="pageBreakPreview" topLeftCell="A2" zoomScaleNormal="100" zoomScaleSheetLayoutView="100" workbookViewId="0">
      <selection sqref="A1:J14"/>
    </sheetView>
  </sheetViews>
  <sheetFormatPr defaultRowHeight="11.25" x14ac:dyDescent="0.15"/>
  <cols>
    <col min="2" max="10" width="17.83203125" customWidth="1"/>
    <col min="12" max="12" width="13.33203125" bestFit="1" customWidth="1"/>
    <col min="13" max="13" width="10" bestFit="1" customWidth="1"/>
  </cols>
  <sheetData>
    <row r="1" spans="1:10" ht="55.5" customHeight="1" x14ac:dyDescent="0.15">
      <c r="A1" s="33" t="s">
        <v>92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96" customHeight="1" x14ac:dyDescent="0.1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9.9499999999999993" customHeight="1" x14ac:dyDescent="0.15">
      <c r="A3" s="3"/>
      <c r="B3" s="3"/>
      <c r="C3" s="3"/>
      <c r="D3" s="3"/>
      <c r="E3" s="2"/>
      <c r="F3" s="3"/>
      <c r="G3" s="2"/>
      <c r="H3" s="3"/>
      <c r="I3" s="2"/>
      <c r="J3" s="3"/>
    </row>
    <row r="4" spans="1:10" ht="30" customHeight="1" x14ac:dyDescent="0.15">
      <c r="A4" s="32" t="s">
        <v>93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30" customHeight="1" x14ac:dyDescent="0.15">
      <c r="A5" s="31" t="s">
        <v>0</v>
      </c>
      <c r="B5" s="31" t="s">
        <v>70</v>
      </c>
      <c r="C5" s="31" t="s">
        <v>14</v>
      </c>
      <c r="D5" s="31" t="s">
        <v>73</v>
      </c>
      <c r="E5" s="31"/>
      <c r="F5" s="31" t="s">
        <v>74</v>
      </c>
      <c r="G5" s="31"/>
      <c r="H5" s="31" t="s">
        <v>75</v>
      </c>
      <c r="I5" s="31"/>
      <c r="J5" s="31"/>
    </row>
    <row r="6" spans="1:10" ht="30" customHeight="1" x14ac:dyDescent="0.15">
      <c r="A6" s="31"/>
      <c r="B6" s="31"/>
      <c r="C6" s="31"/>
      <c r="D6" s="23" t="s">
        <v>76</v>
      </c>
      <c r="E6" s="23" t="s">
        <v>72</v>
      </c>
      <c r="F6" s="23" t="s">
        <v>71</v>
      </c>
      <c r="G6" s="23" t="s">
        <v>72</v>
      </c>
      <c r="H6" s="23" t="s">
        <v>71</v>
      </c>
      <c r="I6" s="23" t="s">
        <v>72</v>
      </c>
      <c r="J6" s="23" t="s">
        <v>94</v>
      </c>
    </row>
    <row r="7" spans="1:10" ht="50.1" customHeight="1" x14ac:dyDescent="0.15">
      <c r="A7" s="5">
        <v>1</v>
      </c>
      <c r="B7" s="7" t="s">
        <v>80</v>
      </c>
      <c r="C7" s="5" t="s">
        <v>81</v>
      </c>
      <c r="D7" s="6"/>
      <c r="E7" s="6">
        <f t="shared" ref="E7:E10" si="0">D7*0.3</f>
        <v>0</v>
      </c>
      <c r="F7" s="6">
        <v>110000</v>
      </c>
      <c r="G7" s="6">
        <f t="shared" ref="G7:G9" si="1">F7*0.15</f>
        <v>16500</v>
      </c>
      <c r="H7" s="24">
        <f t="shared" ref="H7:H13" si="2">D7+F7</f>
        <v>110000</v>
      </c>
      <c r="I7" s="25">
        <f t="shared" ref="I7:I13" si="3">E7+G7</f>
        <v>16500</v>
      </c>
      <c r="J7" s="6"/>
    </row>
    <row r="8" spans="1:10" ht="50.1" customHeight="1" x14ac:dyDescent="0.15">
      <c r="A8" s="5">
        <v>2</v>
      </c>
      <c r="B8" s="7" t="s">
        <v>78</v>
      </c>
      <c r="C8" s="5" t="s">
        <v>79</v>
      </c>
      <c r="D8" s="6"/>
      <c r="E8" s="6">
        <f t="shared" si="0"/>
        <v>0</v>
      </c>
      <c r="F8" s="6">
        <v>470000</v>
      </c>
      <c r="G8" s="6">
        <f t="shared" si="1"/>
        <v>70500</v>
      </c>
      <c r="H8" s="24">
        <f t="shared" si="2"/>
        <v>470000</v>
      </c>
      <c r="I8" s="25">
        <f t="shared" si="3"/>
        <v>70500</v>
      </c>
      <c r="J8" s="6"/>
    </row>
    <row r="9" spans="1:10" ht="50.1" customHeight="1" x14ac:dyDescent="0.15">
      <c r="A9" s="5">
        <v>3</v>
      </c>
      <c r="B9" s="7" t="s">
        <v>82</v>
      </c>
      <c r="C9" s="5" t="s">
        <v>83</v>
      </c>
      <c r="D9" s="6"/>
      <c r="E9" s="6">
        <f t="shared" si="0"/>
        <v>0</v>
      </c>
      <c r="F9" s="6">
        <v>440000</v>
      </c>
      <c r="G9" s="6">
        <f t="shared" si="1"/>
        <v>66000</v>
      </c>
      <c r="H9" s="24">
        <f t="shared" si="2"/>
        <v>440000</v>
      </c>
      <c r="I9" s="25">
        <f t="shared" si="3"/>
        <v>66000</v>
      </c>
      <c r="J9" s="6"/>
    </row>
    <row r="10" spans="1:10" ht="50.1" customHeight="1" x14ac:dyDescent="0.15">
      <c r="A10" s="5">
        <v>4</v>
      </c>
      <c r="B10" s="7" t="s">
        <v>84</v>
      </c>
      <c r="C10" s="5" t="s">
        <v>85</v>
      </c>
      <c r="D10" s="6"/>
      <c r="E10" s="6">
        <f t="shared" si="0"/>
        <v>0</v>
      </c>
      <c r="F10" s="6">
        <v>410000</v>
      </c>
      <c r="G10" s="6">
        <f t="shared" ref="G10:G11" si="4">F10*0.15</f>
        <v>61500</v>
      </c>
      <c r="H10" s="24">
        <f t="shared" si="2"/>
        <v>410000</v>
      </c>
      <c r="I10" s="25">
        <f t="shared" si="3"/>
        <v>61500</v>
      </c>
      <c r="J10" s="6"/>
    </row>
    <row r="11" spans="1:10" ht="50.1" customHeight="1" x14ac:dyDescent="0.15">
      <c r="A11" s="5">
        <v>5</v>
      </c>
      <c r="B11" s="7" t="s">
        <v>86</v>
      </c>
      <c r="C11" s="5" t="s">
        <v>87</v>
      </c>
      <c r="D11" s="6">
        <v>4053000</v>
      </c>
      <c r="E11" s="6">
        <f t="shared" ref="E11" si="5">D11*0.3</f>
        <v>1215900</v>
      </c>
      <c r="F11" s="6">
        <v>410000</v>
      </c>
      <c r="G11" s="6">
        <f t="shared" si="4"/>
        <v>61500</v>
      </c>
      <c r="H11" s="24">
        <f t="shared" si="2"/>
        <v>4463000</v>
      </c>
      <c r="I11" s="25">
        <f t="shared" si="3"/>
        <v>1277400</v>
      </c>
      <c r="J11" s="6"/>
    </row>
    <row r="12" spans="1:10" ht="50.1" customHeight="1" x14ac:dyDescent="0.15">
      <c r="A12" s="5">
        <v>6</v>
      </c>
      <c r="B12" s="7" t="s">
        <v>88</v>
      </c>
      <c r="C12" s="5" t="s">
        <v>89</v>
      </c>
      <c r="D12" s="6"/>
      <c r="E12" s="6">
        <f>D12*0.3</f>
        <v>0</v>
      </c>
      <c r="F12" s="6">
        <v>115000</v>
      </c>
      <c r="G12" s="6">
        <f t="shared" ref="G12:G13" si="6">F12*0.15</f>
        <v>17250</v>
      </c>
      <c r="H12" s="24">
        <f t="shared" si="2"/>
        <v>115000</v>
      </c>
      <c r="I12" s="25">
        <f t="shared" si="3"/>
        <v>17250</v>
      </c>
      <c r="J12" s="6"/>
    </row>
    <row r="13" spans="1:10" ht="50.1" customHeight="1" x14ac:dyDescent="0.15">
      <c r="A13" s="5">
        <v>7</v>
      </c>
      <c r="B13" s="7" t="s">
        <v>90</v>
      </c>
      <c r="C13" s="5" t="s">
        <v>91</v>
      </c>
      <c r="D13" s="6"/>
      <c r="E13" s="6">
        <f t="shared" ref="E13" si="7">D13*0.3</f>
        <v>0</v>
      </c>
      <c r="F13" s="6">
        <v>390000</v>
      </c>
      <c r="G13" s="6">
        <f t="shared" si="6"/>
        <v>58500</v>
      </c>
      <c r="H13" s="24">
        <f t="shared" si="2"/>
        <v>390000</v>
      </c>
      <c r="I13" s="25">
        <f t="shared" si="3"/>
        <v>58500</v>
      </c>
      <c r="J13" s="6"/>
    </row>
    <row r="14" spans="1:10" ht="30" customHeight="1" x14ac:dyDescent="0.15">
      <c r="A14" s="28" t="s">
        <v>77</v>
      </c>
      <c r="B14" s="29"/>
      <c r="C14" s="30"/>
      <c r="D14" s="26">
        <f>SUM(D7:D13)</f>
        <v>4053000</v>
      </c>
      <c r="E14" s="26">
        <f>SUM(E7:E13)</f>
        <v>1215900</v>
      </c>
      <c r="F14" s="26">
        <f>SUM(F7:F13)</f>
        <v>2345000</v>
      </c>
      <c r="G14" s="26">
        <f>SUM(G7:G13)</f>
        <v>351750</v>
      </c>
      <c r="H14" s="26">
        <f>SUM(H7:H13)</f>
        <v>6398000</v>
      </c>
      <c r="I14" s="26">
        <f>SUM(I7:I13)</f>
        <v>1567650</v>
      </c>
      <c r="J14" s="26"/>
    </row>
    <row r="17" spans="5:7" x14ac:dyDescent="0.15">
      <c r="E17" s="27"/>
      <c r="G17" s="27"/>
    </row>
  </sheetData>
  <mergeCells count="9">
    <mergeCell ref="F5:G5"/>
    <mergeCell ref="H5:J5"/>
    <mergeCell ref="A4:J4"/>
    <mergeCell ref="A1:J2"/>
    <mergeCell ref="A14:C14"/>
    <mergeCell ref="D5:E5"/>
    <mergeCell ref="A5:A6"/>
    <mergeCell ref="B5:B6"/>
    <mergeCell ref="C5:C6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activeCell="B13" sqref="B13:G13"/>
    </sheetView>
  </sheetViews>
  <sheetFormatPr defaultRowHeight="11.25" x14ac:dyDescent="0.15"/>
  <cols>
    <col min="2" max="2" width="15.1640625" customWidth="1"/>
    <col min="3" max="3" width="34.5" customWidth="1"/>
    <col min="4" max="4" width="16.6640625" customWidth="1"/>
    <col min="5" max="9" width="13.83203125" customWidth="1"/>
  </cols>
  <sheetData>
    <row r="1" spans="1:9" ht="55.5" customHeight="1" x14ac:dyDescent="0.15">
      <c r="A1" s="41" t="s">
        <v>69</v>
      </c>
      <c r="B1" s="41"/>
      <c r="C1" s="41"/>
      <c r="D1" s="41"/>
      <c r="E1" s="11"/>
      <c r="F1" s="11"/>
      <c r="G1" s="11"/>
      <c r="H1" s="11"/>
      <c r="I1" s="11"/>
    </row>
    <row r="2" spans="1:9" ht="96" customHeight="1" x14ac:dyDescent="0.15">
      <c r="A2" s="41"/>
      <c r="B2" s="41"/>
      <c r="C2" s="41"/>
      <c r="D2" s="41"/>
      <c r="E2" s="11"/>
      <c r="F2" s="11"/>
      <c r="G2" s="11"/>
      <c r="H2" s="11"/>
      <c r="I2" s="11"/>
    </row>
    <row r="3" spans="1:9" ht="9.9499999999999993" customHeight="1" x14ac:dyDescent="0.15">
      <c r="A3" s="3"/>
      <c r="B3" s="3"/>
      <c r="C3" s="3"/>
      <c r="D3" s="3"/>
      <c r="E3" s="2"/>
      <c r="F3" s="2"/>
      <c r="G3" s="2"/>
    </row>
    <row r="4" spans="1:9" ht="30" customHeight="1" x14ac:dyDescent="0.15">
      <c r="A4" s="40" t="s">
        <v>12</v>
      </c>
      <c r="B4" s="40"/>
      <c r="C4" s="40"/>
      <c r="D4" s="40"/>
      <c r="E4" s="40"/>
      <c r="F4" s="40"/>
      <c r="G4" s="40"/>
      <c r="H4" s="40"/>
      <c r="I4" s="40"/>
    </row>
    <row r="5" spans="1:9" ht="30" customHeight="1" x14ac:dyDescent="0.15">
      <c r="A5" s="4" t="s">
        <v>0</v>
      </c>
      <c r="B5" s="12" t="s">
        <v>15</v>
      </c>
      <c r="C5" s="12" t="s">
        <v>18</v>
      </c>
      <c r="D5" s="4" t="s">
        <v>13</v>
      </c>
      <c r="E5" s="4" t="s">
        <v>14</v>
      </c>
      <c r="F5" s="4" t="s">
        <v>16</v>
      </c>
      <c r="G5" s="4" t="s">
        <v>17</v>
      </c>
      <c r="H5" s="4" t="s">
        <v>1</v>
      </c>
      <c r="I5" s="4" t="s">
        <v>2</v>
      </c>
    </row>
    <row r="6" spans="1:9" ht="30" customHeight="1" x14ac:dyDescent="0.15">
      <c r="A6" s="38">
        <v>1</v>
      </c>
      <c r="B6" s="10" t="s">
        <v>19</v>
      </c>
      <c r="C6" s="10" t="s">
        <v>20</v>
      </c>
      <c r="D6" s="7" t="s">
        <v>21</v>
      </c>
      <c r="E6" s="5" t="s">
        <v>22</v>
      </c>
      <c r="F6" s="6">
        <v>90000</v>
      </c>
      <c r="G6" s="13">
        <v>0.15</v>
      </c>
      <c r="H6" s="6">
        <f>F6*G6</f>
        <v>13500</v>
      </c>
      <c r="I6" s="5" t="s">
        <v>10</v>
      </c>
    </row>
    <row r="7" spans="1:9" ht="30" customHeight="1" x14ac:dyDescent="0.15">
      <c r="A7" s="39"/>
      <c r="B7" s="35" t="s">
        <v>21</v>
      </c>
      <c r="C7" s="36"/>
      <c r="D7" s="36"/>
      <c r="E7" s="36"/>
      <c r="F7" s="36"/>
      <c r="G7" s="36"/>
      <c r="H7" s="19" t="s">
        <v>67</v>
      </c>
      <c r="I7" s="20">
        <v>13500</v>
      </c>
    </row>
    <row r="8" spans="1:9" ht="30" customHeight="1" x14ac:dyDescent="0.15">
      <c r="A8" s="38">
        <v>2</v>
      </c>
      <c r="B8" s="15" t="s">
        <v>19</v>
      </c>
      <c r="C8" s="10" t="s">
        <v>23</v>
      </c>
      <c r="D8" s="5" t="s">
        <v>24</v>
      </c>
      <c r="E8" s="5" t="s">
        <v>25</v>
      </c>
      <c r="F8" s="6">
        <v>290000</v>
      </c>
      <c r="G8" s="13">
        <v>0.15</v>
      </c>
      <c r="H8" s="6">
        <f>F8*G8</f>
        <v>43500</v>
      </c>
      <c r="I8" s="5" t="s">
        <v>11</v>
      </c>
    </row>
    <row r="9" spans="1:9" ht="30" customHeight="1" x14ac:dyDescent="0.15">
      <c r="A9" s="39"/>
      <c r="B9" s="35" t="s">
        <v>24</v>
      </c>
      <c r="C9" s="36"/>
      <c r="D9" s="36"/>
      <c r="E9" s="36"/>
      <c r="F9" s="36"/>
      <c r="G9" s="36"/>
      <c r="H9" s="19" t="s">
        <v>67</v>
      </c>
      <c r="I9" s="20">
        <v>43500</v>
      </c>
    </row>
    <row r="10" spans="1:9" ht="30" customHeight="1" x14ac:dyDescent="0.15">
      <c r="A10" s="38">
        <v>3</v>
      </c>
      <c r="B10" s="15" t="s">
        <v>26</v>
      </c>
      <c r="C10" s="10" t="s">
        <v>27</v>
      </c>
      <c r="D10" s="5" t="s">
        <v>28</v>
      </c>
      <c r="E10" s="16" t="s">
        <v>29</v>
      </c>
      <c r="F10" s="18">
        <v>200000</v>
      </c>
      <c r="G10" s="17">
        <v>0.15</v>
      </c>
      <c r="H10" s="6">
        <f>F10*G10</f>
        <v>30000</v>
      </c>
      <c r="I10" s="5" t="s">
        <v>10</v>
      </c>
    </row>
    <row r="11" spans="1:9" ht="30" customHeight="1" x14ac:dyDescent="0.15">
      <c r="A11" s="42"/>
      <c r="B11" s="15" t="s">
        <v>26</v>
      </c>
      <c r="C11" s="10" t="s">
        <v>33</v>
      </c>
      <c r="D11" s="5" t="s">
        <v>28</v>
      </c>
      <c r="E11" s="16" t="s">
        <v>29</v>
      </c>
      <c r="F11" s="6">
        <v>145000</v>
      </c>
      <c r="G11" s="13">
        <v>0.15</v>
      </c>
      <c r="H11" s="6">
        <f>F11*G11</f>
        <v>21750</v>
      </c>
      <c r="I11" s="5" t="s">
        <v>10</v>
      </c>
    </row>
    <row r="12" spans="1:9" ht="30" customHeight="1" x14ac:dyDescent="0.15">
      <c r="A12" s="42"/>
      <c r="B12" s="15" t="s">
        <v>47</v>
      </c>
      <c r="C12" s="10" t="s">
        <v>48</v>
      </c>
      <c r="D12" s="5" t="s">
        <v>28</v>
      </c>
      <c r="E12" s="5" t="s">
        <v>29</v>
      </c>
      <c r="F12" s="6">
        <v>120000</v>
      </c>
      <c r="G12" s="13">
        <v>0.15</v>
      </c>
      <c r="H12" s="6">
        <f>F12*G12</f>
        <v>18000</v>
      </c>
      <c r="I12" s="5" t="s">
        <v>10</v>
      </c>
    </row>
    <row r="13" spans="1:9" ht="30" customHeight="1" x14ac:dyDescent="0.15">
      <c r="A13" s="39"/>
      <c r="B13" s="35" t="s">
        <v>28</v>
      </c>
      <c r="C13" s="36"/>
      <c r="D13" s="36"/>
      <c r="E13" s="36"/>
      <c r="F13" s="36"/>
      <c r="G13" s="36"/>
      <c r="H13" s="19" t="s">
        <v>67</v>
      </c>
      <c r="I13" s="20">
        <f>H10+H11+H12</f>
        <v>69750</v>
      </c>
    </row>
    <row r="14" spans="1:9" ht="30" customHeight="1" x14ac:dyDescent="0.15">
      <c r="A14" s="38">
        <v>4</v>
      </c>
      <c r="B14" s="15" t="s">
        <v>26</v>
      </c>
      <c r="C14" s="10" t="s">
        <v>30</v>
      </c>
      <c r="D14" s="5" t="s">
        <v>31</v>
      </c>
      <c r="E14" s="5" t="s">
        <v>32</v>
      </c>
      <c r="F14" s="6">
        <v>260000</v>
      </c>
      <c r="G14" s="13">
        <v>0.15</v>
      </c>
      <c r="H14" s="6">
        <f>F14*G14</f>
        <v>39000</v>
      </c>
      <c r="I14" s="5" t="s">
        <v>10</v>
      </c>
    </row>
    <row r="15" spans="1:9" ht="30" customHeight="1" x14ac:dyDescent="0.15">
      <c r="A15" s="39"/>
      <c r="B15" s="35" t="s">
        <v>31</v>
      </c>
      <c r="C15" s="36"/>
      <c r="D15" s="36"/>
      <c r="E15" s="36"/>
      <c r="F15" s="36"/>
      <c r="G15" s="36"/>
      <c r="H15" s="19" t="s">
        <v>67</v>
      </c>
      <c r="I15" s="20">
        <f>H14</f>
        <v>39000</v>
      </c>
    </row>
    <row r="16" spans="1:9" ht="30" customHeight="1" x14ac:dyDescent="0.15">
      <c r="A16" s="38">
        <v>5</v>
      </c>
      <c r="B16" s="15" t="s">
        <v>34</v>
      </c>
      <c r="C16" s="10" t="s">
        <v>35</v>
      </c>
      <c r="D16" s="8" t="s">
        <v>36</v>
      </c>
      <c r="E16" s="8" t="s">
        <v>37</v>
      </c>
      <c r="F16" s="9">
        <v>200000</v>
      </c>
      <c r="G16" s="14">
        <v>0.15</v>
      </c>
      <c r="H16" s="6">
        <f>F16*G16</f>
        <v>30000</v>
      </c>
      <c r="I16" s="5" t="s">
        <v>10</v>
      </c>
    </row>
    <row r="17" spans="1:9" ht="30" customHeight="1" x14ac:dyDescent="0.15">
      <c r="A17" s="39"/>
      <c r="B17" s="35" t="s">
        <v>36</v>
      </c>
      <c r="C17" s="36"/>
      <c r="D17" s="36"/>
      <c r="E17" s="36"/>
      <c r="F17" s="36"/>
      <c r="G17" s="36"/>
      <c r="H17" s="19" t="s">
        <v>67</v>
      </c>
      <c r="I17" s="20">
        <f>H16</f>
        <v>30000</v>
      </c>
    </row>
    <row r="18" spans="1:9" ht="30" customHeight="1" x14ac:dyDescent="0.15">
      <c r="A18" s="38">
        <v>6</v>
      </c>
      <c r="B18" s="15" t="s">
        <v>38</v>
      </c>
      <c r="C18" s="10" t="s">
        <v>39</v>
      </c>
      <c r="D18" s="5" t="s">
        <v>40</v>
      </c>
      <c r="E18" s="5" t="s">
        <v>41</v>
      </c>
      <c r="F18" s="6">
        <v>280000</v>
      </c>
      <c r="G18" s="13">
        <v>0.15</v>
      </c>
      <c r="H18" s="6">
        <f>F18*G18</f>
        <v>42000</v>
      </c>
      <c r="I18" s="5" t="s">
        <v>10</v>
      </c>
    </row>
    <row r="19" spans="1:9" ht="30" customHeight="1" x14ac:dyDescent="0.15">
      <c r="A19" s="39"/>
      <c r="B19" s="35" t="s">
        <v>40</v>
      </c>
      <c r="C19" s="36"/>
      <c r="D19" s="36"/>
      <c r="E19" s="36"/>
      <c r="F19" s="36"/>
      <c r="G19" s="36"/>
      <c r="H19" s="19" t="s">
        <v>67</v>
      </c>
      <c r="I19" s="20">
        <f>H18</f>
        <v>42000</v>
      </c>
    </row>
    <row r="20" spans="1:9" ht="30" customHeight="1" x14ac:dyDescent="0.15">
      <c r="A20" s="37">
        <v>7</v>
      </c>
      <c r="B20" s="15" t="s">
        <v>42</v>
      </c>
      <c r="C20" s="10" t="s">
        <v>45</v>
      </c>
      <c r="D20" s="5" t="s">
        <v>43</v>
      </c>
      <c r="E20" s="5" t="s">
        <v>44</v>
      </c>
      <c r="F20" s="6">
        <v>280000</v>
      </c>
      <c r="G20" s="13">
        <v>0.15</v>
      </c>
      <c r="H20" s="6">
        <f>F20*G20</f>
        <v>42000</v>
      </c>
      <c r="I20" s="5" t="s">
        <v>11</v>
      </c>
    </row>
    <row r="21" spans="1:9" ht="30" customHeight="1" x14ac:dyDescent="0.15">
      <c r="A21" s="37"/>
      <c r="B21" s="15" t="s">
        <v>42</v>
      </c>
      <c r="C21" s="10" t="s">
        <v>46</v>
      </c>
      <c r="D21" s="5" t="s">
        <v>43</v>
      </c>
      <c r="E21" s="5" t="s">
        <v>44</v>
      </c>
      <c r="F21" s="6">
        <v>115000</v>
      </c>
      <c r="G21" s="13">
        <v>0.15</v>
      </c>
      <c r="H21" s="6">
        <f>F21*G21</f>
        <v>17250</v>
      </c>
      <c r="I21" s="5" t="s">
        <v>10</v>
      </c>
    </row>
    <row r="22" spans="1:9" ht="30" customHeight="1" x14ac:dyDescent="0.15">
      <c r="A22" s="37"/>
      <c r="B22" s="35" t="s">
        <v>43</v>
      </c>
      <c r="C22" s="36"/>
      <c r="D22" s="36"/>
      <c r="E22" s="36"/>
      <c r="F22" s="36"/>
      <c r="G22" s="36"/>
      <c r="H22" s="19" t="s">
        <v>67</v>
      </c>
      <c r="I22" s="20">
        <f>H21+H20</f>
        <v>59250</v>
      </c>
    </row>
    <row r="23" spans="1:9" ht="30" customHeight="1" x14ac:dyDescent="0.15">
      <c r="A23" s="38">
        <v>8</v>
      </c>
      <c r="B23" s="15" t="s">
        <v>49</v>
      </c>
      <c r="C23" s="10" t="s">
        <v>50</v>
      </c>
      <c r="D23" s="5" t="s">
        <v>51</v>
      </c>
      <c r="E23" s="5" t="s">
        <v>52</v>
      </c>
      <c r="F23" s="6">
        <v>190000</v>
      </c>
      <c r="G23" s="13">
        <v>0.15</v>
      </c>
      <c r="H23" s="6">
        <f>F23*G23</f>
        <v>28500</v>
      </c>
      <c r="I23" s="5" t="s">
        <v>11</v>
      </c>
    </row>
    <row r="24" spans="1:9" ht="30" customHeight="1" x14ac:dyDescent="0.15">
      <c r="A24" s="39"/>
      <c r="B24" s="35" t="s">
        <v>51</v>
      </c>
      <c r="C24" s="36"/>
      <c r="D24" s="36"/>
      <c r="E24" s="36"/>
      <c r="F24" s="36"/>
      <c r="G24" s="36"/>
      <c r="H24" s="19" t="s">
        <v>67</v>
      </c>
      <c r="I24" s="20">
        <f>H23</f>
        <v>28500</v>
      </c>
    </row>
    <row r="25" spans="1:9" ht="30" customHeight="1" x14ac:dyDescent="0.15">
      <c r="A25" s="38">
        <v>9</v>
      </c>
      <c r="B25" s="15" t="s">
        <v>53</v>
      </c>
      <c r="C25" s="10" t="s">
        <v>54</v>
      </c>
      <c r="D25" s="5" t="s">
        <v>55</v>
      </c>
      <c r="E25" s="5" t="s">
        <v>56</v>
      </c>
      <c r="F25" s="6">
        <v>500000</v>
      </c>
      <c r="G25" s="13">
        <v>0.15</v>
      </c>
      <c r="H25" s="6">
        <f>F25*G25</f>
        <v>75000</v>
      </c>
      <c r="I25" s="5" t="s">
        <v>10</v>
      </c>
    </row>
    <row r="26" spans="1:9" ht="30" customHeight="1" x14ac:dyDescent="0.15">
      <c r="A26" s="39"/>
      <c r="B26" s="35" t="s">
        <v>55</v>
      </c>
      <c r="C26" s="36"/>
      <c r="D26" s="36"/>
      <c r="E26" s="36"/>
      <c r="F26" s="36"/>
      <c r="G26" s="36"/>
      <c r="H26" s="19" t="s">
        <v>67</v>
      </c>
      <c r="I26" s="20">
        <f>H25</f>
        <v>75000</v>
      </c>
    </row>
    <row r="27" spans="1:9" ht="30" customHeight="1" x14ac:dyDescent="0.15">
      <c r="A27" s="38">
        <v>10</v>
      </c>
      <c r="B27" s="15" t="s">
        <v>53</v>
      </c>
      <c r="C27" s="10" t="s">
        <v>57</v>
      </c>
      <c r="D27" s="5" t="s">
        <v>58</v>
      </c>
      <c r="E27" s="5" t="s">
        <v>59</v>
      </c>
      <c r="F27" s="6">
        <v>7500</v>
      </c>
      <c r="G27" s="13">
        <v>0.15</v>
      </c>
      <c r="H27" s="6">
        <f>F27*G27</f>
        <v>1125</v>
      </c>
      <c r="I27" s="5" t="s">
        <v>11</v>
      </c>
    </row>
    <row r="28" spans="1:9" ht="30" customHeight="1" x14ac:dyDescent="0.15">
      <c r="A28" s="39"/>
      <c r="B28" s="35" t="s">
        <v>58</v>
      </c>
      <c r="C28" s="36"/>
      <c r="D28" s="36"/>
      <c r="E28" s="36"/>
      <c r="F28" s="36"/>
      <c r="G28" s="36"/>
      <c r="H28" s="19" t="s">
        <v>67</v>
      </c>
      <c r="I28" s="20">
        <f>H27</f>
        <v>1125</v>
      </c>
    </row>
    <row r="29" spans="1:9" ht="30" customHeight="1" x14ac:dyDescent="0.15">
      <c r="A29" s="38">
        <v>11</v>
      </c>
      <c r="B29" s="15" t="s">
        <v>60</v>
      </c>
      <c r="C29" s="10" t="s">
        <v>61</v>
      </c>
      <c r="D29" s="5" t="s">
        <v>63</v>
      </c>
      <c r="E29" s="5" t="s">
        <v>64</v>
      </c>
      <c r="F29" s="6">
        <v>230000</v>
      </c>
      <c r="G29" s="13">
        <v>0.15</v>
      </c>
      <c r="H29" s="6">
        <f>F29*G29</f>
        <v>34500</v>
      </c>
      <c r="I29" s="5" t="s">
        <v>11</v>
      </c>
    </row>
    <row r="30" spans="1:9" ht="30" customHeight="1" x14ac:dyDescent="0.15">
      <c r="A30" s="39"/>
      <c r="B30" s="35" t="s">
        <v>63</v>
      </c>
      <c r="C30" s="36"/>
      <c r="D30" s="36"/>
      <c r="E30" s="36"/>
      <c r="F30" s="36"/>
      <c r="G30" s="36"/>
      <c r="H30" s="19" t="s">
        <v>67</v>
      </c>
      <c r="I30" s="20">
        <f>H29</f>
        <v>34500</v>
      </c>
    </row>
    <row r="31" spans="1:9" ht="30" customHeight="1" x14ac:dyDescent="0.15">
      <c r="A31" s="38">
        <v>12</v>
      </c>
      <c r="B31" s="15" t="s">
        <v>60</v>
      </c>
      <c r="C31" s="10" t="s">
        <v>62</v>
      </c>
      <c r="D31" s="5" t="s">
        <v>65</v>
      </c>
      <c r="E31" s="5" t="s">
        <v>66</v>
      </c>
      <c r="F31" s="6">
        <v>50000</v>
      </c>
      <c r="G31" s="13">
        <v>0.15</v>
      </c>
      <c r="H31" s="6">
        <f>F31*G31</f>
        <v>7500</v>
      </c>
      <c r="I31" s="5" t="s">
        <v>11</v>
      </c>
    </row>
    <row r="32" spans="1:9" ht="30" customHeight="1" x14ac:dyDescent="0.15">
      <c r="A32" s="39"/>
      <c r="B32" s="35" t="s">
        <v>65</v>
      </c>
      <c r="C32" s="36"/>
      <c r="D32" s="36"/>
      <c r="E32" s="36"/>
      <c r="F32" s="36"/>
      <c r="G32" s="36"/>
      <c r="H32" s="19" t="s">
        <v>67</v>
      </c>
      <c r="I32" s="20">
        <f>H31</f>
        <v>7500</v>
      </c>
    </row>
    <row r="33" spans="1:9" ht="30" customHeight="1" x14ac:dyDescent="0.15">
      <c r="A33" s="34" t="s">
        <v>68</v>
      </c>
      <c r="B33" s="34"/>
      <c r="C33" s="34"/>
      <c r="D33" s="34"/>
      <c r="E33" s="34"/>
      <c r="F33" s="34"/>
      <c r="G33" s="34"/>
      <c r="H33" s="21" t="s">
        <v>67</v>
      </c>
      <c r="I33" s="22">
        <f>I7+I9+I13+I15+I17+I19+I22+I24+I26+I28+I30+I30+I32</f>
        <v>478125</v>
      </c>
    </row>
  </sheetData>
  <mergeCells count="27">
    <mergeCell ref="A4:I4"/>
    <mergeCell ref="A1:D2"/>
    <mergeCell ref="B17:G17"/>
    <mergeCell ref="B19:G19"/>
    <mergeCell ref="A6:A7"/>
    <mergeCell ref="A8:A9"/>
    <mergeCell ref="A10:A13"/>
    <mergeCell ref="A14:A15"/>
    <mergeCell ref="A16:A17"/>
    <mergeCell ref="A18:A19"/>
    <mergeCell ref="B7:G7"/>
    <mergeCell ref="B9:G9"/>
    <mergeCell ref="B13:G13"/>
    <mergeCell ref="B15:G15"/>
    <mergeCell ref="A33:G33"/>
    <mergeCell ref="B32:G32"/>
    <mergeCell ref="A20:A22"/>
    <mergeCell ref="A23:A24"/>
    <mergeCell ref="A25:A26"/>
    <mergeCell ref="A27:A28"/>
    <mergeCell ref="A29:A30"/>
    <mergeCell ref="A31:A32"/>
    <mergeCell ref="B22:G22"/>
    <mergeCell ref="B24:G24"/>
    <mergeCell ref="B26:G26"/>
    <mergeCell ref="B28:G28"/>
    <mergeCell ref="B30:G30"/>
  </mergeCells>
  <phoneticPr fontId="2" type="noConversion"/>
  <pageMargins left="0.7" right="0.7" top="0.75" bottom="0.75" header="0.3" footer="0.3"/>
  <pageSetup paperSize="9" scale="74" orientation="portrait" r:id="rId1"/>
  <colBreaks count="1" manualBreakCount="1">
    <brk id="9" max="39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C13"/>
    </sheetView>
  </sheetViews>
  <sheetFormatPr defaultRowHeight="11.25" x14ac:dyDescent="0.15"/>
  <cols>
    <col min="1" max="3" width="12.83203125" customWidth="1"/>
  </cols>
  <sheetData>
    <row r="1" spans="1:10" x14ac:dyDescent="0.15">
      <c r="A1" s="43" t="s">
        <v>3</v>
      </c>
      <c r="B1" s="43" t="s">
        <v>4</v>
      </c>
      <c r="C1" s="43" t="s">
        <v>5</v>
      </c>
      <c r="G1" s="43" t="s">
        <v>4</v>
      </c>
      <c r="H1" s="43" t="s">
        <v>5</v>
      </c>
      <c r="I1" s="43" t="s">
        <v>6</v>
      </c>
      <c r="J1" s="45" t="s">
        <v>7</v>
      </c>
    </row>
    <row r="2" spans="1:10" x14ac:dyDescent="0.15">
      <c r="A2" s="43"/>
      <c r="B2" s="43"/>
      <c r="C2" s="43"/>
      <c r="G2" s="43"/>
      <c r="H2" s="43"/>
      <c r="I2" s="43"/>
      <c r="J2" s="43"/>
    </row>
    <row r="3" spans="1:10" x14ac:dyDescent="0.15">
      <c r="A3" s="43"/>
      <c r="B3" s="43"/>
      <c r="C3" s="43"/>
      <c r="G3" s="43"/>
      <c r="H3" s="43"/>
      <c r="I3" s="43"/>
      <c r="J3" s="43"/>
    </row>
    <row r="4" spans="1:10" x14ac:dyDescent="0.15">
      <c r="A4" s="44"/>
      <c r="B4" s="44"/>
      <c r="C4" s="44"/>
      <c r="G4" s="44"/>
      <c r="H4" s="44"/>
      <c r="I4" s="44"/>
      <c r="J4" s="44"/>
    </row>
    <row r="5" spans="1:10" x14ac:dyDescent="0.15">
      <c r="A5" s="44"/>
      <c r="B5" s="44"/>
      <c r="C5" s="44"/>
      <c r="G5" s="44"/>
      <c r="H5" s="44"/>
      <c r="I5" s="44"/>
      <c r="J5" s="44"/>
    </row>
    <row r="6" spans="1:10" x14ac:dyDescent="0.15">
      <c r="A6" s="44"/>
      <c r="B6" s="44"/>
      <c r="C6" s="44"/>
      <c r="G6" s="44"/>
      <c r="H6" s="44"/>
      <c r="I6" s="44"/>
      <c r="J6" s="44"/>
    </row>
    <row r="7" spans="1:10" ht="5.0999999999999996" customHeight="1" x14ac:dyDescent="0.15">
      <c r="A7" s="1"/>
      <c r="B7" s="1"/>
      <c r="C7" s="1"/>
    </row>
    <row r="8" spans="1:10" x14ac:dyDescent="0.15">
      <c r="A8" s="43" t="s">
        <v>8</v>
      </c>
      <c r="B8" s="43" t="s">
        <v>6</v>
      </c>
      <c r="C8" s="43" t="s">
        <v>9</v>
      </c>
    </row>
    <row r="9" spans="1:10" x14ac:dyDescent="0.15">
      <c r="A9" s="43"/>
      <c r="B9" s="43"/>
      <c r="C9" s="43"/>
    </row>
    <row r="10" spans="1:10" x14ac:dyDescent="0.15">
      <c r="A10" s="43"/>
      <c r="B10" s="43"/>
      <c r="C10" s="43"/>
    </row>
    <row r="11" spans="1:10" x14ac:dyDescent="0.15">
      <c r="A11" s="44"/>
      <c r="B11" s="44"/>
      <c r="C11" s="44"/>
    </row>
    <row r="12" spans="1:10" x14ac:dyDescent="0.15">
      <c r="A12" s="44"/>
      <c r="B12" s="44"/>
      <c r="C12" s="44"/>
    </row>
    <row r="13" spans="1:10" x14ac:dyDescent="0.15">
      <c r="A13" s="44"/>
      <c r="B13" s="44"/>
      <c r="C13" s="44"/>
    </row>
  </sheetData>
  <mergeCells count="20">
    <mergeCell ref="J1:J3"/>
    <mergeCell ref="A4:A6"/>
    <mergeCell ref="B4:B6"/>
    <mergeCell ref="C4:C6"/>
    <mergeCell ref="G4:G6"/>
    <mergeCell ref="H4:H6"/>
    <mergeCell ref="I4:I6"/>
    <mergeCell ref="J4:J6"/>
    <mergeCell ref="A1:A3"/>
    <mergeCell ref="B1:B3"/>
    <mergeCell ref="C1:C3"/>
    <mergeCell ref="G1:G3"/>
    <mergeCell ref="H1:H3"/>
    <mergeCell ref="I1:I3"/>
    <mergeCell ref="A8:A10"/>
    <mergeCell ref="B8:B10"/>
    <mergeCell ref="C8:C10"/>
    <mergeCell ref="A11:A13"/>
    <mergeCell ref="B11:B13"/>
    <mergeCell ref="C11:C1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1.2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Sheet1 (2)</vt:lpstr>
      <vt:lpstr>Sheet1</vt:lpstr>
      <vt:lpstr>Sheet2</vt:lpstr>
      <vt:lpstr>Sheet3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dogog-06</dc:creator>
  <cp:lastModifiedBy>이경나</cp:lastModifiedBy>
  <cp:lastPrinted>2026-06-04T01:11:26Z</cp:lastPrinted>
  <dcterms:created xsi:type="dcterms:W3CDTF">2016-04-01T02:32:20Z</dcterms:created>
  <dcterms:modified xsi:type="dcterms:W3CDTF">2026-06-04T05:25:44Z</dcterms:modified>
</cp:coreProperties>
</file>