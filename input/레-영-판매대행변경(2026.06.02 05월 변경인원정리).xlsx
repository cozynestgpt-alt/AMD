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120" yWindow="-120" windowWidth="29040" windowHeight="15750"/>
  </bookViews>
  <sheets>
    <sheet name="판매사원채용신청서" sheetId="1" r:id="rId1"/>
    <sheet name="Sheet3" sheetId="4" r:id="rId2"/>
    <sheet name="Sheet2" sheetId="3" r:id="rId3"/>
    <sheet name="Sheet1" sheetId="2" r:id="rId4"/>
    <sheet name="Sheet4" sheetId="5" r:id="rId5"/>
  </sheets>
  <definedNames>
    <definedName name="_xlnm._FilterDatabase" localSheetId="4" hidden="1">Sheet4!$A$1:$G$41</definedName>
    <definedName name="_xlnm._FilterDatabase" localSheetId="0" hidden="1">판매사원채용신청서!#REF!</definedName>
    <definedName name="_xlnm.Print_Area" localSheetId="0">판매사원채용신청서!$A$1:$N$196</definedName>
    <definedName name="_xlnm.Print_Titles" localSheetId="0">판매사원채용신청서!$64:$64</definedName>
  </definedNames>
  <calcPr calcId="125725"/>
</workbook>
</file>

<file path=xl/calcChain.xml><?xml version="1.0" encoding="utf-8"?>
<calcChain xmlns="http://schemas.openxmlformats.org/spreadsheetml/2006/main">
  <c r="P34" i="1"/>
  <c r="V43"/>
  <c r="R32"/>
  <c r="R6"/>
  <c r="R22"/>
  <c r="T22"/>
  <c r="P22"/>
  <c r="L22"/>
  <c r="P12"/>
  <c r="P14"/>
  <c r="R12"/>
  <c r="R10"/>
  <c r="T12"/>
  <c r="L12"/>
  <c r="T10"/>
  <c r="P10"/>
  <c r="L10"/>
  <c r="R36"/>
  <c r="R28"/>
  <c r="U22" l="1"/>
  <c r="W22" s="1"/>
  <c r="U10"/>
  <c r="W10" s="1"/>
  <c r="U12"/>
  <c r="W12" s="1"/>
  <c r="T36"/>
  <c r="P36"/>
  <c r="L36"/>
  <c r="T28"/>
  <c r="P28"/>
  <c r="L28"/>
  <c r="E21" i="2"/>
  <c r="E22" s="1"/>
  <c r="C22"/>
  <c r="R16" i="1"/>
  <c r="P20"/>
  <c r="P40"/>
  <c r="P30"/>
  <c r="T16"/>
  <c r="P16"/>
  <c r="L16"/>
  <c r="K196"/>
  <c r="U36" l="1"/>
  <c r="W36" s="1"/>
  <c r="U28"/>
  <c r="W28" s="1"/>
  <c r="U16"/>
  <c r="W16" s="1"/>
  <c r="P24"/>
  <c r="R14" l="1"/>
  <c r="R30"/>
  <c r="T30"/>
  <c r="L30"/>
  <c r="T14"/>
  <c r="L14"/>
  <c r="U14" l="1"/>
  <c r="W14" s="1"/>
  <c r="U30"/>
  <c r="W30" s="1"/>
  <c r="R34"/>
  <c r="H8" i="2"/>
  <c r="G8"/>
  <c r="F8"/>
  <c r="E8"/>
  <c r="D8"/>
  <c r="I5"/>
  <c r="I8" s="1"/>
  <c r="I4"/>
  <c r="H6"/>
  <c r="G6"/>
  <c r="I6" s="1"/>
  <c r="F6"/>
  <c r="E6"/>
  <c r="D6"/>
  <c r="T34" i="1"/>
  <c r="L34"/>
  <c r="T38"/>
  <c r="L38"/>
  <c r="U34" l="1"/>
  <c r="W34" s="1"/>
  <c r="P6"/>
  <c r="P8"/>
  <c r="P18"/>
  <c r="L32" l="1"/>
  <c r="L40"/>
  <c r="L24"/>
  <c r="L20"/>
  <c r="L18"/>
  <c r="L8"/>
  <c r="R24" l="1"/>
  <c r="R20"/>
  <c r="R18"/>
  <c r="R8"/>
  <c r="T42"/>
  <c r="T40"/>
  <c r="T32"/>
  <c r="T24"/>
  <c r="T20"/>
  <c r="T18"/>
  <c r="T8"/>
  <c r="U18" l="1"/>
  <c r="W18" s="1"/>
  <c r="U20"/>
  <c r="W20" s="1"/>
  <c r="U8"/>
  <c r="W8" s="1"/>
  <c r="U24"/>
  <c r="W24" s="1"/>
  <c r="M196" l="1"/>
  <c r="T6"/>
  <c r="U6" s="1"/>
  <c r="W6" s="1"/>
  <c r="L6" l="1"/>
  <c r="N43" l="1"/>
  <c r="L42"/>
  <c r="R40"/>
  <c r="U40" s="1"/>
  <c r="W40" l="1"/>
  <c r="P32"/>
  <c r="U32"/>
  <c r="W32" l="1"/>
  <c r="P38"/>
  <c r="R38"/>
  <c r="U38" s="1"/>
  <c r="W38" l="1"/>
  <c r="R42"/>
  <c r="U42" s="1"/>
  <c r="P42"/>
  <c r="W42" l="1"/>
  <c r="W43" s="1"/>
  <c r="U43"/>
</calcChain>
</file>

<file path=xl/sharedStrings.xml><?xml version="1.0" encoding="utf-8"?>
<sst xmlns="http://schemas.openxmlformats.org/spreadsheetml/2006/main" count="632" uniqueCount="403">
  <si>
    <t>롯데관악점</t>
  </si>
  <si>
    <t>롯데광주점</t>
  </si>
  <si>
    <t>롯데포항점</t>
  </si>
  <si>
    <t>롯데창원점</t>
  </si>
  <si>
    <t>롯데미아점</t>
  </si>
  <si>
    <t>롯데노원점</t>
  </si>
  <si>
    <t>현대무역점</t>
  </si>
  <si>
    <t>현대울산점</t>
  </si>
  <si>
    <t>현대미아점</t>
  </si>
  <si>
    <t>신세계광주점</t>
  </si>
  <si>
    <t>신세계마산점</t>
  </si>
  <si>
    <t>신세계경기점</t>
  </si>
  <si>
    <t>신세계영등포점</t>
  </si>
  <si>
    <t>신세계본점</t>
  </si>
  <si>
    <t>AK플라자분당점</t>
  </si>
  <si>
    <t>직위</t>
    <phoneticPr fontId="3" type="noConversion"/>
  </si>
  <si>
    <t>롯데광복점</t>
    <phoneticPr fontId="4" type="noConversion"/>
  </si>
  <si>
    <t>매장명</t>
    <phoneticPr fontId="3" type="noConversion"/>
  </si>
  <si>
    <t>성명</t>
    <phoneticPr fontId="3" type="noConversion"/>
  </si>
  <si>
    <t>주소</t>
    <phoneticPr fontId="3" type="noConversion"/>
  </si>
  <si>
    <t>주민번호</t>
    <phoneticPr fontId="3" type="noConversion"/>
  </si>
  <si>
    <t>700510-2813517</t>
    <phoneticPr fontId="3" type="noConversion"/>
  </si>
  <si>
    <t>720602-2774514</t>
    <phoneticPr fontId="3" type="noConversion"/>
  </si>
  <si>
    <t>광주시서구상무1동1337번지우미빌 205동505호</t>
    <phoneticPr fontId="3" type="noConversion"/>
  </si>
  <si>
    <t>691103-2237211</t>
    <phoneticPr fontId="3" type="noConversion"/>
  </si>
  <si>
    <t>690630-2655117</t>
    <phoneticPr fontId="3" type="noConversion"/>
  </si>
  <si>
    <t>H.P</t>
    <phoneticPr fontId="3" type="noConversion"/>
  </si>
  <si>
    <t>010-2816-9058</t>
    <phoneticPr fontId="3" type="noConversion"/>
  </si>
  <si>
    <t>010-4945-0954</t>
    <phoneticPr fontId="3" type="noConversion"/>
  </si>
  <si>
    <t>010-4487-1533</t>
    <phoneticPr fontId="3" type="noConversion"/>
  </si>
  <si>
    <t>서울 관악구 보라매동 662-75 101호</t>
    <phoneticPr fontId="3" type="noConversion"/>
  </si>
  <si>
    <t>인센티브</t>
    <phoneticPr fontId="3" type="noConversion"/>
  </si>
  <si>
    <t>롯데상인점</t>
    <phoneticPr fontId="3" type="noConversion"/>
  </si>
  <si>
    <t>광주시 서구 화정동 금호＠ 104동 104호</t>
    <phoneticPr fontId="3" type="noConversion"/>
  </si>
  <si>
    <t>수수료</t>
    <phoneticPr fontId="3" type="noConversion"/>
  </si>
  <si>
    <t>수수료+인센티브</t>
  </si>
  <si>
    <t>계약자</t>
    <phoneticPr fontId="3" type="noConversion"/>
  </si>
  <si>
    <t>소속인원1</t>
    <phoneticPr fontId="3" type="noConversion"/>
  </si>
  <si>
    <t>계약일</t>
    <phoneticPr fontId="3" type="noConversion"/>
  </si>
  <si>
    <t>651109-2490215</t>
  </si>
  <si>
    <t>경기도 성남시 분당구 구미동 무지개마을아파트 1204동 1206호</t>
  </si>
  <si>
    <t>계약자</t>
  </si>
  <si>
    <t>구분</t>
    <phoneticPr fontId="3" type="noConversion"/>
  </si>
  <si>
    <t>매장명</t>
    <phoneticPr fontId="3" type="noConversion"/>
  </si>
  <si>
    <t>변경수수료</t>
    <phoneticPr fontId="3" type="noConversion"/>
  </si>
  <si>
    <t>특이사항</t>
    <phoneticPr fontId="3" type="noConversion"/>
  </si>
  <si>
    <t>백화점 판매대행 계약점 현황보고서</t>
    <phoneticPr fontId="4" type="noConversion"/>
  </si>
  <si>
    <t>◈ 중간관리 수수료 변경 매장</t>
    <phoneticPr fontId="3" type="noConversion"/>
  </si>
  <si>
    <t>이름</t>
    <phoneticPr fontId="3" type="noConversion"/>
  </si>
  <si>
    <t>◈ 판매대행 인원 충원 매장</t>
    <phoneticPr fontId="3" type="noConversion"/>
  </si>
  <si>
    <t>◈ 판매대행 인원 종료 매장</t>
    <phoneticPr fontId="3" type="noConversion"/>
  </si>
  <si>
    <t>◈ 판매대행 인원이동</t>
    <phoneticPr fontId="3" type="noConversion"/>
  </si>
  <si>
    <t>◈ 판매대행 수수료 변경 매장</t>
    <phoneticPr fontId="3" type="noConversion"/>
  </si>
  <si>
    <t>매장명</t>
    <phoneticPr fontId="3" type="noConversion"/>
  </si>
  <si>
    <t>이름</t>
    <phoneticPr fontId="3" type="noConversion"/>
  </si>
  <si>
    <t>구분</t>
    <phoneticPr fontId="3" type="noConversion"/>
  </si>
  <si>
    <t>특이사항</t>
    <phoneticPr fontId="3" type="noConversion"/>
  </si>
  <si>
    <t>합계</t>
    <phoneticPr fontId="3" type="noConversion"/>
  </si>
  <si>
    <t>◈ 직영매장 변경사항</t>
    <phoneticPr fontId="3" type="noConversion"/>
  </si>
  <si>
    <t>롯데본점</t>
    <phoneticPr fontId="3" type="noConversion"/>
  </si>
  <si>
    <t>본사직영매장</t>
    <phoneticPr fontId="3" type="noConversion"/>
  </si>
  <si>
    <t>본사직영매장</t>
    <phoneticPr fontId="3" type="noConversion"/>
  </si>
  <si>
    <t>오프라인</t>
    <phoneticPr fontId="3" type="noConversion"/>
  </si>
  <si>
    <t>온라인</t>
    <phoneticPr fontId="3" type="noConversion"/>
  </si>
  <si>
    <t>롯데잠실점</t>
    <phoneticPr fontId="3" type="noConversion"/>
  </si>
  <si>
    <t>롯데강남점</t>
    <phoneticPr fontId="3" type="noConversion"/>
  </si>
  <si>
    <t>백경임</t>
    <phoneticPr fontId="9" type="noConversion"/>
  </si>
  <si>
    <t>710127-2560217</t>
    <phoneticPr fontId="3" type="noConversion"/>
  </si>
  <si>
    <t>010-2930-9078</t>
    <phoneticPr fontId="3" type="noConversion"/>
  </si>
  <si>
    <t>권혜경</t>
    <phoneticPr fontId="3" type="noConversion"/>
  </si>
  <si>
    <t>2017.08</t>
    <phoneticPr fontId="3" type="noConversion"/>
  </si>
  <si>
    <t>서울시 구로구 개봉3동 265-12 비전하우스 201호</t>
    <phoneticPr fontId="3" type="noConversion"/>
  </si>
  <si>
    <t>710102-814827</t>
    <phoneticPr fontId="3" type="noConversion"/>
  </si>
  <si>
    <t>010-2234-6628</t>
    <phoneticPr fontId="3" type="noConversion"/>
  </si>
  <si>
    <t>송미랑</t>
    <phoneticPr fontId="9" type="noConversion"/>
  </si>
  <si>
    <t>670916-2663810</t>
    <phoneticPr fontId="3" type="noConversion"/>
  </si>
  <si>
    <t>010-7168-1967</t>
    <phoneticPr fontId="3" type="noConversion"/>
  </si>
  <si>
    <t>박서영</t>
    <phoneticPr fontId="9" type="noConversion"/>
  </si>
  <si>
    <t>경북 초항시 북구 두호동 창포아이파크 303동 1701호</t>
    <phoneticPr fontId="3" type="noConversion"/>
  </si>
  <si>
    <t>롯데동래점</t>
    <phoneticPr fontId="3" type="noConversion"/>
  </si>
  <si>
    <t>롯데영등포점</t>
    <phoneticPr fontId="4" type="noConversion"/>
  </si>
  <si>
    <t>롯데평촌점</t>
    <phoneticPr fontId="7" type="noConversion"/>
  </si>
  <si>
    <t>롯데안산점</t>
    <phoneticPr fontId="3" type="noConversion"/>
  </si>
  <si>
    <t>임희선</t>
    <phoneticPr fontId="9" type="noConversion"/>
  </si>
  <si>
    <t>경기도 남양주시 진접읍금곡리 995 휴먼시아 2404동 1101호</t>
    <phoneticPr fontId="3" type="noConversion"/>
  </si>
  <si>
    <t>730618-2453428</t>
    <phoneticPr fontId="3" type="noConversion"/>
  </si>
  <si>
    <t>010-7106-4027</t>
    <phoneticPr fontId="3" type="noConversion"/>
  </si>
  <si>
    <t>양선희</t>
    <phoneticPr fontId="3" type="noConversion"/>
  </si>
  <si>
    <t>2015.09</t>
    <phoneticPr fontId="3" type="noConversion"/>
  </si>
  <si>
    <t>부산시 진구 봉수로 15번길 62</t>
    <phoneticPr fontId="3" type="noConversion"/>
  </si>
  <si>
    <t>700719-2644022</t>
    <phoneticPr fontId="3" type="noConversion"/>
  </si>
  <si>
    <t>010-3829-1969</t>
    <phoneticPr fontId="3" type="noConversion"/>
  </si>
  <si>
    <t>롯데수원점</t>
    <phoneticPr fontId="3" type="noConversion"/>
  </si>
  <si>
    <t>롯데대구</t>
    <phoneticPr fontId="3" type="noConversion"/>
  </si>
  <si>
    <t>황정애</t>
    <phoneticPr fontId="3" type="noConversion"/>
  </si>
  <si>
    <t>대구시 달성구 가창로 1008 가창중석타운 103동 306호</t>
    <phoneticPr fontId="3" type="noConversion"/>
  </si>
  <si>
    <t>630617-2674717</t>
    <phoneticPr fontId="3" type="noConversion"/>
  </si>
  <si>
    <t>010-3599-9368</t>
    <phoneticPr fontId="3" type="noConversion"/>
  </si>
  <si>
    <t>롯데전주</t>
    <phoneticPr fontId="3" type="noConversion"/>
  </si>
  <si>
    <t>롯데분당</t>
    <phoneticPr fontId="3" type="noConversion"/>
  </si>
  <si>
    <t>조종숙</t>
    <phoneticPr fontId="3" type="noConversion"/>
  </si>
  <si>
    <t>2018.08</t>
    <phoneticPr fontId="3" type="noConversion"/>
  </si>
  <si>
    <t>경기도 용인시   신갈동 71-35</t>
    <phoneticPr fontId="3" type="noConversion"/>
  </si>
  <si>
    <t>700111-2243512</t>
    <phoneticPr fontId="3" type="noConversion"/>
  </si>
  <si>
    <t>010-3624-9274</t>
    <phoneticPr fontId="3" type="noConversion"/>
  </si>
  <si>
    <t>롯데인천터미널</t>
    <phoneticPr fontId="3" type="noConversion"/>
  </si>
  <si>
    <t>정광옥</t>
    <phoneticPr fontId="9" type="noConversion"/>
  </si>
  <si>
    <t>인천시 남동구 고잔동 314번지 18통 2반</t>
    <phoneticPr fontId="3" type="noConversion"/>
  </si>
  <si>
    <t>010-9070-8556</t>
    <phoneticPr fontId="3" type="noConversion"/>
  </si>
  <si>
    <t>이선숙</t>
    <phoneticPr fontId="3" type="noConversion"/>
  </si>
  <si>
    <t>2018.09</t>
    <phoneticPr fontId="3" type="noConversion"/>
  </si>
  <si>
    <t>인천시 남동구 구월동 1251 원경 403호</t>
    <phoneticPr fontId="3" type="noConversion"/>
  </si>
  <si>
    <t>760429-2243516</t>
    <phoneticPr fontId="3" type="noConversion"/>
  </si>
  <si>
    <t>010-8889-4238</t>
    <phoneticPr fontId="3" type="noConversion"/>
  </si>
  <si>
    <t>롯데구리</t>
    <phoneticPr fontId="3" type="noConversion"/>
  </si>
  <si>
    <t>롯데부산본점</t>
    <phoneticPr fontId="3" type="noConversion"/>
  </si>
  <si>
    <t>현대백화점</t>
    <phoneticPr fontId="3" type="noConversion"/>
  </si>
  <si>
    <t>현대천호점</t>
    <phoneticPr fontId="3" type="noConversion"/>
  </si>
  <si>
    <t>전혜정</t>
    <phoneticPr fontId="9" type="noConversion"/>
  </si>
  <si>
    <t>경기도 남양주시 별내면 청학리 주공@ 709동 804호</t>
    <phoneticPr fontId="3" type="noConversion"/>
  </si>
  <si>
    <t>700904-2057841</t>
    <phoneticPr fontId="3" type="noConversion"/>
  </si>
  <si>
    <t>010-3331-2823</t>
    <phoneticPr fontId="3" type="noConversion"/>
  </si>
  <si>
    <t>현대중동점</t>
    <phoneticPr fontId="4" type="noConversion"/>
  </si>
  <si>
    <t>현대대구점</t>
    <phoneticPr fontId="7" type="noConversion"/>
  </si>
  <si>
    <t>김종숙</t>
    <phoneticPr fontId="9" type="noConversion"/>
  </si>
  <si>
    <t>현대충청점</t>
    <phoneticPr fontId="4" type="noConversion"/>
  </si>
  <si>
    <t>현대디큐브</t>
    <phoneticPr fontId="7" type="noConversion"/>
  </si>
  <si>
    <t>현대판교</t>
    <phoneticPr fontId="3" type="noConversion"/>
  </si>
  <si>
    <t>김은영</t>
    <phoneticPr fontId="9" type="noConversion"/>
  </si>
  <si>
    <t>730515-2447721</t>
    <phoneticPr fontId="3" type="noConversion"/>
  </si>
  <si>
    <t>신세계백화점</t>
    <phoneticPr fontId="3" type="noConversion"/>
  </si>
  <si>
    <t>김문희</t>
    <phoneticPr fontId="9" type="noConversion"/>
  </si>
  <si>
    <t>010-6340-8215</t>
    <phoneticPr fontId="3" type="noConversion"/>
  </si>
  <si>
    <t>이윤옥</t>
    <phoneticPr fontId="9" type="noConversion"/>
  </si>
  <si>
    <t>경남창원시마산합포구산호동38-6번지대림빌라505호</t>
    <phoneticPr fontId="3" type="noConversion"/>
  </si>
  <si>
    <t>760103-2824115</t>
    <phoneticPr fontId="3" type="noConversion"/>
  </si>
  <si>
    <t>류영순</t>
    <phoneticPr fontId="3" type="noConversion"/>
  </si>
  <si>
    <t>2015.03</t>
    <phoneticPr fontId="3" type="noConversion"/>
  </si>
  <si>
    <t>경기도 성남시 수정구 탄리로 45번길</t>
    <phoneticPr fontId="3" type="noConversion"/>
  </si>
  <si>
    <t>740815-2650518</t>
    <phoneticPr fontId="3" type="noConversion"/>
  </si>
  <si>
    <t>010-5219-3900</t>
    <phoneticPr fontId="3" type="noConversion"/>
  </si>
  <si>
    <t>신세계센텀시티</t>
    <phoneticPr fontId="4" type="noConversion"/>
  </si>
  <si>
    <t>강은정</t>
    <phoneticPr fontId="9" type="noConversion"/>
  </si>
  <si>
    <t>부산광역시 해운대구 재송2동 삼익@103동607호</t>
    <phoneticPr fontId="3" type="noConversion"/>
  </si>
  <si>
    <t>700729-2789722</t>
    <phoneticPr fontId="3" type="noConversion"/>
  </si>
  <si>
    <t>010-3012-2580</t>
    <phoneticPr fontId="3" type="noConversion"/>
  </si>
  <si>
    <t>계약자</t>
    <phoneticPr fontId="3" type="noConversion"/>
  </si>
  <si>
    <t>강보인</t>
    <phoneticPr fontId="9" type="noConversion"/>
  </si>
  <si>
    <t>2014.01</t>
    <phoneticPr fontId="3" type="noConversion"/>
  </si>
  <si>
    <t>서울시 강북구 송중동 52-39호</t>
    <phoneticPr fontId="3" type="noConversion"/>
  </si>
  <si>
    <t>610921-2645922</t>
    <phoneticPr fontId="3" type="noConversion"/>
  </si>
  <si>
    <t>010-8078-3100</t>
    <phoneticPr fontId="3" type="noConversion"/>
  </si>
  <si>
    <t>이영양</t>
    <phoneticPr fontId="3" type="noConversion"/>
  </si>
  <si>
    <t>2018.02</t>
    <phoneticPr fontId="3" type="noConversion"/>
  </si>
  <si>
    <t>서울시 구로구 오류로 8라길 20-8 길훈멧 3동 101호</t>
    <phoneticPr fontId="3" type="noConversion"/>
  </si>
  <si>
    <t>670406-2918819</t>
    <phoneticPr fontId="3" type="noConversion"/>
  </si>
  <si>
    <t>010-8259-9345</t>
    <phoneticPr fontId="3" type="noConversion"/>
  </si>
  <si>
    <t>소속인원1</t>
    <phoneticPr fontId="3" type="noConversion"/>
  </si>
  <si>
    <t>신세계충청점</t>
    <phoneticPr fontId="3" type="noConversion"/>
  </si>
  <si>
    <t>본사직영매장</t>
    <phoneticPr fontId="3" type="noConversion"/>
  </si>
  <si>
    <t>신세계김해점</t>
    <phoneticPr fontId="3" type="noConversion"/>
  </si>
  <si>
    <t>신세계대구</t>
    <phoneticPr fontId="3" type="noConversion"/>
  </si>
  <si>
    <t>신세계하남</t>
    <phoneticPr fontId="3" type="noConversion"/>
  </si>
  <si>
    <t>김은주</t>
    <phoneticPr fontId="9" type="noConversion"/>
  </si>
  <si>
    <t>서울시 마포구 성산1동 245-9삼화주택201호</t>
    <phoneticPr fontId="3" type="noConversion"/>
  </si>
  <si>
    <t>730508-2541219</t>
    <phoneticPr fontId="3" type="noConversion"/>
  </si>
  <si>
    <t>010-5302-8167</t>
    <phoneticPr fontId="3" type="noConversion"/>
  </si>
  <si>
    <t>오프라인</t>
    <phoneticPr fontId="3" type="noConversion"/>
  </si>
  <si>
    <t>온라인</t>
    <phoneticPr fontId="3" type="noConversion"/>
  </si>
  <si>
    <t>갤러리아 ＆ AK ＆ 아울렛</t>
    <phoneticPr fontId="3" type="noConversion"/>
  </si>
  <si>
    <t>갤러리아광교점</t>
    <phoneticPr fontId="3" type="noConversion"/>
  </si>
  <si>
    <t>이현주</t>
    <phoneticPr fontId="9" type="noConversion"/>
  </si>
  <si>
    <t>경기도 수원시 팔달구 인계동 삼성레미안노블클레스203동602호</t>
    <phoneticPr fontId="3" type="noConversion"/>
  </si>
  <si>
    <t>720902-2639310</t>
    <phoneticPr fontId="3" type="noConversion"/>
  </si>
  <si>
    <t>010-2269-0798</t>
    <phoneticPr fontId="3" type="noConversion"/>
  </si>
  <si>
    <t>갤러리아천안점</t>
    <phoneticPr fontId="3" type="noConversion"/>
  </si>
  <si>
    <t>김미옥</t>
    <phoneticPr fontId="3" type="noConversion"/>
  </si>
  <si>
    <t>2014.11</t>
    <phoneticPr fontId="3" type="noConversion"/>
  </si>
  <si>
    <t>충청남도 천안시 쌍용2동 센타빌 402호</t>
    <phoneticPr fontId="3" type="noConversion"/>
  </si>
  <si>
    <t>730314-2477949</t>
    <phoneticPr fontId="3" type="noConversion"/>
  </si>
  <si>
    <t>010-8330-1613</t>
    <phoneticPr fontId="3" type="noConversion"/>
  </si>
  <si>
    <t>최미희자</t>
    <phoneticPr fontId="9" type="noConversion"/>
  </si>
  <si>
    <t>2014.08</t>
    <phoneticPr fontId="3" type="noConversion"/>
  </si>
  <si>
    <t>010-7337-5630</t>
    <phoneticPr fontId="3" type="noConversion"/>
  </si>
  <si>
    <t>AK플라자원주점</t>
    <phoneticPr fontId="7" type="noConversion"/>
  </si>
  <si>
    <t>마리오금천점</t>
    <phoneticPr fontId="3" type="noConversion"/>
  </si>
  <si>
    <t>롯데김해아울렛</t>
    <phoneticPr fontId="3" type="noConversion"/>
  </si>
  <si>
    <t>김점희</t>
    <phoneticPr fontId="9" type="noConversion"/>
  </si>
  <si>
    <t>김해 장유면 삼문리 젤미 부영11차 102동509호</t>
    <phoneticPr fontId="3" type="noConversion"/>
  </si>
  <si>
    <t>680509-2822517</t>
    <phoneticPr fontId="3" type="noConversion"/>
  </si>
  <si>
    <t>010-2825-8585</t>
    <phoneticPr fontId="3" type="noConversion"/>
  </si>
  <si>
    <t>롯데이천아울렛</t>
    <phoneticPr fontId="3" type="noConversion"/>
  </si>
  <si>
    <t>롯데광명아울렛</t>
    <phoneticPr fontId="3" type="noConversion"/>
  </si>
  <si>
    <t>롯데고양아울렛</t>
    <phoneticPr fontId="3" type="noConversion"/>
  </si>
  <si>
    <t>롯데광교아울렛</t>
    <phoneticPr fontId="3" type="noConversion"/>
  </si>
  <si>
    <t>롯데군산아울렛</t>
    <phoneticPr fontId="3" type="noConversion"/>
  </si>
  <si>
    <t>롯데기흥아울렛</t>
    <phoneticPr fontId="3" type="noConversion"/>
  </si>
  <si>
    <t>김병희</t>
    <phoneticPr fontId="3" type="noConversion"/>
  </si>
  <si>
    <t>2016.05</t>
    <phoneticPr fontId="3" type="noConversion"/>
  </si>
  <si>
    <t>용인시 기흥구 하갈동 청명호수마을 102동 1101호</t>
    <phoneticPr fontId="3" type="noConversion"/>
  </si>
  <si>
    <t>661227-2787517</t>
    <phoneticPr fontId="3" type="noConversion"/>
  </si>
  <si>
    <t>010-8509-5727</t>
    <phoneticPr fontId="3" type="noConversion"/>
  </si>
  <si>
    <t>롯데동부산아울렛</t>
    <phoneticPr fontId="3" type="noConversion"/>
  </si>
  <si>
    <t>모다양산</t>
    <phoneticPr fontId="3" type="noConversion"/>
  </si>
  <si>
    <t>모다행담</t>
    <phoneticPr fontId="3" type="noConversion"/>
  </si>
  <si>
    <t>모다인천</t>
    <phoneticPr fontId="3" type="noConversion"/>
  </si>
  <si>
    <t>박윤정</t>
    <phoneticPr fontId="3" type="noConversion"/>
  </si>
  <si>
    <t>2016.11</t>
    <phoneticPr fontId="3" type="noConversion"/>
  </si>
  <si>
    <t>인천광역시 남동구만수5동 917-1현광아파트 가동 408 호</t>
    <phoneticPr fontId="3" type="noConversion"/>
  </si>
  <si>
    <t>750306-2037115</t>
    <phoneticPr fontId="3" type="noConversion"/>
  </si>
  <si>
    <t>010-8894-1802</t>
    <phoneticPr fontId="3" type="noConversion"/>
  </si>
  <si>
    <t>LF 양주점</t>
    <phoneticPr fontId="3" type="noConversion"/>
  </si>
  <si>
    <t>온라인 별도수수료</t>
    <phoneticPr fontId="3" type="noConversion"/>
  </si>
  <si>
    <t>오프라인</t>
    <phoneticPr fontId="3" type="noConversion"/>
  </si>
  <si>
    <t>온라인</t>
    <phoneticPr fontId="3" type="noConversion"/>
  </si>
  <si>
    <t>오프라인</t>
    <phoneticPr fontId="3" type="noConversion"/>
  </si>
  <si>
    <t>온라인</t>
    <phoneticPr fontId="3" type="noConversion"/>
  </si>
  <si>
    <t>5%</t>
    <phoneticPr fontId="3" type="noConversion"/>
  </si>
  <si>
    <t>14.5%</t>
    <phoneticPr fontId="3" type="noConversion"/>
  </si>
  <si>
    <t>16.5%</t>
    <phoneticPr fontId="3" type="noConversion"/>
  </si>
  <si>
    <t>14.2%</t>
    <phoneticPr fontId="3" type="noConversion"/>
  </si>
  <si>
    <t>롯데광주</t>
    <phoneticPr fontId="3" type="noConversion"/>
  </si>
  <si>
    <t>현대미아</t>
    <phoneticPr fontId="3" type="noConversion"/>
  </si>
  <si>
    <t>김문희</t>
    <phoneticPr fontId="3" type="noConversion"/>
  </si>
  <si>
    <t>롯데광주</t>
    <phoneticPr fontId="3" type="noConversion"/>
  </si>
  <si>
    <t>송미랑</t>
    <phoneticPr fontId="3" type="noConversion"/>
  </si>
  <si>
    <t>롯데포항</t>
    <phoneticPr fontId="3" type="noConversion"/>
  </si>
  <si>
    <t>박서영</t>
    <phoneticPr fontId="3" type="noConversion"/>
  </si>
  <si>
    <t>롯데평촌</t>
    <phoneticPr fontId="3" type="noConversion"/>
  </si>
  <si>
    <t>롯데노원</t>
    <phoneticPr fontId="3" type="noConversion"/>
  </si>
  <si>
    <t>임희선</t>
    <phoneticPr fontId="3" type="noConversion"/>
  </si>
  <si>
    <t>현대천호</t>
    <phoneticPr fontId="3" type="noConversion"/>
  </si>
  <si>
    <t>신세계광주</t>
    <phoneticPr fontId="3" type="noConversion"/>
  </si>
  <si>
    <t>신세계본점</t>
    <phoneticPr fontId="3" type="noConversion"/>
  </si>
  <si>
    <t>갤러리아광교</t>
    <phoneticPr fontId="3" type="noConversion"/>
  </si>
  <si>
    <t>김은주</t>
    <phoneticPr fontId="3" type="noConversion"/>
  </si>
  <si>
    <t>이현주</t>
    <phoneticPr fontId="3" type="noConversion"/>
  </si>
  <si>
    <t>롯데포항</t>
    <phoneticPr fontId="3" type="noConversion"/>
  </si>
  <si>
    <t>롯데평촌</t>
    <phoneticPr fontId="3" type="noConversion"/>
  </si>
  <si>
    <t>롯데노원</t>
    <phoneticPr fontId="3" type="noConversion"/>
  </si>
  <si>
    <t>15%</t>
    <phoneticPr fontId="3" type="noConversion"/>
  </si>
  <si>
    <t>13%</t>
    <phoneticPr fontId="3" type="noConversion"/>
  </si>
  <si>
    <t>신세게본점</t>
    <phoneticPr fontId="3" type="noConversion"/>
  </si>
  <si>
    <t>온/오프라인 수수료 변경 ( 20년 6월 1일자 변경)</t>
    <phoneticPr fontId="3" type="noConversion"/>
  </si>
  <si>
    <t>온/오프라인 수수료 변경 ( 20년 8월 1일자 변경)</t>
    <phoneticPr fontId="3" type="noConversion"/>
  </si>
  <si>
    <t>매장</t>
    <phoneticPr fontId="3" type="noConversion"/>
  </si>
  <si>
    <t>오프</t>
    <phoneticPr fontId="3" type="noConversion"/>
  </si>
  <si>
    <t>온</t>
    <phoneticPr fontId="3" type="noConversion"/>
  </si>
  <si>
    <t>대구시 달서구 월성동 푸르지오@ 106동 2408호</t>
    <phoneticPr fontId="3" type="noConversion"/>
  </si>
  <si>
    <t>이은영</t>
    <phoneticPr fontId="3" type="noConversion"/>
  </si>
  <si>
    <t>21.04.01</t>
    <phoneticPr fontId="3" type="noConversion"/>
  </si>
  <si>
    <t>성남시 수정구 수정북로 78 월드아튼빌 302</t>
    <phoneticPr fontId="3" type="noConversion"/>
  </si>
  <si>
    <t>730923-2102112</t>
    <phoneticPr fontId="3" type="noConversion"/>
  </si>
  <si>
    <t>010-3744-6297</t>
    <phoneticPr fontId="3" type="noConversion"/>
  </si>
  <si>
    <t>롯데동탄</t>
    <phoneticPr fontId="3" type="noConversion"/>
  </si>
  <si>
    <t>오지민</t>
    <phoneticPr fontId="9" type="noConversion"/>
  </si>
  <si>
    <t>2021.08</t>
    <phoneticPr fontId="3" type="noConversion"/>
  </si>
  <si>
    <t>740510-2068636</t>
    <phoneticPr fontId="3" type="noConversion"/>
  </si>
  <si>
    <t>010-8911-2657</t>
    <phoneticPr fontId="3" type="noConversion"/>
  </si>
  <si>
    <t>경기도 화성시 영천동 662 동탄역 센트럴 상록아파트 634동 801호</t>
    <phoneticPr fontId="3" type="noConversion"/>
  </si>
  <si>
    <t>온/오프라인 수수료 변경 ( 21년 4월 1일자 변경)</t>
    <phoneticPr fontId="3" type="noConversion"/>
  </si>
  <si>
    <t>√</t>
  </si>
  <si>
    <t>4월 미지급 금액
5월 지급</t>
    <phoneticPr fontId="3" type="noConversion"/>
  </si>
  <si>
    <t>최혜영</t>
    <phoneticPr fontId="3" type="noConversion"/>
  </si>
  <si>
    <t>2023.01</t>
    <phoneticPr fontId="3" type="noConversion"/>
  </si>
  <si>
    <t>용인시 기흥구 구성로90 207동103호</t>
    <phoneticPr fontId="3" type="noConversion"/>
  </si>
  <si>
    <t>710202-2079711</t>
    <phoneticPr fontId="3" type="noConversion"/>
  </si>
  <si>
    <t>010-3760-0168</t>
    <phoneticPr fontId="3" type="noConversion"/>
  </si>
  <si>
    <t>현대아울렛남양주점</t>
    <phoneticPr fontId="3" type="noConversion"/>
  </si>
  <si>
    <t>배향선</t>
    <phoneticPr fontId="9" type="noConversion"/>
  </si>
  <si>
    <t>2023.04</t>
    <phoneticPr fontId="3" type="noConversion"/>
  </si>
  <si>
    <t>김지현</t>
    <phoneticPr fontId="3" type="noConversion"/>
  </si>
  <si>
    <t>700719-2348011</t>
    <phoneticPr fontId="3" type="noConversion"/>
  </si>
  <si>
    <t>010-8665-9104</t>
    <phoneticPr fontId="3" type="noConversion"/>
  </si>
  <si>
    <t>경기도 남양주시 화도읍 묵현리 126-20 파인힐 B동 202호</t>
    <phoneticPr fontId="3" type="noConversion"/>
  </si>
  <si>
    <t>인천광역시 미추홀구 학익소로 61번길 132 신동아아파트27동 1305호</t>
    <phoneticPr fontId="3" type="noConversion"/>
  </si>
  <si>
    <t>730416-2067045</t>
    <phoneticPr fontId="3" type="noConversion"/>
  </si>
  <si>
    <t>010-5272-1297</t>
    <phoneticPr fontId="3" type="noConversion"/>
  </si>
  <si>
    <t>신세계타임스퀘어</t>
    <phoneticPr fontId="3" type="noConversion"/>
  </si>
  <si>
    <t>배향선</t>
    <phoneticPr fontId="3" type="noConversion"/>
  </si>
  <si>
    <t>온/오프라인 수수료 변경 ( 23년 4월 1일자 변경)</t>
    <phoneticPr fontId="3" type="noConversion"/>
  </si>
  <si>
    <t>신세게타임스퀘어</t>
    <phoneticPr fontId="3" type="noConversion"/>
  </si>
  <si>
    <t>신세계경기</t>
    <phoneticPr fontId="3" type="noConversion"/>
  </si>
  <si>
    <t>계약자</t>
    <phoneticPr fontId="3" type="noConversion"/>
  </si>
  <si>
    <t>최종수</t>
    <phoneticPr fontId="3" type="noConversion"/>
  </si>
  <si>
    <t>최인영</t>
    <phoneticPr fontId="3" type="noConversion"/>
  </si>
  <si>
    <t>현대아울렛대전점</t>
    <phoneticPr fontId="3" type="noConversion"/>
  </si>
  <si>
    <t>장은영</t>
    <phoneticPr fontId="3" type="noConversion"/>
  </si>
  <si>
    <t>2023.07</t>
    <phoneticPr fontId="3" type="noConversion"/>
  </si>
  <si>
    <t>대전시 유성구 유성대로 1741 세종아파트 105-905</t>
    <phoneticPr fontId="3" type="noConversion"/>
  </si>
  <si>
    <t>현대목동점</t>
    <phoneticPr fontId="4" type="noConversion"/>
  </si>
  <si>
    <t>2023.08</t>
    <phoneticPr fontId="3" type="noConversion"/>
  </si>
  <si>
    <t>710323-240212</t>
    <phoneticPr fontId="3" type="noConversion"/>
  </si>
  <si>
    <t>010-9153-2737</t>
    <phoneticPr fontId="3" type="noConversion"/>
  </si>
  <si>
    <t>최인영</t>
    <phoneticPr fontId="9" type="noConversion"/>
  </si>
  <si>
    <t>경기도 부천시 소사구 소사동록 100(304동 1004호)</t>
    <phoneticPr fontId="3" type="noConversion"/>
  </si>
  <si>
    <t>010-8941-9275</t>
    <phoneticPr fontId="3" type="noConversion"/>
  </si>
  <si>
    <t>730420-2467115</t>
    <phoneticPr fontId="3" type="noConversion"/>
  </si>
  <si>
    <t>010-3679-0343</t>
    <phoneticPr fontId="3" type="noConversion"/>
  </si>
  <si>
    <t>서울시 은평구 대조동 91-107번지 그린하우스 201호</t>
    <phoneticPr fontId="3" type="noConversion"/>
  </si>
  <si>
    <t>741020-2182522</t>
    <phoneticPr fontId="3" type="noConversion"/>
  </si>
  <si>
    <t>온/오프라인 수수료 변경 ( 23년 08월 01일자 변경)</t>
    <phoneticPr fontId="3" type="noConversion"/>
  </si>
  <si>
    <t>롯데창원</t>
    <phoneticPr fontId="3" type="noConversion"/>
  </si>
  <si>
    <t>함미란</t>
    <phoneticPr fontId="3" type="noConversion"/>
  </si>
  <si>
    <t>온/오프라인 수수료 변경 ( 24년 03월 01일자 변경)</t>
    <phoneticPr fontId="3" type="noConversion"/>
  </si>
  <si>
    <t>신세계마산</t>
    <phoneticPr fontId="3" type="noConversion"/>
  </si>
  <si>
    <t>이윤옥</t>
    <phoneticPr fontId="3" type="noConversion"/>
  </si>
  <si>
    <t>16.6%</t>
    <phoneticPr fontId="3" type="noConversion"/>
  </si>
  <si>
    <t>√</t>
    <phoneticPr fontId="3" type="noConversion"/>
  </si>
  <si>
    <t>2024.03</t>
    <phoneticPr fontId="3" type="noConversion"/>
  </si>
  <si>
    <t>경남 마신시 산호동 썬프라자 오피스텔 a동 625호</t>
    <phoneticPr fontId="3" type="noConversion"/>
  </si>
  <si>
    <t>750113-2906817</t>
    <phoneticPr fontId="3" type="noConversion"/>
  </si>
  <si>
    <t>010-3783-5155</t>
    <phoneticPr fontId="3" type="noConversion"/>
  </si>
  <si>
    <t>6월 30일 종료</t>
    <phoneticPr fontId="3" type="noConversion"/>
  </si>
  <si>
    <t>√</t>
    <phoneticPr fontId="3" type="noConversion"/>
  </si>
  <si>
    <t>롯데영등포</t>
    <phoneticPr fontId="3" type="noConversion"/>
  </si>
  <si>
    <t>17%</t>
    <phoneticPr fontId="3" type="noConversion"/>
  </si>
  <si>
    <t>온/오프라인 수수료 변경 ( 24년 10월 01일자 변경)</t>
    <phoneticPr fontId="3" type="noConversion"/>
  </si>
  <si>
    <t>진미현</t>
    <phoneticPr fontId="3" type="noConversion"/>
  </si>
  <si>
    <t>김은영</t>
    <phoneticPr fontId="3" type="noConversion"/>
  </si>
  <si>
    <t>성남시 중원구 산성대로 136 지앤느 1107호</t>
    <phoneticPr fontId="3" type="noConversion"/>
  </si>
  <si>
    <t>010-9287-0515</t>
    <phoneticPr fontId="3" type="noConversion"/>
  </si>
  <si>
    <t>진미현</t>
    <phoneticPr fontId="9" type="noConversion"/>
  </si>
  <si>
    <t>2025.06</t>
    <phoneticPr fontId="3" type="noConversion"/>
  </si>
  <si>
    <t>671227-2786314</t>
    <phoneticPr fontId="3" type="noConversion"/>
  </si>
  <si>
    <t>010-9912-0973</t>
    <phoneticPr fontId="3" type="noConversion"/>
  </si>
  <si>
    <t>14%</t>
    <phoneticPr fontId="3" type="noConversion"/>
  </si>
  <si>
    <t>온/오프라인 수수료 변경 ( 25년 6월 1일자 변경)</t>
    <phoneticPr fontId="3" type="noConversion"/>
  </si>
  <si>
    <t>롯데울산</t>
    <phoneticPr fontId="3" type="noConversion"/>
  </si>
  <si>
    <t>롯데울산점</t>
    <phoneticPr fontId="3" type="noConversion"/>
  </si>
  <si>
    <t>양미경</t>
    <phoneticPr fontId="3" type="noConversion"/>
  </si>
  <si>
    <t>최경진</t>
    <phoneticPr fontId="3" type="noConversion"/>
  </si>
  <si>
    <t>801231-2117626</t>
    <phoneticPr fontId="3" type="noConversion"/>
  </si>
  <si>
    <t>010-3839-3077</t>
    <phoneticPr fontId="3" type="noConversion"/>
  </si>
  <si>
    <t>부산시 연제구 거제1동 대호 601호</t>
    <phoneticPr fontId="3" type="noConversion"/>
  </si>
  <si>
    <t>720327-2120054</t>
    <phoneticPr fontId="3" type="noConversion"/>
  </si>
  <si>
    <t>010-3494-2996</t>
    <phoneticPr fontId="3" type="noConversion"/>
  </si>
  <si>
    <t>울산광역시</t>
    <phoneticPr fontId="3" type="noConversion"/>
  </si>
  <si>
    <t>롯데동래</t>
    <phoneticPr fontId="3" type="noConversion"/>
  </si>
  <si>
    <t>양미경</t>
    <phoneticPr fontId="3" type="noConversion"/>
  </si>
  <si>
    <t>최경진</t>
    <phoneticPr fontId="3" type="noConversion"/>
  </si>
  <si>
    <t>18%</t>
    <phoneticPr fontId="3" type="noConversion"/>
  </si>
  <si>
    <t>19%</t>
    <phoneticPr fontId="3" type="noConversion"/>
  </si>
  <si>
    <t>온/오프라인 수수료 변경 ( 25년 12월 01일자 변경)</t>
    <phoneticPr fontId="3" type="noConversion"/>
  </si>
  <si>
    <t>온/오프라인 수수료 변경 ( 25년 12월 01일자 변경)</t>
    <phoneticPr fontId="3" type="noConversion"/>
  </si>
  <si>
    <t>2025.12</t>
    <phoneticPr fontId="3" type="noConversion"/>
  </si>
  <si>
    <t>2026.01</t>
    <phoneticPr fontId="3" type="noConversion"/>
  </si>
  <si>
    <t>21%</t>
    <phoneticPr fontId="3" type="noConversion"/>
  </si>
  <si>
    <t>온/오프라인 수수료 변경 ( 26년 01월 01일자 변경)</t>
    <phoneticPr fontId="3" type="noConversion"/>
  </si>
  <si>
    <t>롯데대구</t>
    <phoneticPr fontId="3" type="noConversion"/>
  </si>
  <si>
    <t>온/오프라인 수수료 변경 ( 26년 3월 1일자 변경)</t>
    <phoneticPr fontId="3" type="noConversion"/>
  </si>
  <si>
    <t>12.5%</t>
    <phoneticPr fontId="3" type="noConversion"/>
  </si>
  <si>
    <t>13.8%</t>
    <phoneticPr fontId="3" type="noConversion"/>
  </si>
  <si>
    <t>현대충청</t>
    <phoneticPr fontId="3" type="noConversion"/>
  </si>
  <si>
    <t>신세계센텀</t>
    <phoneticPr fontId="3" type="noConversion"/>
  </si>
  <si>
    <t>롯데아울렛이천</t>
    <phoneticPr fontId="3" type="noConversion"/>
  </si>
  <si>
    <t>롯데안산</t>
    <phoneticPr fontId="3" type="noConversion"/>
  </si>
  <si>
    <t>롯데관악</t>
    <phoneticPr fontId="3" type="noConversion"/>
  </si>
  <si>
    <t>현대대전</t>
    <phoneticPr fontId="3" type="noConversion"/>
  </si>
  <si>
    <t>롯데수원</t>
    <phoneticPr fontId="3" type="noConversion"/>
  </si>
  <si>
    <t>롯데상인</t>
    <phoneticPr fontId="3" type="noConversion"/>
  </si>
  <si>
    <t>롯데광복</t>
    <phoneticPr fontId="3" type="noConversion"/>
  </si>
  <si>
    <t>롯데부본</t>
    <phoneticPr fontId="3" type="noConversion"/>
  </si>
  <si>
    <t>롯데동부산</t>
    <phoneticPr fontId="3" type="noConversion"/>
  </si>
  <si>
    <t>신세계파주</t>
    <phoneticPr fontId="3" type="noConversion"/>
  </si>
  <si>
    <t>LF양주</t>
    <phoneticPr fontId="3" type="noConversion"/>
  </si>
  <si>
    <t>신세계천안</t>
    <phoneticPr fontId="3" type="noConversion"/>
  </si>
  <si>
    <t>롯데강남</t>
    <phoneticPr fontId="3" type="noConversion"/>
  </si>
  <si>
    <t>신세계김해</t>
    <phoneticPr fontId="3" type="noConversion"/>
  </si>
  <si>
    <t>현대남양주</t>
    <phoneticPr fontId="3" type="noConversion"/>
  </si>
  <si>
    <t>신세계의정부</t>
    <phoneticPr fontId="3" type="noConversion"/>
  </si>
  <si>
    <t>현대킨텍스</t>
    <phoneticPr fontId="3" type="noConversion"/>
  </si>
  <si>
    <t>갤러리아천안</t>
    <phoneticPr fontId="3" type="noConversion"/>
  </si>
  <si>
    <t>갤러리아진주</t>
    <phoneticPr fontId="3" type="noConversion"/>
  </si>
  <si>
    <t>현대대구</t>
    <phoneticPr fontId="3" type="noConversion"/>
  </si>
  <si>
    <t>롯데아울렛광교</t>
    <phoneticPr fontId="3" type="noConversion"/>
  </si>
  <si>
    <t>갤러리아타임</t>
    <phoneticPr fontId="3" type="noConversion"/>
  </si>
  <si>
    <t>롯데고양</t>
    <phoneticPr fontId="3" type="noConversion"/>
  </si>
  <si>
    <t>수량</t>
    <phoneticPr fontId="3" type="noConversion"/>
  </si>
  <si>
    <t>현대미아</t>
    <phoneticPr fontId="3" type="noConversion"/>
  </si>
  <si>
    <t>전혜정</t>
    <phoneticPr fontId="3" type="noConversion"/>
  </si>
  <si>
    <t>계약자</t>
    <phoneticPr fontId="3" type="noConversion"/>
  </si>
  <si>
    <t>26년 5월 31일자 중간관리 수수료로 변경 (5월 급여변경)</t>
    <phoneticPr fontId="3" type="noConversion"/>
  </si>
  <si>
    <t>체크(√)</t>
    <phoneticPr fontId="4" type="noConversion"/>
  </si>
  <si>
    <t>√</t>
    <phoneticPr fontId="3" type="noConversion"/>
  </si>
  <si>
    <t xml:space="preserve">총매출 : 57,108,710 (오프라인 : 56,946,710*13.8% = 7,858,646 / 온라인 : 162,000*5%=-26,200) 합계 : </t>
    <phoneticPr fontId="3" type="noConversion"/>
  </si>
  <si>
    <t xml:space="preserve">총매출 : 73,635,020 (오프라인 : 73,309,020*15% = 10,996,353 / 온라인 : 326,000*5%=16,300) 합계 : </t>
    <phoneticPr fontId="3" type="noConversion"/>
  </si>
  <si>
    <t xml:space="preserve">총매출 : 35,035,430 (오프라인 : 35,003,530*18%=6,300,635  / 온라인 : 31,900*5%=1,595) 합계 : </t>
    <phoneticPr fontId="3" type="noConversion"/>
  </si>
  <si>
    <t xml:space="preserve">총매출 : 31,438,100 (오프라인 : 31,438,100*19%=5,973,239  / 온라인 : 0*5%=0) 합계 : </t>
    <phoneticPr fontId="3" type="noConversion"/>
  </si>
  <si>
    <t xml:space="preserve">총매출 : 53,086,040 (오프라인 : 52,391,440*13%=6,810,887  / 온라인 : 694,600*5%=34,730) 합계 : </t>
    <phoneticPr fontId="3" type="noConversion"/>
  </si>
  <si>
    <t xml:space="preserve">총매출 : 44,937,200 (오프라인 : 38,437,050*17%=6,534,299  / 온라인 : 6,500,150*5%=325,008) 합계 : </t>
    <phoneticPr fontId="3" type="noConversion"/>
  </si>
  <si>
    <t xml:space="preserve">총매출 : 83,647,550 (오프라인 : 80,058,050*14.5%=11,608,417 / 온라인 : 3,589,500*5%=179,475) 합계 : </t>
    <phoneticPr fontId="3" type="noConversion"/>
  </si>
  <si>
    <t xml:space="preserve">총매출 : 44,564,230 (오프라인 : 43,733,480*15%=6,560,022  / 온라인 : 830,750*5%=41,538 합계 : </t>
    <phoneticPr fontId="3" type="noConversion"/>
  </si>
  <si>
    <t xml:space="preserve">총매출 : 40,477,220 (오프라인 : 40,285,420*15%=8,459,938  / 온라인 : 191,800*5%=9,590 합계 : </t>
    <phoneticPr fontId="3" type="noConversion"/>
  </si>
  <si>
    <t xml:space="preserve">총매출 : 100,163,700 (오프라인 : 100,163,700*14.5% = 14,523,737  / 온라인 : 0*5%=0) 합계 : </t>
    <phoneticPr fontId="3" type="noConversion"/>
  </si>
  <si>
    <t xml:space="preserve">총매출 : 115,875,950 (오프라인 : 113,970,650*14.5% = 16,525,744 / 온라인 : 1,905,300*5%=95,265) 합계 : </t>
    <phoneticPr fontId="3" type="noConversion"/>
  </si>
  <si>
    <t xml:space="preserve">총매출 : 61,873,400 (오프라인 : 61,873,400*16.6% = 10,270,984  / 온라인 : 0*5%=0) 합계 : </t>
    <phoneticPr fontId="3" type="noConversion"/>
  </si>
  <si>
    <t xml:space="preserve">총매출 : 114,884,530 (오프라인 : 112,130,480*12.5% = 14,016,310  / 온라인 : 1,754,050*5%=87,703) 합계 : </t>
    <phoneticPr fontId="3" type="noConversion"/>
  </si>
  <si>
    <t xml:space="preserve">총매출 : 92,603,710 (오프라인 : 92,603,710*15%=13,890,557  / 온라인 : 0*5%=0) 합계 : </t>
    <phoneticPr fontId="3" type="noConversion"/>
  </si>
  <si>
    <t xml:space="preserve">총매출 : 128,665,630 (오프라인 : 128,615,230*14%=18,006,132  / 온라인 : 50,400*5%=2,520) 합계 : </t>
    <phoneticPr fontId="3" type="noConversion"/>
  </si>
  <si>
    <t xml:space="preserve">총매출 : 56,037,950 (오프라인 : 53,005,000*13%=6,890,650  / 온라인 : 3,032,950*5%=151,648) 합계 : </t>
    <phoneticPr fontId="3" type="noConversion"/>
  </si>
  <si>
    <t xml:space="preserve">총매출 : 90,644,770 (오프라인 : 88,668,520*16.5%=14,630,306  / 온라인 : 1,976,250*5%=98,813) 합계 : </t>
    <phoneticPr fontId="3" type="noConversion"/>
  </si>
  <si>
    <t xml:space="preserve">총매출 : 113,477,660 (오프라인 : 93,515,210*14.2%=13,279,160 온라인 : 19,962,450*5%=998,123) 합계 : </t>
    <phoneticPr fontId="3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</si>
</sst>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0.0%"/>
    <numFmt numFmtId="177" formatCode="0_);\(0\)"/>
    <numFmt numFmtId="178" formatCode="#,##0_);[Red]\(#,##0\)"/>
    <numFmt numFmtId="179" formatCode="&quot;₩&quot;#,##0_);[Red]\(&quot;₩&quot;#,##0\)"/>
    <numFmt numFmtId="180" formatCode="_-* #,##0.0_-;\-* #,##0.0_-;_-* &quot;-&quot;?_-;_-@_-"/>
    <numFmt numFmtId="181" formatCode="#,##0_ "/>
  </numFmts>
  <fonts count="2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FF"/>
      <name val="휴먼모음T"/>
      <family val="1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휴먼모음T"/>
      <family val="1"/>
      <charset val="129"/>
    </font>
    <font>
      <sz val="8"/>
      <color rgb="FF000000"/>
      <name val="휴먼모음T"/>
      <family val="1"/>
      <charset val="129"/>
    </font>
    <font>
      <sz val="8"/>
      <name val="맑은 고딕"/>
      <family val="2"/>
      <charset val="129"/>
      <scheme val="minor"/>
    </font>
    <font>
      <sz val="10"/>
      <name val="휴먼모음T"/>
      <family val="1"/>
      <charset val="129"/>
    </font>
    <font>
      <sz val="8"/>
      <name val="돋움"/>
      <family val="3"/>
      <charset val="129"/>
    </font>
    <font>
      <sz val="8"/>
      <name val="휴먼모음T"/>
      <family val="1"/>
      <charset val="129"/>
    </font>
    <font>
      <sz val="9"/>
      <color theme="1"/>
      <name val="휴먼모음T"/>
      <family val="1"/>
      <charset val="129"/>
    </font>
    <font>
      <sz val="12"/>
      <color theme="1"/>
      <name val="휴먼모음T"/>
      <family val="1"/>
      <charset val="129"/>
    </font>
    <font>
      <sz val="10"/>
      <color theme="1"/>
      <name val="휴먼모음T"/>
      <family val="1"/>
      <charset val="129"/>
    </font>
    <font>
      <sz val="9"/>
      <name val="휴먼모음T"/>
      <family val="1"/>
      <charset val="129"/>
    </font>
    <font>
      <sz val="9"/>
      <color rgb="FF000000"/>
      <name val="휴먼모음T"/>
      <family val="1"/>
      <charset val="129"/>
    </font>
    <font>
      <sz val="9"/>
      <color rgb="FFFF0000"/>
      <name val="휴먼모음T"/>
      <family val="1"/>
      <charset val="129"/>
    </font>
    <font>
      <sz val="11"/>
      <color theme="1"/>
      <name val="휴먼모음T"/>
      <family val="1"/>
      <charset val="129"/>
    </font>
    <font>
      <sz val="11"/>
      <name val="휴먼모음T"/>
      <family val="1"/>
      <charset val="129"/>
    </font>
    <font>
      <sz val="9"/>
      <name val="돋움체"/>
      <family val="3"/>
      <charset val="129"/>
    </font>
    <font>
      <sz val="9"/>
      <color theme="1"/>
      <name val="돋움체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rgb="FF000000"/>
      <name val="Malgun Gothic"/>
      <family val="3"/>
      <charset val="129"/>
    </font>
    <font>
      <sz val="11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/>
    <xf numFmtId="0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72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177" fontId="5" fillId="2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1" fillId="3" borderId="2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1" fontId="5" fillId="0" borderId="2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78" fontId="13" fillId="0" borderId="2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7" fontId="10" fillId="2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178" fontId="5" fillId="2" borderId="2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77" fontId="13" fillId="0" borderId="3" xfId="0" applyNumberFormat="1" applyFont="1" applyBorder="1" applyAlignment="1">
      <alignment horizontal="center" vertical="center"/>
    </xf>
    <xf numFmtId="41" fontId="5" fillId="0" borderId="0" xfId="2" applyFont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77" fontId="14" fillId="2" borderId="2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78" fontId="11" fillId="2" borderId="2" xfId="0" applyNumberFormat="1" applyFont="1" applyFill="1" applyBorder="1" applyAlignment="1">
      <alignment horizontal="center" vertical="center"/>
    </xf>
    <xf numFmtId="176" fontId="11" fillId="2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177" fontId="14" fillId="4" borderId="2" xfId="0" applyNumberFormat="1" applyFont="1" applyFill="1" applyBorder="1" applyAlignment="1">
      <alignment horizontal="center" vertical="center"/>
    </xf>
    <xf numFmtId="49" fontId="14" fillId="4" borderId="2" xfId="0" applyNumberFormat="1" applyFont="1" applyFill="1" applyBorder="1" applyAlignment="1">
      <alignment horizontal="center" vertical="center"/>
    </xf>
    <xf numFmtId="0" fontId="11" fillId="4" borderId="2" xfId="0" quotePrefix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78" fontId="11" fillId="4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3" fontId="11" fillId="4" borderId="2" xfId="0" applyNumberFormat="1" applyFont="1" applyFill="1" applyBorder="1" applyAlignment="1">
      <alignment horizontal="center" vertical="center"/>
    </xf>
    <xf numFmtId="41" fontId="11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41" fontId="16" fillId="0" borderId="2" xfId="2" applyFont="1" applyFill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177" fontId="13" fillId="0" borderId="3" xfId="0" applyNumberFormat="1" applyFont="1" applyBorder="1" applyAlignment="1">
      <alignment horizontal="center" vertical="center" wrapText="1"/>
    </xf>
    <xf numFmtId="41" fontId="5" fillId="5" borderId="0" xfId="2" applyFont="1" applyFill="1" applyAlignment="1">
      <alignment horizontal="center" vertical="center"/>
    </xf>
    <xf numFmtId="41" fontId="5" fillId="0" borderId="0" xfId="2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41" fontId="5" fillId="0" borderId="0" xfId="2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19" fillId="0" borderId="0" xfId="3" applyNumberFormat="1" applyAlignment="1">
      <alignment horizontal="right"/>
    </xf>
    <xf numFmtId="41" fontId="5" fillId="5" borderId="0" xfId="2" applyFont="1" applyFill="1" applyBorder="1" applyAlignment="1">
      <alignment horizontal="center" vertical="center"/>
    </xf>
    <xf numFmtId="41" fontId="5" fillId="0" borderId="0" xfId="2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1" fontId="5" fillId="0" borderId="0" xfId="2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  <xf numFmtId="3" fontId="22" fillId="0" borderId="0" xfId="0" applyNumberFormat="1" applyFont="1">
      <alignment vertical="center"/>
    </xf>
    <xf numFmtId="0" fontId="14" fillId="0" borderId="2" xfId="0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7" fontId="15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1" fontId="11" fillId="0" borderId="2" xfId="0" applyNumberFormat="1" applyFont="1" applyBorder="1" applyAlignment="1">
      <alignment horizontal="center" vertical="center"/>
    </xf>
    <xf numFmtId="38" fontId="11" fillId="0" borderId="2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178" fontId="11" fillId="0" borderId="2" xfId="2" applyNumberFormat="1" applyFont="1" applyFill="1" applyBorder="1" applyAlignment="1">
      <alignment horizontal="center" vertical="center"/>
    </xf>
    <xf numFmtId="179" fontId="11" fillId="0" borderId="2" xfId="2" applyNumberFormat="1" applyFont="1" applyFill="1" applyBorder="1" applyAlignment="1">
      <alignment horizontal="center" vertical="center"/>
    </xf>
    <xf numFmtId="41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38" fontId="11" fillId="0" borderId="6" xfId="0" applyNumberFormat="1" applyFont="1" applyBorder="1">
      <alignment vertical="center"/>
    </xf>
    <xf numFmtId="38" fontId="11" fillId="0" borderId="7" xfId="0" applyNumberFormat="1" applyFont="1" applyBorder="1">
      <alignment vertical="center"/>
    </xf>
    <xf numFmtId="0" fontId="15" fillId="6" borderId="2" xfId="0" applyFont="1" applyFill="1" applyBorder="1" applyAlignment="1">
      <alignment horizontal="center" vertical="center" wrapText="1"/>
    </xf>
    <xf numFmtId="49" fontId="14" fillId="6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78" fontId="11" fillId="6" borderId="2" xfId="0" applyNumberFormat="1" applyFont="1" applyFill="1" applyBorder="1" applyAlignment="1">
      <alignment horizontal="center" vertical="center"/>
    </xf>
    <xf numFmtId="176" fontId="11" fillId="6" borderId="2" xfId="0" applyNumberFormat="1" applyFont="1" applyFill="1" applyBorder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15" fillId="6" borderId="2" xfId="0" applyNumberFormat="1" applyFont="1" applyFill="1" applyBorder="1" applyAlignment="1">
      <alignment horizontal="center" vertical="center" wrapText="1"/>
    </xf>
    <xf numFmtId="41" fontId="21" fillId="0" borderId="0" xfId="6" applyFont="1">
      <alignment vertical="center"/>
    </xf>
    <xf numFmtId="180" fontId="5" fillId="0" borderId="0" xfId="0" applyNumberFormat="1" applyFont="1" applyAlignment="1">
      <alignment horizontal="center" vertical="center"/>
    </xf>
    <xf numFmtId="181" fontId="25" fillId="0" borderId="2" xfId="4" applyNumberFormat="1" applyFont="1" applyBorder="1">
      <alignment vertical="center"/>
    </xf>
    <xf numFmtId="181" fontId="25" fillId="0" borderId="2" xfId="4" applyNumberFormat="1" applyFont="1" applyBorder="1">
      <alignment vertical="center"/>
    </xf>
    <xf numFmtId="181" fontId="25" fillId="0" borderId="2" xfId="4" applyNumberFormat="1" applyFont="1" applyBorder="1">
      <alignment vertical="center"/>
    </xf>
    <xf numFmtId="181" fontId="25" fillId="0" borderId="2" xfId="4" applyNumberFormat="1" applyFont="1" applyBorder="1">
      <alignment vertical="center"/>
    </xf>
    <xf numFmtId="181" fontId="25" fillId="0" borderId="2" xfId="4" applyNumberFormat="1" applyFont="1" applyBorder="1">
      <alignment vertical="center"/>
    </xf>
    <xf numFmtId="181" fontId="25" fillId="0" borderId="2" xfId="4" applyNumberFormat="1" applyFont="1" applyBorder="1">
      <alignment vertical="center"/>
    </xf>
    <xf numFmtId="181" fontId="25" fillId="0" borderId="2" xfId="4" applyNumberFormat="1" applyFont="1" applyBorder="1">
      <alignment vertical="center"/>
    </xf>
    <xf numFmtId="177" fontId="13" fillId="0" borderId="3" xfId="0" applyNumberFormat="1" applyFont="1" applyBorder="1" applyAlignment="1">
      <alignment horizontal="center" vertical="center"/>
    </xf>
    <xf numFmtId="181" fontId="25" fillId="0" borderId="2" xfId="4" applyNumberFormat="1" applyFont="1" applyBorder="1">
      <alignment vertical="center"/>
    </xf>
    <xf numFmtId="41" fontId="21" fillId="0" borderId="2" xfId="6" applyFont="1" applyBorder="1">
      <alignment vertical="center"/>
    </xf>
    <xf numFmtId="41" fontId="21" fillId="0" borderId="2" xfId="6" applyFont="1" applyBorder="1">
      <alignment vertical="center"/>
    </xf>
    <xf numFmtId="41" fontId="21" fillId="0" borderId="2" xfId="6" applyFont="1" applyBorder="1">
      <alignment vertical="center"/>
    </xf>
    <xf numFmtId="41" fontId="21" fillId="0" borderId="2" xfId="6" applyFont="1" applyBorder="1">
      <alignment vertical="center"/>
    </xf>
    <xf numFmtId="41" fontId="21" fillId="0" borderId="2" xfId="6" applyFont="1" applyBorder="1">
      <alignment vertical="center"/>
    </xf>
    <xf numFmtId="41" fontId="21" fillId="0" borderId="2" xfId="6" applyFont="1" applyBorder="1">
      <alignment vertical="center"/>
    </xf>
    <xf numFmtId="41" fontId="21" fillId="0" borderId="2" xfId="6" applyFont="1" applyBorder="1">
      <alignment vertical="center"/>
    </xf>
    <xf numFmtId="41" fontId="21" fillId="0" borderId="2" xfId="6" applyFont="1" applyBorder="1">
      <alignment vertical="center"/>
    </xf>
    <xf numFmtId="177" fontId="13" fillId="0" borderId="3" xfId="0" applyNumberFormat="1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49" fontId="14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78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177" fontId="14" fillId="0" borderId="2" xfId="0" applyNumberFormat="1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horizontal="center" vertical="center" wrapText="1"/>
    </xf>
    <xf numFmtId="41" fontId="5" fillId="0" borderId="0" xfId="2" applyNumberFormat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quotePrefix="1" applyFont="1" applyFill="1" applyBorder="1" applyAlignment="1">
      <alignment horizontal="center" vertical="center"/>
    </xf>
    <xf numFmtId="176" fontId="11" fillId="0" borderId="6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/>
    </xf>
    <xf numFmtId="0" fontId="11" fillId="0" borderId="7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77" fontId="14" fillId="0" borderId="6" xfId="0" applyNumberFormat="1" applyFont="1" applyFill="1" applyBorder="1" applyAlignment="1">
      <alignment horizontal="center" vertical="center"/>
    </xf>
    <xf numFmtId="177" fontId="14" fillId="0" borderId="7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77" fontId="13" fillId="0" borderId="3" xfId="0" applyNumberFormat="1" applyFont="1" applyBorder="1" applyAlignment="1">
      <alignment horizontal="center" vertical="center"/>
    </xf>
    <xf numFmtId="177" fontId="13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77" fontId="14" fillId="0" borderId="6" xfId="0" applyNumberFormat="1" applyFont="1" applyBorder="1" applyAlignment="1">
      <alignment horizontal="center" vertical="center"/>
    </xf>
    <xf numFmtId="177" fontId="14" fillId="0" borderId="7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1" fontId="5" fillId="4" borderId="6" xfId="0" applyNumberFormat="1" applyFont="1" applyFill="1" applyBorder="1" applyAlignment="1">
      <alignment horizontal="center" vertical="center"/>
    </xf>
    <xf numFmtId="41" fontId="5" fillId="4" borderId="7" xfId="0" applyNumberFormat="1" applyFont="1" applyFill="1" applyBorder="1" applyAlignment="1">
      <alignment horizontal="center" vertical="center"/>
    </xf>
    <xf numFmtId="41" fontId="11" fillId="4" borderId="6" xfId="0" applyNumberFormat="1" applyFont="1" applyFill="1" applyBorder="1" applyAlignment="1">
      <alignment horizontal="center" vertical="center"/>
    </xf>
    <xf numFmtId="41" fontId="11" fillId="4" borderId="7" xfId="0" applyNumberFormat="1" applyFont="1" applyFill="1" applyBorder="1" applyAlignment="1">
      <alignment horizontal="center" vertical="center"/>
    </xf>
    <xf numFmtId="41" fontId="11" fillId="0" borderId="6" xfId="0" applyNumberFormat="1" applyFont="1" applyBorder="1" applyAlignment="1">
      <alignment horizontal="center" vertical="center"/>
    </xf>
    <xf numFmtId="41" fontId="11" fillId="0" borderId="7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1" fontId="11" fillId="0" borderId="6" xfId="0" applyNumberFormat="1" applyFont="1" applyFill="1" applyBorder="1" applyAlignment="1">
      <alignment horizontal="center" vertical="center"/>
    </xf>
    <xf numFmtId="41" fontId="11" fillId="0" borderId="7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3" fontId="13" fillId="0" borderId="3" xfId="0" applyNumberFormat="1" applyFont="1" applyBorder="1" applyAlignment="1">
      <alignment horizontal="left" vertical="center"/>
    </xf>
    <xf numFmtId="3" fontId="13" fillId="0" borderId="4" xfId="0" applyNumberFormat="1" applyFont="1" applyBorder="1" applyAlignment="1">
      <alignment horizontal="left" vertical="center"/>
    </xf>
    <xf numFmtId="3" fontId="13" fillId="0" borderId="5" xfId="0" applyNumberFormat="1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177" fontId="11" fillId="3" borderId="3" xfId="0" applyNumberFormat="1" applyFont="1" applyFill="1" applyBorder="1" applyAlignment="1">
      <alignment horizontal="center" vertical="center"/>
    </xf>
    <xf numFmtId="177" fontId="11" fillId="3" borderId="5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7" fontId="18" fillId="0" borderId="6" xfId="0" applyNumberFormat="1" applyFont="1" applyBorder="1" applyAlignment="1">
      <alignment horizontal="center" vertical="center"/>
    </xf>
    <xf numFmtId="177" fontId="18" fillId="0" borderId="7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38" fontId="11" fillId="0" borderId="6" xfId="0" applyNumberFormat="1" applyFont="1" applyBorder="1" applyAlignment="1">
      <alignment horizontal="center" vertical="center"/>
    </xf>
    <xf numFmtId="38" fontId="11" fillId="0" borderId="7" xfId="0" applyNumberFormat="1" applyFont="1" applyBorder="1" applyAlignment="1">
      <alignment horizontal="center" vertical="center"/>
    </xf>
    <xf numFmtId="41" fontId="11" fillId="6" borderId="6" xfId="0" applyNumberFormat="1" applyFont="1" applyFill="1" applyBorder="1" applyAlignment="1">
      <alignment horizontal="center" vertical="center"/>
    </xf>
    <xf numFmtId="41" fontId="11" fillId="6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177" fontId="14" fillId="6" borderId="6" xfId="0" applyNumberFormat="1" applyFont="1" applyFill="1" applyBorder="1" applyAlignment="1">
      <alignment horizontal="center" vertical="center"/>
    </xf>
    <xf numFmtId="177" fontId="14" fillId="6" borderId="7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1" fontId="11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 vertical="center"/>
    </xf>
    <xf numFmtId="49" fontId="14" fillId="4" borderId="7" xfId="0" applyNumberFormat="1" applyFont="1" applyFill="1" applyBorder="1" applyAlignment="1">
      <alignment horizontal="center" vertical="center"/>
    </xf>
    <xf numFmtId="177" fontId="14" fillId="4" borderId="6" xfId="0" applyNumberFormat="1" applyFont="1" applyFill="1" applyBorder="1" applyAlignment="1">
      <alignment horizontal="center" vertical="center"/>
    </xf>
    <xf numFmtId="177" fontId="14" fillId="4" borderId="7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7" fontId="15" fillId="0" borderId="6" xfId="0" applyNumberFormat="1" applyFont="1" applyBorder="1" applyAlignment="1">
      <alignment horizontal="center" vertical="center" wrapText="1"/>
    </xf>
    <xf numFmtId="177" fontId="1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1" fontId="11" fillId="0" borderId="6" xfId="0" applyNumberFormat="1" applyFont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/>
    </xf>
    <xf numFmtId="0" fontId="11" fillId="6" borderId="2" xfId="0" quotePrefix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</cellXfs>
  <cellStyles count="34">
    <cellStyle name="백분율 2" xfId="5"/>
    <cellStyle name="백분율 2 2" xfId="7"/>
    <cellStyle name="백분율 3" xfId="8"/>
    <cellStyle name="백분율 4" xfId="9"/>
    <cellStyle name="백분율 5" xfId="29"/>
    <cellStyle name="쉼표 [0]" xfId="2" builtinId="6"/>
    <cellStyle name="쉼표 [0] 10 8" xfId="10"/>
    <cellStyle name="쉼표 [0] 10 8 2" xfId="11"/>
    <cellStyle name="쉼표 [0] 10 8 3" xfId="12"/>
    <cellStyle name="쉼표 [0] 10 8 4" xfId="30"/>
    <cellStyle name="쉼표 [0] 2" xfId="6"/>
    <cellStyle name="쉼표 [0] 2 2" xfId="14"/>
    <cellStyle name="쉼표 [0] 2 2 2" xfId="15"/>
    <cellStyle name="쉼표 [0] 2 2 3" xfId="16"/>
    <cellStyle name="쉼표 [0] 2 2 4" xfId="17"/>
    <cellStyle name="쉼표 [0] 2 2 5" xfId="31"/>
    <cellStyle name="쉼표 [0] 2 3" xfId="18"/>
    <cellStyle name="쉼표 [0] 2 4" xfId="19"/>
    <cellStyle name="쉼표 [0] 2 5" xfId="20"/>
    <cellStyle name="쉼표 [0] 2 6" xfId="13"/>
    <cellStyle name="쉼표 [0] 3" xfId="21"/>
    <cellStyle name="쉼표 [0] 4" xfId="22"/>
    <cellStyle name="쉼표 [0] 5" xfId="23"/>
    <cellStyle name="쉼표 [0] 6" xfId="32"/>
    <cellStyle name="표준" xfId="0" builtinId="0"/>
    <cellStyle name="표준 2" xfId="1"/>
    <cellStyle name="표준 2 2" xfId="4"/>
    <cellStyle name="표준 2 3" xfId="24"/>
    <cellStyle name="표준 3" xfId="3"/>
    <cellStyle name="표준 3 2" xfId="25"/>
    <cellStyle name="표준 4" xfId="26"/>
    <cellStyle name="표준 5" xfId="27"/>
    <cellStyle name="표준 6" xfId="33"/>
    <cellStyle name="하이퍼링크 2" xfId="28"/>
  </cellStyles>
  <dxfs count="0"/>
  <tableStyles count="0" defaultTableStyle="TableStyleMedium2" defaultPivotStyle="PivotStyleLight16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X539"/>
  <sheetViews>
    <sheetView tabSelected="1" zoomScaleNormal="100" zoomScaleSheetLayoutView="100" workbookViewId="0">
      <selection activeCell="E13" sqref="E13:M13"/>
    </sheetView>
  </sheetViews>
  <sheetFormatPr defaultColWidth="9" defaultRowHeight="11.25"/>
  <cols>
    <col min="1" max="1" width="11.375" style="2" customWidth="1"/>
    <col min="2" max="2" width="10.25" style="2" customWidth="1"/>
    <col min="3" max="3" width="8.75" style="4" customWidth="1"/>
    <col min="4" max="4" width="7.25" style="6" customWidth="1"/>
    <col min="5" max="5" width="7.625" style="2" customWidth="1"/>
    <col min="6" max="6" width="29.125" style="2" customWidth="1"/>
    <col min="7" max="7" width="7" style="2" customWidth="1"/>
    <col min="8" max="8" width="7.625" style="2" customWidth="1"/>
    <col min="9" max="9" width="11.625" style="2" customWidth="1"/>
    <col min="10" max="10" width="7.375" style="2" customWidth="1"/>
    <col min="11" max="11" width="15.875" style="2" customWidth="1"/>
    <col min="12" max="12" width="6.5" style="2" customWidth="1"/>
    <col min="13" max="13" width="9" style="2" customWidth="1"/>
    <col min="14" max="14" width="15" style="2" customWidth="1"/>
    <col min="15" max="15" width="10" style="2" hidden="1" customWidth="1"/>
    <col min="16" max="16" width="11.25" style="2" bestFit="1" customWidth="1"/>
    <col min="17" max="17" width="11.25" style="2" customWidth="1"/>
    <col min="18" max="18" width="9" style="2" customWidth="1"/>
    <col min="19" max="20" width="11.25" style="2" customWidth="1"/>
    <col min="21" max="21" width="9.25" style="2" customWidth="1"/>
    <col min="22" max="22" width="10" style="2" customWidth="1"/>
    <col min="23" max="24" width="9" style="2" customWidth="1"/>
    <col min="25" max="16384" width="9" style="2"/>
  </cols>
  <sheetData>
    <row r="1" spans="1:24" ht="20.25" customHeight="1">
      <c r="A1" s="246" t="s">
        <v>46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3"/>
    </row>
    <row r="2" spans="1:24" ht="9.9499999999999993" customHeight="1"/>
    <row r="3" spans="1:24" ht="20.100000000000001" customHeight="1">
      <c r="A3" s="11" t="s">
        <v>47</v>
      </c>
    </row>
    <row r="4" spans="1:24" ht="19.5" customHeight="1">
      <c r="A4" s="15" t="s">
        <v>17</v>
      </c>
      <c r="B4" s="15" t="s">
        <v>48</v>
      </c>
      <c r="C4" s="12" t="s">
        <v>42</v>
      </c>
      <c r="D4" s="13" t="s">
        <v>44</v>
      </c>
      <c r="E4" s="160" t="s">
        <v>45</v>
      </c>
      <c r="F4" s="160"/>
      <c r="G4" s="160"/>
      <c r="H4" s="160"/>
      <c r="I4" s="160"/>
      <c r="J4" s="160"/>
      <c r="K4" s="160"/>
      <c r="L4" s="160"/>
      <c r="M4" s="160"/>
      <c r="P4" s="2" t="s">
        <v>245</v>
      </c>
      <c r="Q4" s="2" t="s">
        <v>246</v>
      </c>
      <c r="S4" s="2" t="s">
        <v>247</v>
      </c>
    </row>
    <row r="5" spans="1:24" ht="30" customHeight="1">
      <c r="A5" s="207" t="s">
        <v>224</v>
      </c>
      <c r="B5" s="205" t="s">
        <v>225</v>
      </c>
      <c r="C5" s="25" t="s">
        <v>62</v>
      </c>
      <c r="D5" s="47" t="s">
        <v>352</v>
      </c>
      <c r="E5" s="210" t="s">
        <v>350</v>
      </c>
      <c r="F5" s="210"/>
      <c r="G5" s="210"/>
      <c r="H5" s="210"/>
      <c r="I5" s="210"/>
      <c r="J5" s="210"/>
      <c r="K5" s="210"/>
      <c r="L5" s="210"/>
      <c r="M5" s="210"/>
      <c r="N5" s="46"/>
      <c r="P5" s="2" t="s">
        <v>221</v>
      </c>
      <c r="Q5" s="52"/>
      <c r="R5" s="53"/>
      <c r="S5" s="52"/>
      <c r="T5" s="53"/>
      <c r="V5" s="52"/>
    </row>
    <row r="6" spans="1:24" ht="30" customHeight="1">
      <c r="A6" s="208"/>
      <c r="B6" s="206"/>
      <c r="C6" s="48" t="s">
        <v>63</v>
      </c>
      <c r="D6" s="47" t="s">
        <v>217</v>
      </c>
      <c r="E6" s="192" t="s">
        <v>385</v>
      </c>
      <c r="F6" s="193"/>
      <c r="G6" s="193"/>
      <c r="H6" s="193"/>
      <c r="I6" s="193"/>
      <c r="J6" s="193"/>
      <c r="K6" s="194"/>
      <c r="L6" s="198">
        <f>V6</f>
        <v>7866750</v>
      </c>
      <c r="M6" s="209"/>
      <c r="N6" s="46"/>
      <c r="P6" s="52">
        <f>Q6+S6</f>
        <v>57108710</v>
      </c>
      <c r="Q6" s="52">
        <v>56946710</v>
      </c>
      <c r="R6" s="55">
        <f>Q6*0.138</f>
        <v>7858645.9800000004</v>
      </c>
      <c r="S6" s="113">
        <v>162000</v>
      </c>
      <c r="T6" s="55">
        <f>S6*0.05</f>
        <v>8100</v>
      </c>
      <c r="U6" s="46">
        <f>R6+T6</f>
        <v>7866745.9800000004</v>
      </c>
      <c r="V6" s="52">
        <v>7866750</v>
      </c>
      <c r="W6" s="46">
        <f>U6-V6</f>
        <v>-4.0199999995529652</v>
      </c>
      <c r="X6" s="103"/>
    </row>
    <row r="7" spans="1:24" ht="30" customHeight="1">
      <c r="A7" s="207" t="s">
        <v>226</v>
      </c>
      <c r="B7" s="205" t="s">
        <v>227</v>
      </c>
      <c r="C7" s="25" t="s">
        <v>62</v>
      </c>
      <c r="D7" s="47" t="s">
        <v>240</v>
      </c>
      <c r="E7" s="210" t="s">
        <v>244</v>
      </c>
      <c r="F7" s="210"/>
      <c r="G7" s="210"/>
      <c r="H7" s="210"/>
      <c r="I7" s="210"/>
      <c r="J7" s="210"/>
      <c r="K7" s="210"/>
      <c r="L7" s="210"/>
      <c r="M7" s="210"/>
      <c r="N7" s="46"/>
      <c r="P7" s="2" t="s">
        <v>237</v>
      </c>
      <c r="Q7" s="52"/>
      <c r="R7" s="53"/>
      <c r="S7" s="52"/>
      <c r="T7" s="53"/>
      <c r="V7" s="52"/>
    </row>
    <row r="8" spans="1:24" ht="30" customHeight="1">
      <c r="A8" s="208"/>
      <c r="B8" s="206"/>
      <c r="C8" s="48" t="s">
        <v>63</v>
      </c>
      <c r="D8" s="47" t="s">
        <v>217</v>
      </c>
      <c r="E8" s="192" t="s">
        <v>386</v>
      </c>
      <c r="F8" s="193"/>
      <c r="G8" s="193"/>
      <c r="H8" s="193"/>
      <c r="I8" s="193"/>
      <c r="J8" s="193"/>
      <c r="K8" s="194"/>
      <c r="L8" s="198">
        <f>V8</f>
        <v>11012650</v>
      </c>
      <c r="M8" s="209"/>
      <c r="N8" s="46"/>
      <c r="P8" s="52">
        <f>Q8+S8</f>
        <v>73635020</v>
      </c>
      <c r="Q8" s="54">
        <v>73309020</v>
      </c>
      <c r="R8" s="55">
        <f>Q8*0.15</f>
        <v>10996353</v>
      </c>
      <c r="S8" s="104">
        <v>326000</v>
      </c>
      <c r="T8" s="55">
        <f>S8*0.05</f>
        <v>16300</v>
      </c>
      <c r="U8" s="46">
        <f>R8+T8</f>
        <v>11012653</v>
      </c>
      <c r="V8" s="52">
        <v>11012650</v>
      </c>
      <c r="W8" s="46">
        <f>U8-V8</f>
        <v>3</v>
      </c>
    </row>
    <row r="9" spans="1:24" ht="30" customHeight="1">
      <c r="A9" s="211" t="s">
        <v>328</v>
      </c>
      <c r="B9" s="205" t="s">
        <v>339</v>
      </c>
      <c r="C9" s="111" t="s">
        <v>62</v>
      </c>
      <c r="D9" s="47" t="s">
        <v>341</v>
      </c>
      <c r="E9" s="192" t="s">
        <v>343</v>
      </c>
      <c r="F9" s="193"/>
      <c r="G9" s="193"/>
      <c r="H9" s="193"/>
      <c r="I9" s="193"/>
      <c r="J9" s="193"/>
      <c r="K9" s="193"/>
      <c r="L9" s="193"/>
      <c r="M9" s="194"/>
      <c r="N9" s="46"/>
      <c r="P9" s="2" t="s">
        <v>328</v>
      </c>
      <c r="Q9" s="54"/>
      <c r="R9" s="53"/>
      <c r="S9" s="52"/>
      <c r="T9" s="53"/>
      <c r="V9" s="52"/>
    </row>
    <row r="10" spans="1:24" ht="30" customHeight="1">
      <c r="A10" s="208"/>
      <c r="B10" s="206"/>
      <c r="C10" s="48" t="s">
        <v>63</v>
      </c>
      <c r="D10" s="47" t="s">
        <v>217</v>
      </c>
      <c r="E10" s="195" t="s">
        <v>387</v>
      </c>
      <c r="F10" s="196"/>
      <c r="G10" s="196"/>
      <c r="H10" s="196"/>
      <c r="I10" s="196"/>
      <c r="J10" s="196"/>
      <c r="K10" s="197"/>
      <c r="L10" s="198">
        <f>V10</f>
        <v>6302230</v>
      </c>
      <c r="M10" s="209"/>
      <c r="N10" s="46"/>
      <c r="P10" s="58">
        <f>Q10+S10</f>
        <v>35035430</v>
      </c>
      <c r="Q10" s="54">
        <v>35003530</v>
      </c>
      <c r="R10" s="55">
        <f>Q10*0.18</f>
        <v>6300635.3999999994</v>
      </c>
      <c r="S10" s="112">
        <v>31900</v>
      </c>
      <c r="T10" s="55">
        <f>S10*0.05</f>
        <v>1595</v>
      </c>
      <c r="U10" s="46">
        <f>R10+T10</f>
        <v>6302230.3999999994</v>
      </c>
      <c r="V10" s="52">
        <v>6302230</v>
      </c>
      <c r="W10" s="46">
        <f>U10-V10</f>
        <v>0.39999999944120646</v>
      </c>
    </row>
    <row r="11" spans="1:24" ht="30" customHeight="1">
      <c r="A11" s="207" t="s">
        <v>338</v>
      </c>
      <c r="B11" s="205" t="s">
        <v>340</v>
      </c>
      <c r="C11" s="111" t="s">
        <v>62</v>
      </c>
      <c r="D11" s="47" t="s">
        <v>342</v>
      </c>
      <c r="E11" s="192" t="s">
        <v>344</v>
      </c>
      <c r="F11" s="193"/>
      <c r="G11" s="193"/>
      <c r="H11" s="193"/>
      <c r="I11" s="193"/>
      <c r="J11" s="193"/>
      <c r="K11" s="193"/>
      <c r="L11" s="193"/>
      <c r="M11" s="194"/>
      <c r="N11" s="46"/>
      <c r="P11" s="2" t="s">
        <v>338</v>
      </c>
      <c r="Q11" s="52"/>
      <c r="R11" s="53"/>
      <c r="S11" s="52"/>
      <c r="T11" s="53"/>
      <c r="V11" s="52"/>
    </row>
    <row r="12" spans="1:24" ht="30" customHeight="1">
      <c r="A12" s="208"/>
      <c r="B12" s="206"/>
      <c r="C12" s="48" t="s">
        <v>63</v>
      </c>
      <c r="D12" s="47" t="s">
        <v>217</v>
      </c>
      <c r="E12" s="195" t="s">
        <v>388</v>
      </c>
      <c r="F12" s="196"/>
      <c r="G12" s="196"/>
      <c r="H12" s="196"/>
      <c r="I12" s="196"/>
      <c r="J12" s="196"/>
      <c r="K12" s="197"/>
      <c r="L12" s="198">
        <f>V12</f>
        <v>5973240</v>
      </c>
      <c r="M12" s="199"/>
      <c r="N12" s="46"/>
      <c r="P12" s="58">
        <f>Q12+S12</f>
        <v>31438100</v>
      </c>
      <c r="Q12" s="54">
        <v>31438100</v>
      </c>
      <c r="R12" s="55">
        <f>Q12*0.19</f>
        <v>5973239</v>
      </c>
      <c r="S12" s="112"/>
      <c r="T12" s="55">
        <f>S12*0.05</f>
        <v>0</v>
      </c>
      <c r="U12" s="46">
        <f>R12+T12</f>
        <v>5973239</v>
      </c>
      <c r="V12" s="52">
        <v>5973240</v>
      </c>
      <c r="W12" s="46">
        <f>U12-V12</f>
        <v>-1</v>
      </c>
    </row>
    <row r="13" spans="1:24" ht="30" customHeight="1">
      <c r="A13" s="211" t="s">
        <v>302</v>
      </c>
      <c r="B13" s="205" t="s">
        <v>303</v>
      </c>
      <c r="C13" s="25" t="s">
        <v>62</v>
      </c>
      <c r="D13" s="47" t="s">
        <v>241</v>
      </c>
      <c r="E13" s="210" t="s">
        <v>304</v>
      </c>
      <c r="F13" s="210"/>
      <c r="G13" s="210"/>
      <c r="H13" s="210"/>
      <c r="I13" s="210"/>
      <c r="J13" s="210"/>
      <c r="K13" s="210"/>
      <c r="L13" s="210"/>
      <c r="M13" s="210"/>
      <c r="N13" s="46"/>
      <c r="P13" s="2" t="s">
        <v>302</v>
      </c>
      <c r="Q13" s="54"/>
      <c r="R13" s="53"/>
      <c r="S13" s="52"/>
      <c r="T13" s="53"/>
      <c r="V13" s="52"/>
    </row>
    <row r="14" spans="1:24" ht="30" customHeight="1">
      <c r="A14" s="208"/>
      <c r="B14" s="206"/>
      <c r="C14" s="48" t="s">
        <v>63</v>
      </c>
      <c r="D14" s="47" t="s">
        <v>217</v>
      </c>
      <c r="E14" s="195" t="s">
        <v>389</v>
      </c>
      <c r="F14" s="196"/>
      <c r="G14" s="196"/>
      <c r="H14" s="196"/>
      <c r="I14" s="196"/>
      <c r="J14" s="196"/>
      <c r="K14" s="197"/>
      <c r="L14" s="198">
        <f>V14</f>
        <v>6845620</v>
      </c>
      <c r="M14" s="209"/>
      <c r="N14" s="46"/>
      <c r="P14" s="58">
        <f>Q14+S14</f>
        <v>53086040</v>
      </c>
      <c r="Q14" s="54">
        <v>52391440</v>
      </c>
      <c r="R14" s="55">
        <f>Q14*0.13</f>
        <v>6810887.2000000002</v>
      </c>
      <c r="S14" s="105">
        <v>694600</v>
      </c>
      <c r="T14" s="55">
        <f>S14*0.05</f>
        <v>34730</v>
      </c>
      <c r="U14" s="46">
        <f>R14+T14</f>
        <v>6845617.2000000002</v>
      </c>
      <c r="V14" s="52">
        <v>6845620</v>
      </c>
      <c r="W14" s="46">
        <f>U14-V14</f>
        <v>-2.7999999998137355</v>
      </c>
    </row>
    <row r="15" spans="1:24" ht="30" customHeight="1">
      <c r="A15" s="207" t="s">
        <v>315</v>
      </c>
      <c r="B15" s="205" t="s">
        <v>284</v>
      </c>
      <c r="C15" s="25" t="s">
        <v>62</v>
      </c>
      <c r="D15" s="47" t="s">
        <v>316</v>
      </c>
      <c r="E15" s="192" t="s">
        <v>317</v>
      </c>
      <c r="F15" s="193"/>
      <c r="G15" s="193"/>
      <c r="H15" s="193"/>
      <c r="I15" s="193"/>
      <c r="J15" s="193"/>
      <c r="K15" s="193"/>
      <c r="L15" s="193"/>
      <c r="M15" s="194"/>
      <c r="N15" s="46"/>
      <c r="P15" s="2" t="s">
        <v>315</v>
      </c>
      <c r="Q15" s="52"/>
      <c r="R15" s="53"/>
      <c r="S15" s="52"/>
      <c r="T15" s="53"/>
      <c r="V15" s="52"/>
    </row>
    <row r="16" spans="1:24" ht="30" customHeight="1">
      <c r="A16" s="208"/>
      <c r="B16" s="206"/>
      <c r="C16" s="48" t="s">
        <v>63</v>
      </c>
      <c r="D16" s="47" t="s">
        <v>217</v>
      </c>
      <c r="E16" s="195" t="s">
        <v>390</v>
      </c>
      <c r="F16" s="196"/>
      <c r="G16" s="196"/>
      <c r="H16" s="196"/>
      <c r="I16" s="196"/>
      <c r="J16" s="196"/>
      <c r="K16" s="197"/>
      <c r="L16" s="198">
        <f>V16</f>
        <v>6859310</v>
      </c>
      <c r="M16" s="199"/>
      <c r="N16" s="46"/>
      <c r="P16" s="58">
        <f>Q16+S16</f>
        <v>44937200</v>
      </c>
      <c r="Q16" s="54">
        <v>38437050</v>
      </c>
      <c r="R16" s="55">
        <f>Q16*0.17</f>
        <v>6534298.5000000009</v>
      </c>
      <c r="S16" s="106">
        <v>6500150</v>
      </c>
      <c r="T16" s="55">
        <f>S16*0.05</f>
        <v>325007.5</v>
      </c>
      <c r="U16" s="46">
        <f>R16+T16</f>
        <v>6859306.0000000009</v>
      </c>
      <c r="V16" s="52">
        <v>6859310</v>
      </c>
      <c r="W16" s="46">
        <f>U16-V16</f>
        <v>-3.9999999990686774</v>
      </c>
    </row>
    <row r="17" spans="1:24" ht="30" customHeight="1">
      <c r="A17" s="207" t="s">
        <v>228</v>
      </c>
      <c r="B17" s="205" t="s">
        <v>285</v>
      </c>
      <c r="C17" s="25" t="s">
        <v>215</v>
      </c>
      <c r="D17" s="47" t="s">
        <v>218</v>
      </c>
      <c r="E17" s="192" t="s">
        <v>301</v>
      </c>
      <c r="F17" s="193"/>
      <c r="G17" s="193"/>
      <c r="H17" s="193"/>
      <c r="I17" s="193"/>
      <c r="J17" s="193"/>
      <c r="K17" s="193"/>
      <c r="L17" s="193"/>
      <c r="M17" s="194"/>
      <c r="N17" s="46"/>
      <c r="P17" s="2" t="s">
        <v>238</v>
      </c>
      <c r="Q17" s="52"/>
      <c r="R17" s="53"/>
      <c r="S17" s="52"/>
      <c r="T17" s="53"/>
      <c r="V17" s="52"/>
    </row>
    <row r="18" spans="1:24" ht="30" customHeight="1">
      <c r="A18" s="208"/>
      <c r="B18" s="206"/>
      <c r="C18" s="48" t="s">
        <v>216</v>
      </c>
      <c r="D18" s="47" t="s">
        <v>217</v>
      </c>
      <c r="E18" s="195" t="s">
        <v>391</v>
      </c>
      <c r="F18" s="196"/>
      <c r="G18" s="196"/>
      <c r="H18" s="196"/>
      <c r="I18" s="196"/>
      <c r="J18" s="196"/>
      <c r="K18" s="197"/>
      <c r="L18" s="198">
        <f>V18</f>
        <v>11787890</v>
      </c>
      <c r="M18" s="199"/>
      <c r="N18" s="46"/>
      <c r="P18" s="58">
        <f>Q18+S18</f>
        <v>83647550</v>
      </c>
      <c r="Q18" s="54">
        <v>80058050</v>
      </c>
      <c r="R18" s="55">
        <f>Q18*0.145</f>
        <v>11608417.25</v>
      </c>
      <c r="S18" s="107">
        <v>3589500</v>
      </c>
      <c r="T18" s="55">
        <f>S18*0.05</f>
        <v>179475</v>
      </c>
      <c r="U18" s="46">
        <f>R18+T18</f>
        <v>11787892.25</v>
      </c>
      <c r="V18" s="52">
        <v>11787890</v>
      </c>
      <c r="W18" s="46">
        <f>U18-V18</f>
        <v>2.25</v>
      </c>
    </row>
    <row r="19" spans="1:24" ht="30" customHeight="1">
      <c r="A19" s="207" t="s">
        <v>229</v>
      </c>
      <c r="B19" s="205" t="s">
        <v>230</v>
      </c>
      <c r="C19" s="25" t="s">
        <v>215</v>
      </c>
      <c r="D19" s="47" t="s">
        <v>240</v>
      </c>
      <c r="E19" s="192" t="s">
        <v>244</v>
      </c>
      <c r="F19" s="193"/>
      <c r="G19" s="193"/>
      <c r="H19" s="193"/>
      <c r="I19" s="193"/>
      <c r="J19" s="193"/>
      <c r="K19" s="193"/>
      <c r="L19" s="193"/>
      <c r="M19" s="194"/>
      <c r="N19" s="46"/>
      <c r="O19" s="26"/>
      <c r="P19" s="58" t="s">
        <v>239</v>
      </c>
      <c r="Q19" s="52"/>
      <c r="R19" s="53"/>
      <c r="S19" s="52"/>
      <c r="T19" s="55"/>
      <c r="V19" s="52"/>
    </row>
    <row r="20" spans="1:24" ht="30" customHeight="1">
      <c r="A20" s="208"/>
      <c r="B20" s="206"/>
      <c r="C20" s="48" t="s">
        <v>216</v>
      </c>
      <c r="D20" s="47" t="s">
        <v>217</v>
      </c>
      <c r="E20" s="195" t="s">
        <v>392</v>
      </c>
      <c r="F20" s="196"/>
      <c r="G20" s="196"/>
      <c r="H20" s="196"/>
      <c r="I20" s="196"/>
      <c r="J20" s="196"/>
      <c r="K20" s="197"/>
      <c r="L20" s="198">
        <f>V20</f>
        <v>6601560</v>
      </c>
      <c r="M20" s="199"/>
      <c r="N20" s="46"/>
      <c r="P20" s="58">
        <f>Q20+S20</f>
        <v>44564230</v>
      </c>
      <c r="Q20" s="54">
        <v>43733480</v>
      </c>
      <c r="R20" s="55">
        <f>Q20*0.15</f>
        <v>6560022</v>
      </c>
      <c r="S20" s="108">
        <v>830750</v>
      </c>
      <c r="T20" s="55">
        <f>S20*0.05</f>
        <v>41537.5</v>
      </c>
      <c r="U20" s="46">
        <f>R20+T20</f>
        <v>6601559.5</v>
      </c>
      <c r="V20" s="52">
        <v>6601560</v>
      </c>
      <c r="W20" s="46">
        <f>U20-V20</f>
        <v>-0.5</v>
      </c>
    </row>
    <row r="21" spans="1:24" ht="30" customHeight="1">
      <c r="A21" s="207" t="s">
        <v>93</v>
      </c>
      <c r="B21" s="205" t="s">
        <v>94</v>
      </c>
      <c r="C21" s="121" t="s">
        <v>167</v>
      </c>
      <c r="D21" s="47" t="s">
        <v>347</v>
      </c>
      <c r="E21" s="192" t="s">
        <v>348</v>
      </c>
      <c r="F21" s="193"/>
      <c r="G21" s="193"/>
      <c r="H21" s="193"/>
      <c r="I21" s="193"/>
      <c r="J21" s="193"/>
      <c r="K21" s="193"/>
      <c r="L21" s="193"/>
      <c r="M21" s="194"/>
      <c r="N21" s="46"/>
      <c r="O21" s="26"/>
      <c r="P21" s="58" t="s">
        <v>349</v>
      </c>
      <c r="Q21" s="52"/>
      <c r="R21" s="53"/>
      <c r="S21" s="52"/>
      <c r="T21" s="55"/>
      <c r="V21" s="52"/>
    </row>
    <row r="22" spans="1:24" ht="30" customHeight="1">
      <c r="A22" s="208"/>
      <c r="B22" s="206"/>
      <c r="C22" s="48" t="s">
        <v>168</v>
      </c>
      <c r="D22" s="47" t="s">
        <v>217</v>
      </c>
      <c r="E22" s="195" t="s">
        <v>393</v>
      </c>
      <c r="F22" s="196"/>
      <c r="G22" s="196"/>
      <c r="H22" s="196"/>
      <c r="I22" s="196"/>
      <c r="J22" s="196"/>
      <c r="K22" s="197"/>
      <c r="L22" s="198">
        <f>V22</f>
        <v>8469530</v>
      </c>
      <c r="M22" s="199"/>
      <c r="N22" s="46"/>
      <c r="P22" s="58">
        <f>Q22+S22</f>
        <v>40477220</v>
      </c>
      <c r="Q22" s="54">
        <v>40285420</v>
      </c>
      <c r="R22" s="55">
        <f>Q22*0.21</f>
        <v>8459938.1999999993</v>
      </c>
      <c r="S22" s="112">
        <v>191800</v>
      </c>
      <c r="T22" s="55">
        <f>S22*0.05</f>
        <v>9590</v>
      </c>
      <c r="U22" s="46">
        <f>R22+T22</f>
        <v>8469528.1999999993</v>
      </c>
      <c r="V22" s="52">
        <v>8469530</v>
      </c>
      <c r="W22" s="46">
        <f>U22-V22</f>
        <v>-1.8000000007450581</v>
      </c>
    </row>
    <row r="23" spans="1:24" ht="30" customHeight="1">
      <c r="A23" s="211" t="s">
        <v>231</v>
      </c>
      <c r="B23" s="205" t="s">
        <v>249</v>
      </c>
      <c r="C23" s="25" t="s">
        <v>62</v>
      </c>
      <c r="D23" s="47" t="s">
        <v>218</v>
      </c>
      <c r="E23" s="192" t="s">
        <v>260</v>
      </c>
      <c r="F23" s="193"/>
      <c r="G23" s="193"/>
      <c r="H23" s="193"/>
      <c r="I23" s="193"/>
      <c r="J23" s="193"/>
      <c r="K23" s="193"/>
      <c r="L23" s="193"/>
      <c r="M23" s="194"/>
      <c r="N23" s="46"/>
      <c r="P23" s="2" t="s">
        <v>231</v>
      </c>
      <c r="Q23" s="52"/>
      <c r="R23" s="53"/>
      <c r="S23" s="52"/>
      <c r="T23" s="53"/>
      <c r="V23" s="52"/>
    </row>
    <row r="24" spans="1:24" ht="30" customHeight="1">
      <c r="A24" s="208"/>
      <c r="B24" s="206"/>
      <c r="C24" s="48" t="s">
        <v>63</v>
      </c>
      <c r="D24" s="47" t="s">
        <v>217</v>
      </c>
      <c r="E24" s="192" t="s">
        <v>394</v>
      </c>
      <c r="F24" s="193"/>
      <c r="G24" s="193"/>
      <c r="H24" s="193"/>
      <c r="I24" s="193"/>
      <c r="J24" s="193"/>
      <c r="K24" s="194"/>
      <c r="L24" s="198">
        <f>V24</f>
        <v>14523740</v>
      </c>
      <c r="M24" s="199"/>
      <c r="N24" s="46"/>
      <c r="P24" s="58">
        <f>Q24+S24</f>
        <v>100163700</v>
      </c>
      <c r="Q24" s="46">
        <v>100163700</v>
      </c>
      <c r="R24" s="55">
        <f>Q24*0.145</f>
        <v>14523736.499999998</v>
      </c>
      <c r="S24" s="109"/>
      <c r="T24" s="55">
        <f>S24*0.05</f>
        <v>0</v>
      </c>
      <c r="U24" s="46">
        <f>R24+T24</f>
        <v>14523736.499999998</v>
      </c>
      <c r="V24" s="52">
        <v>14523740</v>
      </c>
      <c r="W24" s="46">
        <f>U24-V24</f>
        <v>-3.5000000018626451</v>
      </c>
      <c r="X24" s="46"/>
    </row>
    <row r="25" spans="1:24" ht="30" hidden="1" customHeight="1">
      <c r="A25" s="207"/>
      <c r="B25" s="205"/>
      <c r="C25" s="25"/>
      <c r="D25" s="47"/>
      <c r="E25" s="192"/>
      <c r="F25" s="193"/>
      <c r="G25" s="193"/>
      <c r="H25" s="193"/>
      <c r="I25" s="193"/>
      <c r="J25" s="193"/>
      <c r="K25" s="193"/>
      <c r="L25" s="193"/>
      <c r="M25" s="194"/>
      <c r="N25" s="46"/>
      <c r="Q25" s="52"/>
      <c r="R25" s="53"/>
      <c r="S25" s="52"/>
      <c r="T25" s="53"/>
      <c r="V25" s="52"/>
      <c r="X25" s="51"/>
    </row>
    <row r="26" spans="1:24" ht="30" hidden="1" customHeight="1">
      <c r="A26" s="208"/>
      <c r="B26" s="206"/>
      <c r="C26" s="48"/>
      <c r="D26" s="47"/>
      <c r="E26" s="192"/>
      <c r="F26" s="193"/>
      <c r="G26" s="193"/>
      <c r="H26" s="193"/>
      <c r="I26" s="193"/>
      <c r="J26" s="193"/>
      <c r="K26" s="194"/>
      <c r="L26" s="198"/>
      <c r="M26" s="199"/>
      <c r="N26" s="102"/>
      <c r="P26" s="58"/>
      <c r="Q26" s="46"/>
      <c r="R26" s="55"/>
      <c r="S26" s="114"/>
      <c r="T26" s="55"/>
      <c r="U26" s="46"/>
      <c r="V26" s="52"/>
      <c r="W26" s="46"/>
    </row>
    <row r="27" spans="1:24" ht="30" customHeight="1">
      <c r="A27" s="207" t="s">
        <v>127</v>
      </c>
      <c r="B27" s="205" t="s">
        <v>319</v>
      </c>
      <c r="C27" s="25" t="s">
        <v>62</v>
      </c>
      <c r="D27" s="47" t="s">
        <v>218</v>
      </c>
      <c r="E27" s="192" t="s">
        <v>327</v>
      </c>
      <c r="F27" s="193"/>
      <c r="G27" s="193"/>
      <c r="H27" s="193"/>
      <c r="I27" s="193"/>
      <c r="J27" s="193"/>
      <c r="K27" s="193"/>
      <c r="L27" s="193"/>
      <c r="M27" s="194"/>
      <c r="N27" s="102"/>
      <c r="P27" s="2" t="s">
        <v>127</v>
      </c>
      <c r="Q27" s="52"/>
      <c r="R27" s="53"/>
      <c r="S27" s="52"/>
      <c r="T27" s="53"/>
      <c r="V27" s="52"/>
      <c r="X27" s="51"/>
    </row>
    <row r="28" spans="1:24" ht="30" customHeight="1">
      <c r="A28" s="208"/>
      <c r="B28" s="206"/>
      <c r="C28" s="48" t="s">
        <v>63</v>
      </c>
      <c r="D28" s="47" t="s">
        <v>217</v>
      </c>
      <c r="E28" s="192" t="s">
        <v>395</v>
      </c>
      <c r="F28" s="193"/>
      <c r="G28" s="193"/>
      <c r="H28" s="193"/>
      <c r="I28" s="193"/>
      <c r="J28" s="193"/>
      <c r="K28" s="194"/>
      <c r="L28" s="198">
        <f>V28</f>
        <v>16621010</v>
      </c>
      <c r="M28" s="199"/>
      <c r="N28" s="102"/>
      <c r="P28" s="58">
        <f>Q28+S28</f>
        <v>115875950</v>
      </c>
      <c r="Q28" s="46">
        <v>113970650</v>
      </c>
      <c r="R28" s="55">
        <f>Q28*0.145</f>
        <v>16525744.249999998</v>
      </c>
      <c r="S28" s="115">
        <v>1905300</v>
      </c>
      <c r="T28" s="55">
        <f>S28*0.05</f>
        <v>95265</v>
      </c>
      <c r="U28" s="46">
        <f>R28+T28</f>
        <v>16621009.249999998</v>
      </c>
      <c r="V28" s="52">
        <v>16621010</v>
      </c>
      <c r="W28" s="46">
        <f>U28-V28</f>
        <v>-0.75000000186264515</v>
      </c>
    </row>
    <row r="29" spans="1:24" ht="30" customHeight="1">
      <c r="A29" s="207" t="s">
        <v>305</v>
      </c>
      <c r="B29" s="205" t="s">
        <v>306</v>
      </c>
      <c r="C29" s="25" t="s">
        <v>62</v>
      </c>
      <c r="D29" s="47" t="s">
        <v>307</v>
      </c>
      <c r="E29" s="192" t="s">
        <v>304</v>
      </c>
      <c r="F29" s="193"/>
      <c r="G29" s="193"/>
      <c r="H29" s="193"/>
      <c r="I29" s="193"/>
      <c r="J29" s="193"/>
      <c r="K29" s="193"/>
      <c r="L29" s="193"/>
      <c r="M29" s="194"/>
      <c r="N29" s="46"/>
      <c r="P29" s="2" t="s">
        <v>305</v>
      </c>
      <c r="Q29" s="52"/>
      <c r="R29" s="53"/>
      <c r="S29" s="52"/>
      <c r="T29" s="53"/>
      <c r="V29" s="52"/>
    </row>
    <row r="30" spans="1:24" ht="30" customHeight="1">
      <c r="A30" s="208"/>
      <c r="B30" s="206"/>
      <c r="C30" s="48" t="s">
        <v>63</v>
      </c>
      <c r="D30" s="47" t="s">
        <v>217</v>
      </c>
      <c r="E30" s="192" t="s">
        <v>396</v>
      </c>
      <c r="F30" s="193"/>
      <c r="G30" s="193"/>
      <c r="H30" s="193"/>
      <c r="I30" s="193"/>
      <c r="J30" s="193"/>
      <c r="K30" s="194"/>
      <c r="L30" s="198">
        <f>V30</f>
        <v>10270980</v>
      </c>
      <c r="M30" s="199"/>
      <c r="N30" s="56"/>
      <c r="O30" s="46"/>
      <c r="P30" s="58">
        <f>Q30+S30</f>
        <v>61873400</v>
      </c>
      <c r="Q30" s="56">
        <v>61873400</v>
      </c>
      <c r="R30" s="55">
        <f>Q30*0.166</f>
        <v>10270984.4</v>
      </c>
      <c r="S30" s="102"/>
      <c r="T30" s="55">
        <f>S30*0.05</f>
        <v>0</v>
      </c>
      <c r="U30" s="46">
        <f>R30+T30</f>
        <v>10270984.4</v>
      </c>
      <c r="V30" s="52">
        <v>10270980</v>
      </c>
      <c r="W30" s="46">
        <f>U30-V30</f>
        <v>4.400000000372529</v>
      </c>
    </row>
    <row r="31" spans="1:24" ht="30" customHeight="1">
      <c r="A31" s="207" t="s">
        <v>232</v>
      </c>
      <c r="B31" s="205" t="s">
        <v>223</v>
      </c>
      <c r="C31" s="25" t="s">
        <v>62</v>
      </c>
      <c r="D31" s="47" t="s">
        <v>351</v>
      </c>
      <c r="E31" s="192" t="s">
        <v>350</v>
      </c>
      <c r="F31" s="193"/>
      <c r="G31" s="193"/>
      <c r="H31" s="193"/>
      <c r="I31" s="193"/>
      <c r="J31" s="193"/>
      <c r="K31" s="193"/>
      <c r="L31" s="193"/>
      <c r="M31" s="194"/>
      <c r="N31" s="46"/>
      <c r="P31" s="2" t="s">
        <v>232</v>
      </c>
      <c r="Q31" s="52"/>
      <c r="R31" s="53"/>
      <c r="S31" s="52"/>
      <c r="T31" s="53"/>
      <c r="V31" s="52"/>
    </row>
    <row r="32" spans="1:24" ht="30" customHeight="1">
      <c r="A32" s="208"/>
      <c r="B32" s="206"/>
      <c r="C32" s="48" t="s">
        <v>63</v>
      </c>
      <c r="D32" s="47" t="s">
        <v>217</v>
      </c>
      <c r="E32" s="192" t="s">
        <v>397</v>
      </c>
      <c r="F32" s="193"/>
      <c r="G32" s="193"/>
      <c r="H32" s="193"/>
      <c r="I32" s="193"/>
      <c r="J32" s="193"/>
      <c r="K32" s="194"/>
      <c r="L32" s="198">
        <f>V32</f>
        <v>14104010</v>
      </c>
      <c r="M32" s="199"/>
      <c r="N32" s="56"/>
      <c r="O32" s="46"/>
      <c r="P32" s="58">
        <f>Q32+S32</f>
        <v>113884530</v>
      </c>
      <c r="Q32" s="102">
        <v>112130480</v>
      </c>
      <c r="R32" s="55">
        <f>Q32*0.125</f>
        <v>14016310</v>
      </c>
      <c r="S32" s="116">
        <v>1754050</v>
      </c>
      <c r="T32" s="55">
        <f>S32*0.05</f>
        <v>87702.5</v>
      </c>
      <c r="U32" s="46">
        <f>R32+T32</f>
        <v>14104012.5</v>
      </c>
      <c r="V32" s="52">
        <v>14104010</v>
      </c>
      <c r="W32" s="46">
        <f>U32-V32</f>
        <v>2.5</v>
      </c>
    </row>
    <row r="33" spans="1:24" ht="30" customHeight="1">
      <c r="A33" s="211" t="s">
        <v>282</v>
      </c>
      <c r="B33" s="205" t="s">
        <v>136</v>
      </c>
      <c r="C33" s="25" t="s">
        <v>62</v>
      </c>
      <c r="D33" s="47" t="s">
        <v>240</v>
      </c>
      <c r="E33" s="192" t="s">
        <v>280</v>
      </c>
      <c r="F33" s="193"/>
      <c r="G33" s="193"/>
      <c r="H33" s="193"/>
      <c r="I33" s="193"/>
      <c r="J33" s="193"/>
      <c r="K33" s="193"/>
      <c r="L33" s="193"/>
      <c r="M33" s="194"/>
      <c r="N33" s="46"/>
      <c r="O33" s="46"/>
      <c r="P33" s="2" t="s">
        <v>282</v>
      </c>
      <c r="Q33" s="54"/>
      <c r="R33" s="53"/>
      <c r="S33" s="54"/>
      <c r="T33" s="53"/>
      <c r="V33" s="52"/>
    </row>
    <row r="34" spans="1:24" ht="30" customHeight="1">
      <c r="A34" s="208"/>
      <c r="B34" s="206"/>
      <c r="C34" s="48" t="s">
        <v>63</v>
      </c>
      <c r="D34" s="47" t="s">
        <v>217</v>
      </c>
      <c r="E34" s="195" t="s">
        <v>398</v>
      </c>
      <c r="F34" s="196"/>
      <c r="G34" s="196"/>
      <c r="H34" s="196"/>
      <c r="I34" s="196"/>
      <c r="J34" s="196"/>
      <c r="K34" s="197"/>
      <c r="L34" s="198">
        <f>V34</f>
        <v>13890560</v>
      </c>
      <c r="M34" s="199"/>
      <c r="N34" s="56"/>
      <c r="P34" s="58">
        <f>Q34+S34</f>
        <v>92603710</v>
      </c>
      <c r="Q34" s="56">
        <v>92603710</v>
      </c>
      <c r="R34" s="55">
        <f>Q34*0.15</f>
        <v>13890556.5</v>
      </c>
      <c r="S34" s="54"/>
      <c r="T34" s="55">
        <f>S34*0.05</f>
        <v>0</v>
      </c>
      <c r="U34" s="46">
        <f>R34+T34</f>
        <v>13890556.5</v>
      </c>
      <c r="V34" s="52">
        <v>13890560</v>
      </c>
      <c r="W34" s="46">
        <f>U34-V34</f>
        <v>-3.5</v>
      </c>
    </row>
    <row r="35" spans="1:24" ht="30" customHeight="1">
      <c r="A35" s="211" t="s">
        <v>161</v>
      </c>
      <c r="B35" s="205" t="s">
        <v>318</v>
      </c>
      <c r="C35" s="25" t="s">
        <v>62</v>
      </c>
      <c r="D35" s="47" t="s">
        <v>326</v>
      </c>
      <c r="E35" s="192" t="s">
        <v>327</v>
      </c>
      <c r="F35" s="193"/>
      <c r="G35" s="193"/>
      <c r="H35" s="193"/>
      <c r="I35" s="193"/>
      <c r="J35" s="193"/>
      <c r="K35" s="193"/>
      <c r="L35" s="193"/>
      <c r="M35" s="194"/>
      <c r="N35" s="46"/>
      <c r="O35" s="46"/>
      <c r="P35" s="2" t="s">
        <v>161</v>
      </c>
      <c r="Q35" s="54"/>
      <c r="R35" s="53"/>
      <c r="S35" s="54"/>
      <c r="T35" s="53"/>
      <c r="V35" s="52"/>
    </row>
    <row r="36" spans="1:24" ht="30" customHeight="1">
      <c r="A36" s="208"/>
      <c r="B36" s="206"/>
      <c r="C36" s="48" t="s">
        <v>63</v>
      </c>
      <c r="D36" s="47" t="s">
        <v>217</v>
      </c>
      <c r="E36" s="195" t="s">
        <v>399</v>
      </c>
      <c r="F36" s="196"/>
      <c r="G36" s="196"/>
      <c r="H36" s="196"/>
      <c r="I36" s="196"/>
      <c r="J36" s="196"/>
      <c r="K36" s="197"/>
      <c r="L36" s="198">
        <f>V36</f>
        <v>18008650</v>
      </c>
      <c r="M36" s="199"/>
      <c r="N36" s="56"/>
      <c r="P36" s="58">
        <f>Q36+S36</f>
        <v>128665630</v>
      </c>
      <c r="Q36" s="56">
        <v>128615230</v>
      </c>
      <c r="R36" s="55">
        <f>Q36*0.14</f>
        <v>18006132.200000003</v>
      </c>
      <c r="S36" s="117">
        <v>50400</v>
      </c>
      <c r="T36" s="55">
        <f>S36*0.05</f>
        <v>2520</v>
      </c>
      <c r="U36" s="46">
        <f>R36+T36</f>
        <v>18008652.200000003</v>
      </c>
      <c r="V36" s="52">
        <v>18008650</v>
      </c>
      <c r="W36" s="46">
        <f>U36-V36</f>
        <v>2.2000000029802322</v>
      </c>
    </row>
    <row r="37" spans="1:24" ht="30" customHeight="1">
      <c r="A37" s="211" t="s">
        <v>278</v>
      </c>
      <c r="B37" s="205" t="s">
        <v>279</v>
      </c>
      <c r="C37" s="25" t="s">
        <v>62</v>
      </c>
      <c r="D37" s="47" t="s">
        <v>241</v>
      </c>
      <c r="E37" s="192" t="s">
        <v>280</v>
      </c>
      <c r="F37" s="193"/>
      <c r="G37" s="193"/>
      <c r="H37" s="193"/>
      <c r="I37" s="193"/>
      <c r="J37" s="193"/>
      <c r="K37" s="193"/>
      <c r="L37" s="193"/>
      <c r="M37" s="194"/>
      <c r="N37" s="46"/>
      <c r="O37" s="46"/>
      <c r="P37" s="2" t="s">
        <v>281</v>
      </c>
      <c r="Q37" s="54"/>
      <c r="R37" s="53"/>
      <c r="S37" s="110"/>
      <c r="T37" s="53"/>
      <c r="V37" s="52"/>
    </row>
    <row r="38" spans="1:24" ht="30" customHeight="1">
      <c r="A38" s="208"/>
      <c r="B38" s="206"/>
      <c r="C38" s="48" t="s">
        <v>63</v>
      </c>
      <c r="D38" s="47" t="s">
        <v>217</v>
      </c>
      <c r="E38" s="195" t="s">
        <v>400</v>
      </c>
      <c r="F38" s="196"/>
      <c r="G38" s="196"/>
      <c r="H38" s="196"/>
      <c r="I38" s="196"/>
      <c r="J38" s="196"/>
      <c r="K38" s="197"/>
      <c r="L38" s="198">
        <f>V38</f>
        <v>7042300</v>
      </c>
      <c r="M38" s="199"/>
      <c r="N38" s="56"/>
      <c r="P38" s="58">
        <f>Q38+S38</f>
        <v>56037950</v>
      </c>
      <c r="Q38" s="56">
        <v>53005000</v>
      </c>
      <c r="R38" s="55">
        <f>Q38*0.13</f>
        <v>6890650</v>
      </c>
      <c r="S38" s="118">
        <v>3032950</v>
      </c>
      <c r="T38" s="55">
        <f>S38*0.05</f>
        <v>151647.5</v>
      </c>
      <c r="U38" s="46">
        <f>R38+T38</f>
        <v>7042297.5</v>
      </c>
      <c r="V38" s="52">
        <v>7042300</v>
      </c>
      <c r="W38" s="46">
        <f>U38-V38</f>
        <v>-2.5</v>
      </c>
    </row>
    <row r="39" spans="1:24" ht="30" customHeight="1">
      <c r="A39" s="211" t="s">
        <v>233</v>
      </c>
      <c r="B39" s="205" t="s">
        <v>235</v>
      </c>
      <c r="C39" s="25" t="s">
        <v>62</v>
      </c>
      <c r="D39" s="47" t="s">
        <v>219</v>
      </c>
      <c r="E39" s="210" t="s">
        <v>243</v>
      </c>
      <c r="F39" s="210"/>
      <c r="G39" s="210"/>
      <c r="H39" s="210"/>
      <c r="I39" s="210"/>
      <c r="J39" s="210"/>
      <c r="K39" s="210"/>
      <c r="L39" s="210"/>
      <c r="M39" s="210"/>
      <c r="N39" s="46"/>
      <c r="O39" s="46"/>
      <c r="P39" s="2" t="s">
        <v>242</v>
      </c>
      <c r="Q39" s="54"/>
      <c r="R39" s="53"/>
      <c r="S39" s="54"/>
      <c r="T39" s="53"/>
      <c r="V39" s="52"/>
    </row>
    <row r="40" spans="1:24" ht="30" customHeight="1">
      <c r="A40" s="208"/>
      <c r="B40" s="206"/>
      <c r="C40" s="48" t="s">
        <v>63</v>
      </c>
      <c r="D40" s="47" t="s">
        <v>217</v>
      </c>
      <c r="E40" s="195" t="s">
        <v>401</v>
      </c>
      <c r="F40" s="196"/>
      <c r="G40" s="196"/>
      <c r="H40" s="196"/>
      <c r="I40" s="196"/>
      <c r="J40" s="196"/>
      <c r="K40" s="197"/>
      <c r="L40" s="198">
        <f>V40</f>
        <v>14729120</v>
      </c>
      <c r="M40" s="209"/>
      <c r="N40" s="56"/>
      <c r="P40" s="58">
        <f>Q40+S40</f>
        <v>90644770</v>
      </c>
      <c r="Q40" s="56">
        <v>88668520</v>
      </c>
      <c r="R40" s="55">
        <f>Q40*0.165</f>
        <v>14630305.800000001</v>
      </c>
      <c r="S40" s="119">
        <v>1976250</v>
      </c>
      <c r="T40" s="55">
        <f>S40*0.05</f>
        <v>98812.5</v>
      </c>
      <c r="U40" s="46">
        <f>R40+T40</f>
        <v>14729118.300000001</v>
      </c>
      <c r="V40" s="52">
        <v>14729120</v>
      </c>
      <c r="W40" s="46">
        <f>U40-V40</f>
        <v>-1.6999999992549419</v>
      </c>
    </row>
    <row r="41" spans="1:24" ht="30" customHeight="1">
      <c r="A41" s="207" t="s">
        <v>234</v>
      </c>
      <c r="B41" s="205" t="s">
        <v>236</v>
      </c>
      <c r="C41" s="25" t="s">
        <v>62</v>
      </c>
      <c r="D41" s="47" t="s">
        <v>220</v>
      </c>
      <c r="E41" s="210" t="s">
        <v>243</v>
      </c>
      <c r="F41" s="210"/>
      <c r="G41" s="210"/>
      <c r="H41" s="210"/>
      <c r="I41" s="210"/>
      <c r="J41" s="210"/>
      <c r="K41" s="210"/>
      <c r="L41" s="210"/>
      <c r="M41" s="210"/>
      <c r="N41" s="46"/>
      <c r="O41" s="46"/>
      <c r="P41" s="2" t="s">
        <v>234</v>
      </c>
      <c r="Q41" s="54"/>
      <c r="R41" s="53"/>
      <c r="S41" s="102"/>
      <c r="T41" s="53"/>
      <c r="V41" s="52"/>
    </row>
    <row r="42" spans="1:24" ht="30" customHeight="1">
      <c r="A42" s="208"/>
      <c r="B42" s="206"/>
      <c r="C42" s="48" t="s">
        <v>63</v>
      </c>
      <c r="D42" s="47" t="s">
        <v>217</v>
      </c>
      <c r="E42" s="195" t="s">
        <v>402</v>
      </c>
      <c r="F42" s="196"/>
      <c r="G42" s="196"/>
      <c r="H42" s="196"/>
      <c r="I42" s="196"/>
      <c r="J42" s="196"/>
      <c r="K42" s="197"/>
      <c r="L42" s="198">
        <f>V42</f>
        <v>14277280</v>
      </c>
      <c r="M42" s="209"/>
      <c r="N42" s="46"/>
      <c r="O42" s="26"/>
      <c r="P42" s="58">
        <f>Q42+S42</f>
        <v>113477660</v>
      </c>
      <c r="Q42" s="56">
        <v>93515210</v>
      </c>
      <c r="R42" s="55">
        <f>Q42*0.142</f>
        <v>13279159.819999998</v>
      </c>
      <c r="S42" s="120">
        <v>19962450</v>
      </c>
      <c r="T42" s="55">
        <f>S42*0.05</f>
        <v>998122.5</v>
      </c>
      <c r="U42" s="46">
        <f>R42+T42</f>
        <v>14277282.319999998</v>
      </c>
      <c r="V42" s="133">
        <v>14277280</v>
      </c>
      <c r="W42" s="46">
        <f>U42-V42</f>
        <v>2.3199999984353781</v>
      </c>
    </row>
    <row r="43" spans="1:24" ht="20.100000000000001" customHeight="1">
      <c r="A43" s="11" t="s">
        <v>52</v>
      </c>
      <c r="N43" s="51">
        <f>L42+L40+L32+L26+L24+L20+L18+L8+L6+L38+L34+L30+L14+L16+L36+L28+L10+L12+L22</f>
        <v>195186430</v>
      </c>
      <c r="O43" s="26"/>
      <c r="P43" s="26"/>
      <c r="Q43" s="26"/>
      <c r="S43" s="26"/>
      <c r="T43" s="26"/>
      <c r="U43" s="50">
        <f>SUM(U5:U42)</f>
        <v>195186421</v>
      </c>
      <c r="V43" s="50">
        <f>SUM(V5:V42)</f>
        <v>195186430</v>
      </c>
      <c r="W43" s="50">
        <f>SUM(W5:W42)</f>
        <v>-9.0000000009313226</v>
      </c>
      <c r="X43" s="46"/>
    </row>
    <row r="44" spans="1:24" ht="20.100000000000001" customHeight="1">
      <c r="A44" s="15" t="s">
        <v>53</v>
      </c>
      <c r="B44" s="15" t="s">
        <v>54</v>
      </c>
      <c r="C44" s="200" t="s">
        <v>55</v>
      </c>
      <c r="D44" s="201"/>
      <c r="E44" s="160" t="s">
        <v>56</v>
      </c>
      <c r="F44" s="160"/>
      <c r="G44" s="160"/>
      <c r="H44" s="160"/>
      <c r="I44" s="160"/>
      <c r="J44" s="160"/>
      <c r="K44" s="160"/>
      <c r="L44" s="160"/>
      <c r="M44" s="160"/>
      <c r="N44" s="51"/>
      <c r="P44" s="46"/>
      <c r="Q44" s="51"/>
    </row>
    <row r="45" spans="1:24" ht="30" customHeight="1">
      <c r="A45" s="128"/>
      <c r="B45" s="128"/>
      <c r="C45" s="147"/>
      <c r="D45" s="148"/>
      <c r="E45" s="149"/>
      <c r="F45" s="149"/>
      <c r="G45" s="149"/>
      <c r="H45" s="149"/>
      <c r="I45" s="149"/>
      <c r="J45" s="149"/>
      <c r="K45" s="149"/>
      <c r="L45" s="149"/>
      <c r="M45" s="149"/>
      <c r="N45" s="51"/>
      <c r="P45" s="51"/>
      <c r="Q45" s="46"/>
      <c r="R45" s="49"/>
      <c r="S45" s="46"/>
    </row>
    <row r="46" spans="1:24" ht="9.9499999999999993" customHeight="1"/>
    <row r="47" spans="1:24" ht="20.100000000000001" customHeight="1">
      <c r="A47" s="11" t="s">
        <v>51</v>
      </c>
    </row>
    <row r="48" spans="1:24" ht="20.100000000000001" customHeight="1">
      <c r="A48" s="15" t="s">
        <v>43</v>
      </c>
      <c r="B48" s="15" t="s">
        <v>48</v>
      </c>
      <c r="C48" s="200" t="s">
        <v>42</v>
      </c>
      <c r="D48" s="201"/>
      <c r="E48" s="160" t="s">
        <v>45</v>
      </c>
      <c r="F48" s="160"/>
      <c r="G48" s="160"/>
      <c r="H48" s="160"/>
      <c r="I48" s="160"/>
      <c r="J48" s="160"/>
      <c r="K48" s="160"/>
      <c r="L48" s="160"/>
      <c r="M48" s="160"/>
      <c r="N48" s="51"/>
    </row>
    <row r="49" spans="1:21" ht="30" customHeight="1">
      <c r="A49" s="24"/>
      <c r="B49" s="24"/>
      <c r="C49" s="147"/>
      <c r="D49" s="148"/>
      <c r="E49" s="202"/>
      <c r="F49" s="203"/>
      <c r="G49" s="203"/>
      <c r="H49" s="203"/>
      <c r="I49" s="203"/>
      <c r="J49" s="203"/>
      <c r="K49" s="203"/>
      <c r="L49" s="203"/>
      <c r="M49" s="204"/>
      <c r="U49" s="51"/>
    </row>
    <row r="50" spans="1:21" ht="9.9499999999999993" customHeight="1"/>
    <row r="51" spans="1:21" ht="20.100000000000001" customHeight="1">
      <c r="A51" s="11" t="s">
        <v>49</v>
      </c>
    </row>
    <row r="52" spans="1:21" ht="20.100000000000001" customHeight="1">
      <c r="A52" s="15" t="s">
        <v>43</v>
      </c>
      <c r="B52" s="15" t="s">
        <v>48</v>
      </c>
      <c r="C52" s="200" t="s">
        <v>42</v>
      </c>
      <c r="D52" s="201"/>
      <c r="E52" s="160" t="s">
        <v>45</v>
      </c>
      <c r="F52" s="160"/>
      <c r="G52" s="160"/>
      <c r="H52" s="160"/>
      <c r="I52" s="160"/>
      <c r="J52" s="160"/>
      <c r="K52" s="160"/>
      <c r="L52" s="160"/>
      <c r="M52" s="160"/>
    </row>
    <row r="53" spans="1:21" ht="30" customHeight="1">
      <c r="A53" s="24"/>
      <c r="B53" s="24"/>
      <c r="C53" s="147"/>
      <c r="D53" s="148"/>
      <c r="E53" s="149"/>
      <c r="F53" s="149"/>
      <c r="G53" s="149"/>
      <c r="H53" s="149"/>
      <c r="I53" s="149"/>
      <c r="J53" s="149"/>
      <c r="K53" s="149"/>
      <c r="L53" s="149"/>
      <c r="M53" s="149"/>
      <c r="S53" s="26"/>
    </row>
    <row r="54" spans="1:21" ht="9.9499999999999993" customHeight="1">
      <c r="D54" s="4"/>
    </row>
    <row r="55" spans="1:21" ht="20.100000000000001" customHeight="1">
      <c r="A55" s="11" t="s">
        <v>50</v>
      </c>
    </row>
    <row r="56" spans="1:21" ht="20.100000000000001" customHeight="1">
      <c r="A56" s="15" t="s">
        <v>43</v>
      </c>
      <c r="B56" s="15" t="s">
        <v>48</v>
      </c>
      <c r="C56" s="200" t="s">
        <v>42</v>
      </c>
      <c r="D56" s="201"/>
      <c r="E56" s="160" t="s">
        <v>45</v>
      </c>
      <c r="F56" s="160"/>
      <c r="G56" s="160"/>
      <c r="H56" s="160"/>
      <c r="I56" s="160"/>
      <c r="J56" s="160"/>
      <c r="K56" s="160"/>
      <c r="L56" s="160"/>
      <c r="M56" s="160"/>
    </row>
    <row r="57" spans="1:21" ht="30" customHeight="1">
      <c r="A57" s="137" t="s">
        <v>379</v>
      </c>
      <c r="B57" s="137" t="s">
        <v>380</v>
      </c>
      <c r="C57" s="147" t="s">
        <v>381</v>
      </c>
      <c r="D57" s="148"/>
      <c r="E57" s="202" t="s">
        <v>382</v>
      </c>
      <c r="F57" s="203"/>
      <c r="G57" s="203"/>
      <c r="H57" s="203"/>
      <c r="I57" s="203"/>
      <c r="J57" s="203"/>
      <c r="K57" s="203"/>
      <c r="L57" s="203"/>
      <c r="M57" s="204"/>
      <c r="N57" s="26"/>
      <c r="O57" s="26"/>
    </row>
    <row r="58" spans="1:21" ht="9.9499999999999993" customHeight="1">
      <c r="D58" s="4"/>
    </row>
    <row r="59" spans="1:21" ht="20.100000000000001" customHeight="1">
      <c r="A59" s="11" t="s">
        <v>58</v>
      </c>
    </row>
    <row r="60" spans="1:21" ht="19.5" customHeight="1">
      <c r="A60" s="15" t="s">
        <v>43</v>
      </c>
      <c r="B60" s="15" t="s">
        <v>48</v>
      </c>
      <c r="C60" s="200" t="s">
        <v>42</v>
      </c>
      <c r="D60" s="201"/>
      <c r="E60" s="160" t="s">
        <v>45</v>
      </c>
      <c r="F60" s="160"/>
      <c r="G60" s="160"/>
      <c r="H60" s="160"/>
      <c r="I60" s="160"/>
      <c r="J60" s="160"/>
      <c r="K60" s="160"/>
      <c r="L60" s="160"/>
      <c r="M60" s="160"/>
    </row>
    <row r="61" spans="1:21" ht="30" customHeight="1">
      <c r="A61" s="57"/>
      <c r="B61" s="24"/>
      <c r="C61" s="147"/>
      <c r="D61" s="148"/>
      <c r="E61" s="202"/>
      <c r="F61" s="203"/>
      <c r="G61" s="203"/>
      <c r="H61" s="203"/>
      <c r="I61" s="203"/>
      <c r="J61" s="203"/>
      <c r="K61" s="203"/>
      <c r="L61" s="203"/>
      <c r="M61" s="204"/>
    </row>
    <row r="62" spans="1:21" ht="9.9499999999999993" customHeight="1"/>
    <row r="63" spans="1:21" ht="9.9499999999999993" customHeight="1"/>
    <row r="64" spans="1:21" ht="13.5" customHeight="1">
      <c r="A64" s="9" t="s">
        <v>17</v>
      </c>
      <c r="B64" s="1" t="s">
        <v>383</v>
      </c>
      <c r="C64" s="5" t="s">
        <v>18</v>
      </c>
      <c r="D64" s="7" t="s">
        <v>38</v>
      </c>
      <c r="E64" s="214" t="s">
        <v>19</v>
      </c>
      <c r="F64" s="215"/>
      <c r="G64" s="214" t="s">
        <v>20</v>
      </c>
      <c r="H64" s="215"/>
      <c r="I64" s="9" t="s">
        <v>26</v>
      </c>
      <c r="J64" s="9" t="s">
        <v>15</v>
      </c>
      <c r="K64" s="9" t="s">
        <v>34</v>
      </c>
      <c r="L64" s="9" t="s">
        <v>31</v>
      </c>
      <c r="M64" s="9" t="s">
        <v>35</v>
      </c>
      <c r="N64" s="9" t="s">
        <v>42</v>
      </c>
    </row>
    <row r="65" spans="1:14" ht="14.1" hidden="1" customHeight="1">
      <c r="A65" s="212" t="s">
        <v>59</v>
      </c>
      <c r="B65" s="17"/>
      <c r="C65" s="18"/>
      <c r="D65" s="19"/>
      <c r="E65" s="218"/>
      <c r="F65" s="218"/>
      <c r="G65" s="219"/>
      <c r="H65" s="219"/>
      <c r="I65" s="9"/>
      <c r="J65" s="9"/>
      <c r="K65" s="20"/>
      <c r="L65" s="21"/>
      <c r="M65" s="22"/>
      <c r="N65" s="173" t="s">
        <v>60</v>
      </c>
    </row>
    <row r="66" spans="1:14" ht="14.1" hidden="1" customHeight="1">
      <c r="A66" s="213"/>
      <c r="B66" s="23"/>
      <c r="C66" s="18"/>
      <c r="D66" s="19"/>
      <c r="E66" s="218"/>
      <c r="F66" s="218"/>
      <c r="G66" s="219"/>
      <c r="H66" s="219"/>
      <c r="I66" s="9"/>
      <c r="J66" s="9"/>
      <c r="K66" s="20"/>
      <c r="L66" s="21"/>
      <c r="M66" s="22"/>
      <c r="N66" s="174"/>
    </row>
    <row r="67" spans="1:14" ht="15" hidden="1" customHeight="1">
      <c r="A67" s="248" t="s">
        <v>64</v>
      </c>
      <c r="B67" s="158"/>
      <c r="C67" s="256"/>
      <c r="D67" s="254"/>
      <c r="E67" s="188"/>
      <c r="F67" s="189"/>
      <c r="G67" s="188"/>
      <c r="H67" s="189"/>
      <c r="I67" s="153"/>
      <c r="J67" s="153"/>
      <c r="K67" s="40"/>
      <c r="L67" s="41"/>
      <c r="M67" s="42"/>
      <c r="N67" s="175"/>
    </row>
    <row r="68" spans="1:14" ht="15" hidden="1" customHeight="1">
      <c r="A68" s="249"/>
      <c r="B68" s="159"/>
      <c r="C68" s="257"/>
      <c r="D68" s="255"/>
      <c r="E68" s="190"/>
      <c r="F68" s="191"/>
      <c r="G68" s="190"/>
      <c r="H68" s="191"/>
      <c r="I68" s="154"/>
      <c r="J68" s="154"/>
      <c r="K68" s="40"/>
      <c r="L68" s="41"/>
      <c r="M68" s="42"/>
      <c r="N68" s="176"/>
    </row>
    <row r="69" spans="1:14" ht="15" hidden="1" customHeight="1">
      <c r="A69" s="225" t="s">
        <v>65</v>
      </c>
      <c r="B69" s="27"/>
      <c r="C69" s="28"/>
      <c r="D69" s="29"/>
      <c r="E69" s="150"/>
      <c r="F69" s="150"/>
      <c r="G69" s="157"/>
      <c r="H69" s="157"/>
      <c r="I69" s="30"/>
      <c r="J69" s="30"/>
      <c r="K69" s="31"/>
      <c r="L69" s="32"/>
      <c r="M69" s="33"/>
      <c r="N69" s="175" t="s">
        <v>61</v>
      </c>
    </row>
    <row r="70" spans="1:14" ht="15" hidden="1" customHeight="1">
      <c r="A70" s="226"/>
      <c r="B70" s="34"/>
      <c r="C70" s="28"/>
      <c r="D70" s="29"/>
      <c r="E70" s="150"/>
      <c r="F70" s="150"/>
      <c r="G70" s="157"/>
      <c r="H70" s="157"/>
      <c r="I70" s="30"/>
      <c r="J70" s="30"/>
      <c r="K70" s="31"/>
      <c r="L70" s="32"/>
      <c r="M70" s="33"/>
      <c r="N70" s="176"/>
    </row>
    <row r="71" spans="1:14" ht="15" hidden="1" customHeight="1">
      <c r="A71" s="248" t="s">
        <v>0</v>
      </c>
      <c r="B71" s="35"/>
      <c r="C71" s="36" t="s">
        <v>66</v>
      </c>
      <c r="D71" s="37">
        <v>2006.01</v>
      </c>
      <c r="E71" s="250" t="s">
        <v>30</v>
      </c>
      <c r="F71" s="251"/>
      <c r="G71" s="151" t="s">
        <v>67</v>
      </c>
      <c r="H71" s="152"/>
      <c r="I71" s="38" t="s">
        <v>68</v>
      </c>
      <c r="J71" s="39" t="s">
        <v>36</v>
      </c>
      <c r="K71" s="40"/>
      <c r="L71" s="41"/>
      <c r="M71" s="42"/>
      <c r="N71" s="43"/>
    </row>
    <row r="72" spans="1:14" ht="15" hidden="1" customHeight="1">
      <c r="A72" s="249"/>
      <c r="B72" s="44"/>
      <c r="C72" s="36" t="s">
        <v>69</v>
      </c>
      <c r="D72" s="37" t="s">
        <v>70</v>
      </c>
      <c r="E72" s="250" t="s">
        <v>71</v>
      </c>
      <c r="F72" s="251"/>
      <c r="G72" s="151" t="s">
        <v>72</v>
      </c>
      <c r="H72" s="152"/>
      <c r="I72" s="39" t="s">
        <v>73</v>
      </c>
      <c r="J72" s="39" t="s">
        <v>37</v>
      </c>
      <c r="K72" s="40"/>
      <c r="L72" s="41"/>
      <c r="M72" s="42"/>
      <c r="N72" s="43"/>
    </row>
    <row r="73" spans="1:14" ht="15" customHeight="1">
      <c r="A73" s="252" t="s">
        <v>1</v>
      </c>
      <c r="B73" s="122"/>
      <c r="C73" s="144" t="s">
        <v>74</v>
      </c>
      <c r="D73" s="123">
        <v>2007.06</v>
      </c>
      <c r="E73" s="222" t="s">
        <v>33</v>
      </c>
      <c r="F73" s="223"/>
      <c r="G73" s="155" t="s">
        <v>75</v>
      </c>
      <c r="H73" s="156"/>
      <c r="I73" s="135" t="s">
        <v>76</v>
      </c>
      <c r="J73" s="186" t="s">
        <v>36</v>
      </c>
      <c r="K73" s="125" t="s">
        <v>62</v>
      </c>
      <c r="L73" s="126">
        <v>0.13800000000000001</v>
      </c>
      <c r="M73" s="127"/>
      <c r="N73" s="180" t="s">
        <v>212</v>
      </c>
    </row>
    <row r="74" spans="1:14" ht="15" customHeight="1">
      <c r="A74" s="253"/>
      <c r="B74" s="122"/>
      <c r="C74" s="145"/>
      <c r="D74" s="123"/>
      <c r="E74" s="222"/>
      <c r="F74" s="223"/>
      <c r="G74" s="155"/>
      <c r="H74" s="156"/>
      <c r="I74" s="134"/>
      <c r="J74" s="187"/>
      <c r="K74" s="125" t="s">
        <v>63</v>
      </c>
      <c r="L74" s="126">
        <v>0.05</v>
      </c>
      <c r="M74" s="127"/>
      <c r="N74" s="181"/>
    </row>
    <row r="75" spans="1:14" ht="15" customHeight="1">
      <c r="A75" s="139" t="s">
        <v>2</v>
      </c>
      <c r="B75" s="62"/>
      <c r="C75" s="165" t="s">
        <v>77</v>
      </c>
      <c r="D75" s="64">
        <v>2005.09</v>
      </c>
      <c r="E75" s="146" t="s">
        <v>78</v>
      </c>
      <c r="F75" s="146"/>
      <c r="G75" s="179" t="s">
        <v>21</v>
      </c>
      <c r="H75" s="179"/>
      <c r="I75" s="65" t="s">
        <v>27</v>
      </c>
      <c r="J75" s="142" t="s">
        <v>36</v>
      </c>
      <c r="K75" s="66" t="s">
        <v>62</v>
      </c>
      <c r="L75" s="67">
        <v>0.15</v>
      </c>
      <c r="M75" s="68"/>
      <c r="N75" s="177" t="s">
        <v>212</v>
      </c>
    </row>
    <row r="76" spans="1:14" ht="15" customHeight="1">
      <c r="A76" s="139"/>
      <c r="B76" s="62"/>
      <c r="C76" s="166"/>
      <c r="D76" s="64"/>
      <c r="E76" s="146"/>
      <c r="F76" s="146"/>
      <c r="G76" s="179"/>
      <c r="H76" s="179"/>
      <c r="I76" s="69"/>
      <c r="J76" s="143"/>
      <c r="K76" s="66" t="s">
        <v>63</v>
      </c>
      <c r="L76" s="67">
        <v>0.05</v>
      </c>
      <c r="M76" s="68"/>
      <c r="N76" s="178"/>
    </row>
    <row r="77" spans="1:14" ht="20.100000000000001" customHeight="1">
      <c r="A77" s="224" t="s">
        <v>329</v>
      </c>
      <c r="B77" s="122"/>
      <c r="C77" s="144" t="s">
        <v>330</v>
      </c>
      <c r="D77" s="123" t="s">
        <v>345</v>
      </c>
      <c r="E77" s="216" t="s">
        <v>337</v>
      </c>
      <c r="F77" s="216"/>
      <c r="G77" s="217" t="s">
        <v>332</v>
      </c>
      <c r="H77" s="217"/>
      <c r="I77" s="124" t="s">
        <v>333</v>
      </c>
      <c r="J77" s="186" t="s">
        <v>36</v>
      </c>
      <c r="K77" s="125" t="s">
        <v>62</v>
      </c>
      <c r="L77" s="126">
        <v>0.18</v>
      </c>
      <c r="M77" s="127"/>
      <c r="N77" s="180" t="s">
        <v>212</v>
      </c>
    </row>
    <row r="78" spans="1:14" ht="20.100000000000001" customHeight="1">
      <c r="A78" s="224"/>
      <c r="B78" s="122"/>
      <c r="C78" s="145"/>
      <c r="D78" s="123"/>
      <c r="E78" s="216"/>
      <c r="F78" s="216"/>
      <c r="G78" s="217"/>
      <c r="H78" s="217"/>
      <c r="I78" s="124"/>
      <c r="J78" s="187"/>
      <c r="K78" s="125" t="s">
        <v>63</v>
      </c>
      <c r="L78" s="126">
        <v>0.05</v>
      </c>
      <c r="M78" s="127"/>
      <c r="N78" s="181"/>
    </row>
    <row r="79" spans="1:14" ht="20.100000000000001" customHeight="1">
      <c r="A79" s="224" t="s">
        <v>79</v>
      </c>
      <c r="B79" s="122"/>
      <c r="C79" s="144" t="s">
        <v>331</v>
      </c>
      <c r="D79" s="123" t="s">
        <v>345</v>
      </c>
      <c r="E79" s="216" t="s">
        <v>334</v>
      </c>
      <c r="F79" s="216"/>
      <c r="G79" s="217" t="s">
        <v>335</v>
      </c>
      <c r="H79" s="217"/>
      <c r="I79" s="124" t="s">
        <v>336</v>
      </c>
      <c r="J79" s="186" t="s">
        <v>36</v>
      </c>
      <c r="K79" s="125" t="s">
        <v>62</v>
      </c>
      <c r="L79" s="126">
        <v>0.19</v>
      </c>
      <c r="M79" s="127"/>
      <c r="N79" s="180" t="s">
        <v>212</v>
      </c>
    </row>
    <row r="80" spans="1:14" ht="20.100000000000001" customHeight="1">
      <c r="A80" s="224"/>
      <c r="B80" s="122"/>
      <c r="C80" s="145"/>
      <c r="D80" s="123"/>
      <c r="E80" s="216"/>
      <c r="F80" s="216"/>
      <c r="G80" s="217"/>
      <c r="H80" s="217"/>
      <c r="I80" s="124"/>
      <c r="J80" s="187"/>
      <c r="K80" s="125" t="s">
        <v>63</v>
      </c>
      <c r="L80" s="126">
        <v>0.05</v>
      </c>
      <c r="M80" s="127"/>
      <c r="N80" s="181"/>
    </row>
    <row r="81" spans="1:14" ht="15" customHeight="1">
      <c r="A81" s="139" t="s">
        <v>3</v>
      </c>
      <c r="B81" s="62"/>
      <c r="C81" s="227" t="s">
        <v>303</v>
      </c>
      <c r="D81" s="71" t="s">
        <v>137</v>
      </c>
      <c r="E81" s="184" t="s">
        <v>310</v>
      </c>
      <c r="F81" s="185"/>
      <c r="G81" s="266" t="s">
        <v>311</v>
      </c>
      <c r="H81" s="267"/>
      <c r="I81" s="72" t="s">
        <v>312</v>
      </c>
      <c r="J81" s="72" t="s">
        <v>36</v>
      </c>
      <c r="K81" s="66" t="s">
        <v>62</v>
      </c>
      <c r="L81" s="67">
        <v>0.13</v>
      </c>
      <c r="M81" s="68"/>
      <c r="N81" s="177" t="s">
        <v>212</v>
      </c>
    </row>
    <row r="82" spans="1:14" ht="15" customHeight="1">
      <c r="A82" s="139"/>
      <c r="B82" s="62"/>
      <c r="C82" s="228"/>
      <c r="D82" s="64"/>
      <c r="E82" s="146"/>
      <c r="F82" s="146"/>
      <c r="G82" s="179"/>
      <c r="H82" s="179"/>
      <c r="I82" s="69"/>
      <c r="J82" s="69"/>
      <c r="K82" s="66" t="s">
        <v>63</v>
      </c>
      <c r="L82" s="67">
        <v>0.05</v>
      </c>
      <c r="M82" s="68"/>
      <c r="N82" s="178"/>
    </row>
    <row r="83" spans="1:14" ht="20.100000000000001" hidden="1" customHeight="1">
      <c r="A83" s="139" t="s">
        <v>32</v>
      </c>
      <c r="B83" s="62"/>
      <c r="C83" s="63"/>
      <c r="D83" s="73"/>
      <c r="E83" s="182"/>
      <c r="F83" s="183"/>
      <c r="G83" s="220"/>
      <c r="H83" s="221"/>
      <c r="I83" s="65"/>
      <c r="J83" s="69"/>
      <c r="K83" s="66"/>
      <c r="L83" s="67"/>
      <c r="M83" s="68"/>
      <c r="N83" s="177" t="s">
        <v>61</v>
      </c>
    </row>
    <row r="84" spans="1:14" ht="20.100000000000001" hidden="1" customHeight="1">
      <c r="A84" s="139"/>
      <c r="B84" s="62"/>
      <c r="C84" s="74"/>
      <c r="D84" s="73"/>
      <c r="E84" s="182"/>
      <c r="F84" s="183"/>
      <c r="G84" s="220"/>
      <c r="H84" s="221"/>
      <c r="I84" s="69"/>
      <c r="J84" s="69"/>
      <c r="K84" s="66"/>
      <c r="L84" s="67"/>
      <c r="M84" s="68"/>
      <c r="N84" s="178"/>
    </row>
    <row r="85" spans="1:14" ht="20.100000000000001" hidden="1" customHeight="1">
      <c r="A85" s="139" t="s">
        <v>4</v>
      </c>
      <c r="B85" s="62"/>
      <c r="C85" s="63"/>
      <c r="D85" s="64"/>
      <c r="E85" s="146"/>
      <c r="F85" s="146"/>
      <c r="G85" s="179"/>
      <c r="H85" s="179"/>
      <c r="I85" s="69"/>
      <c r="J85" s="69"/>
      <c r="K85" s="66"/>
      <c r="L85" s="67"/>
      <c r="M85" s="68"/>
      <c r="N85" s="177" t="s">
        <v>61</v>
      </c>
    </row>
    <row r="86" spans="1:14" ht="20.100000000000001" hidden="1" customHeight="1">
      <c r="A86" s="139"/>
      <c r="B86" s="75"/>
      <c r="C86" s="63"/>
      <c r="D86" s="64"/>
      <c r="E86" s="146"/>
      <c r="F86" s="146"/>
      <c r="G86" s="179"/>
      <c r="H86" s="179"/>
      <c r="I86" s="69"/>
      <c r="J86" s="69"/>
      <c r="K86" s="66"/>
      <c r="L86" s="67"/>
      <c r="M86" s="68"/>
      <c r="N86" s="178"/>
    </row>
    <row r="87" spans="1:14" ht="20.100000000000001" customHeight="1">
      <c r="A87" s="161" t="s">
        <v>80</v>
      </c>
      <c r="B87" s="70"/>
      <c r="C87" s="165" t="s">
        <v>284</v>
      </c>
      <c r="D87" s="64" t="s">
        <v>291</v>
      </c>
      <c r="E87" s="146" t="s">
        <v>299</v>
      </c>
      <c r="F87" s="146"/>
      <c r="G87" s="179" t="s">
        <v>297</v>
      </c>
      <c r="H87" s="179"/>
      <c r="I87" s="69" t="s">
        <v>298</v>
      </c>
      <c r="J87" s="142" t="s">
        <v>36</v>
      </c>
      <c r="K87" s="66" t="s">
        <v>62</v>
      </c>
      <c r="L87" s="67">
        <v>0.17</v>
      </c>
      <c r="M87" s="68"/>
      <c r="N87" s="177" t="s">
        <v>212</v>
      </c>
    </row>
    <row r="88" spans="1:14" ht="20.100000000000001" customHeight="1">
      <c r="A88" s="162"/>
      <c r="B88" s="62"/>
      <c r="C88" s="166"/>
      <c r="D88" s="77"/>
      <c r="E88" s="146"/>
      <c r="F88" s="146"/>
      <c r="G88" s="179"/>
      <c r="H88" s="179"/>
      <c r="I88" s="69"/>
      <c r="J88" s="143"/>
      <c r="K88" s="66" t="s">
        <v>63</v>
      </c>
      <c r="L88" s="67">
        <v>0.05</v>
      </c>
      <c r="M88" s="68"/>
      <c r="N88" s="178"/>
    </row>
    <row r="89" spans="1:14" ht="15" customHeight="1">
      <c r="A89" s="139" t="s">
        <v>81</v>
      </c>
      <c r="B89" s="70"/>
      <c r="C89" s="165" t="s">
        <v>294</v>
      </c>
      <c r="D89" s="64" t="s">
        <v>291</v>
      </c>
      <c r="E89" s="146" t="s">
        <v>295</v>
      </c>
      <c r="F89" s="146"/>
      <c r="G89" s="179" t="s">
        <v>300</v>
      </c>
      <c r="H89" s="179"/>
      <c r="I89" s="69" t="s">
        <v>296</v>
      </c>
      <c r="J89" s="142" t="s">
        <v>36</v>
      </c>
      <c r="K89" s="66" t="s">
        <v>62</v>
      </c>
      <c r="L89" s="67">
        <v>0.14499999999999999</v>
      </c>
      <c r="M89" s="68"/>
      <c r="N89" s="177" t="s">
        <v>212</v>
      </c>
    </row>
    <row r="90" spans="1:14" ht="15" customHeight="1">
      <c r="A90" s="139"/>
      <c r="B90" s="70"/>
      <c r="C90" s="166"/>
      <c r="D90" s="77"/>
      <c r="E90" s="146"/>
      <c r="F90" s="146"/>
      <c r="G90" s="179"/>
      <c r="H90" s="179"/>
      <c r="I90" s="69"/>
      <c r="J90" s="143"/>
      <c r="K90" s="66" t="s">
        <v>63</v>
      </c>
      <c r="L90" s="67">
        <v>0.05</v>
      </c>
      <c r="M90" s="68"/>
      <c r="N90" s="178"/>
    </row>
    <row r="91" spans="1:14" ht="20.100000000000001" hidden="1" customHeight="1">
      <c r="A91" s="161" t="s">
        <v>82</v>
      </c>
      <c r="B91" s="62"/>
      <c r="C91" s="63"/>
      <c r="D91" s="64"/>
      <c r="E91" s="182"/>
      <c r="F91" s="183"/>
      <c r="G91" s="220"/>
      <c r="H91" s="221"/>
      <c r="I91" s="69"/>
      <c r="J91" s="69"/>
      <c r="K91" s="66"/>
      <c r="L91" s="67"/>
      <c r="M91" s="68"/>
      <c r="N91" s="78"/>
    </row>
    <row r="92" spans="1:14" ht="20.100000000000001" hidden="1" customHeight="1">
      <c r="A92" s="162"/>
      <c r="B92" s="62"/>
      <c r="C92" s="63"/>
      <c r="D92" s="64"/>
      <c r="E92" s="182"/>
      <c r="F92" s="183"/>
      <c r="G92" s="220"/>
      <c r="H92" s="221"/>
      <c r="I92" s="69"/>
      <c r="J92" s="69"/>
      <c r="K92" s="66"/>
      <c r="L92" s="67"/>
      <c r="M92" s="68"/>
      <c r="N92" s="78"/>
    </row>
    <row r="93" spans="1:14" ht="15" customHeight="1">
      <c r="A93" s="161" t="s">
        <v>5</v>
      </c>
      <c r="B93" s="62"/>
      <c r="C93" s="165" t="s">
        <v>83</v>
      </c>
      <c r="D93" s="64">
        <v>2002.09</v>
      </c>
      <c r="E93" s="182" t="s">
        <v>84</v>
      </c>
      <c r="F93" s="183"/>
      <c r="G93" s="220" t="s">
        <v>85</v>
      </c>
      <c r="H93" s="221"/>
      <c r="I93" s="65" t="s">
        <v>86</v>
      </c>
      <c r="J93" s="142" t="s">
        <v>36</v>
      </c>
      <c r="K93" s="66" t="s">
        <v>62</v>
      </c>
      <c r="L93" s="67">
        <v>0.15</v>
      </c>
      <c r="M93" s="68"/>
      <c r="N93" s="177" t="s">
        <v>212</v>
      </c>
    </row>
    <row r="94" spans="1:14" ht="15" customHeight="1">
      <c r="A94" s="162"/>
      <c r="B94" s="62"/>
      <c r="C94" s="166"/>
      <c r="D94" s="64"/>
      <c r="E94" s="182"/>
      <c r="F94" s="183"/>
      <c r="G94" s="220"/>
      <c r="H94" s="221"/>
      <c r="I94" s="69"/>
      <c r="J94" s="143"/>
      <c r="K94" s="66" t="s">
        <v>63</v>
      </c>
      <c r="L94" s="67">
        <v>0.05</v>
      </c>
      <c r="M94" s="68"/>
      <c r="N94" s="178"/>
    </row>
    <row r="95" spans="1:14" ht="20.100000000000001" hidden="1" customHeight="1">
      <c r="A95" s="139" t="s">
        <v>16</v>
      </c>
      <c r="B95" s="62"/>
      <c r="C95" s="63" t="s">
        <v>87</v>
      </c>
      <c r="D95" s="64" t="s">
        <v>88</v>
      </c>
      <c r="E95" s="146" t="s">
        <v>89</v>
      </c>
      <c r="F95" s="146"/>
      <c r="G95" s="179" t="s">
        <v>90</v>
      </c>
      <c r="H95" s="179"/>
      <c r="I95" s="69" t="s">
        <v>91</v>
      </c>
      <c r="J95" s="69" t="s">
        <v>36</v>
      </c>
      <c r="K95" s="66"/>
      <c r="L95" s="67"/>
      <c r="M95" s="68"/>
      <c r="N95" s="78"/>
    </row>
    <row r="96" spans="1:14" ht="20.100000000000001" hidden="1" customHeight="1">
      <c r="A96" s="139"/>
      <c r="B96" s="70"/>
      <c r="C96" s="63"/>
      <c r="D96" s="64"/>
      <c r="E96" s="182"/>
      <c r="F96" s="183"/>
      <c r="G96" s="220"/>
      <c r="H96" s="221"/>
      <c r="I96" s="69"/>
      <c r="J96" s="69"/>
      <c r="K96" s="66"/>
      <c r="L96" s="67"/>
      <c r="M96" s="68"/>
      <c r="N96" s="78"/>
    </row>
    <row r="97" spans="1:14" ht="20.100000000000001" hidden="1" customHeight="1">
      <c r="A97" s="161" t="s">
        <v>92</v>
      </c>
      <c r="B97" s="62"/>
      <c r="C97" s="63"/>
      <c r="D97" s="64"/>
      <c r="E97" s="182"/>
      <c r="F97" s="183"/>
      <c r="G97" s="220"/>
      <c r="H97" s="221"/>
      <c r="I97" s="69"/>
      <c r="J97" s="69"/>
      <c r="K97" s="66"/>
      <c r="L97" s="67"/>
      <c r="M97" s="68"/>
      <c r="N97" s="78"/>
    </row>
    <row r="98" spans="1:14" ht="20.100000000000001" hidden="1" customHeight="1">
      <c r="A98" s="162"/>
      <c r="B98" s="62"/>
      <c r="C98" s="63"/>
      <c r="D98" s="64"/>
      <c r="E98" s="182"/>
      <c r="F98" s="183"/>
      <c r="G98" s="220"/>
      <c r="H98" s="221"/>
      <c r="I98" s="69"/>
      <c r="J98" s="69"/>
      <c r="K98" s="66"/>
      <c r="L98" s="67"/>
      <c r="M98" s="68"/>
      <c r="N98" s="78"/>
    </row>
    <row r="99" spans="1:14" ht="20.100000000000001" customHeight="1">
      <c r="A99" s="224" t="s">
        <v>93</v>
      </c>
      <c r="B99" s="122"/>
      <c r="C99" s="131" t="s">
        <v>94</v>
      </c>
      <c r="D99" s="123" t="s">
        <v>346</v>
      </c>
      <c r="E99" s="216" t="s">
        <v>95</v>
      </c>
      <c r="F99" s="216"/>
      <c r="G99" s="217" t="s">
        <v>96</v>
      </c>
      <c r="H99" s="217"/>
      <c r="I99" s="130" t="s">
        <v>97</v>
      </c>
      <c r="J99" s="130" t="s">
        <v>36</v>
      </c>
      <c r="K99" s="125" t="s">
        <v>62</v>
      </c>
      <c r="L99" s="126">
        <v>0.21</v>
      </c>
      <c r="M99" s="127"/>
      <c r="N99" s="180" t="s">
        <v>212</v>
      </c>
    </row>
    <row r="100" spans="1:14" ht="20.100000000000001" customHeight="1">
      <c r="A100" s="224"/>
      <c r="B100" s="129"/>
      <c r="C100" s="132"/>
      <c r="D100" s="123"/>
      <c r="E100" s="216"/>
      <c r="F100" s="216"/>
      <c r="G100" s="217"/>
      <c r="H100" s="217"/>
      <c r="I100" s="130"/>
      <c r="J100" s="130"/>
      <c r="K100" s="125" t="s">
        <v>63</v>
      </c>
      <c r="L100" s="126">
        <v>0.05</v>
      </c>
      <c r="M100" s="127"/>
      <c r="N100" s="181"/>
    </row>
    <row r="101" spans="1:14" ht="20.100000000000001" hidden="1" customHeight="1">
      <c r="A101" s="139" t="s">
        <v>98</v>
      </c>
      <c r="B101" s="62"/>
      <c r="C101" s="63"/>
      <c r="D101" s="64"/>
      <c r="E101" s="146"/>
      <c r="F101" s="146"/>
      <c r="G101" s="179"/>
      <c r="H101" s="179"/>
      <c r="I101" s="69"/>
      <c r="J101" s="69"/>
      <c r="K101" s="66"/>
      <c r="L101" s="67"/>
      <c r="M101" s="68"/>
      <c r="N101" s="177" t="s">
        <v>61</v>
      </c>
    </row>
    <row r="102" spans="1:14" ht="20.100000000000001" hidden="1" customHeight="1">
      <c r="A102" s="139"/>
      <c r="B102" s="70"/>
      <c r="C102" s="76"/>
      <c r="D102" s="64"/>
      <c r="E102" s="146"/>
      <c r="F102" s="146"/>
      <c r="G102" s="179"/>
      <c r="H102" s="179"/>
      <c r="I102" s="69"/>
      <c r="J102" s="69"/>
      <c r="K102" s="66"/>
      <c r="L102" s="67"/>
      <c r="M102" s="68"/>
      <c r="N102" s="178"/>
    </row>
    <row r="103" spans="1:14" ht="20.100000000000001" hidden="1" customHeight="1">
      <c r="A103" s="139" t="s">
        <v>99</v>
      </c>
      <c r="B103" s="62"/>
      <c r="C103" s="63" t="s">
        <v>100</v>
      </c>
      <c r="D103" s="64" t="s">
        <v>101</v>
      </c>
      <c r="E103" s="146" t="s">
        <v>102</v>
      </c>
      <c r="F103" s="146"/>
      <c r="G103" s="179" t="s">
        <v>103</v>
      </c>
      <c r="H103" s="179"/>
      <c r="I103" s="69" t="s">
        <v>104</v>
      </c>
      <c r="J103" s="69" t="s">
        <v>36</v>
      </c>
      <c r="K103" s="66"/>
      <c r="L103" s="67">
        <v>0.185</v>
      </c>
      <c r="M103" s="68"/>
      <c r="N103" s="78"/>
    </row>
    <row r="104" spans="1:14" ht="20.100000000000001" hidden="1" customHeight="1">
      <c r="A104" s="139"/>
      <c r="B104" s="70"/>
      <c r="C104" s="76"/>
      <c r="D104" s="64"/>
      <c r="E104" s="146"/>
      <c r="F104" s="146"/>
      <c r="G104" s="179"/>
      <c r="H104" s="179"/>
      <c r="I104" s="69"/>
      <c r="J104" s="69"/>
      <c r="K104" s="66"/>
      <c r="L104" s="67"/>
      <c r="M104" s="68"/>
      <c r="N104" s="78"/>
    </row>
    <row r="105" spans="1:14" ht="20.100000000000001" hidden="1" customHeight="1">
      <c r="A105" s="139" t="s">
        <v>105</v>
      </c>
      <c r="B105" s="62"/>
      <c r="C105" s="63" t="s">
        <v>106</v>
      </c>
      <c r="D105" s="64">
        <v>2001.06</v>
      </c>
      <c r="E105" s="146" t="s">
        <v>107</v>
      </c>
      <c r="F105" s="146"/>
      <c r="G105" s="179" t="s">
        <v>24</v>
      </c>
      <c r="H105" s="179"/>
      <c r="I105" s="65" t="s">
        <v>108</v>
      </c>
      <c r="J105" s="69" t="s">
        <v>36</v>
      </c>
      <c r="K105" s="66"/>
      <c r="L105" s="67"/>
      <c r="M105" s="68"/>
      <c r="N105" s="78"/>
    </row>
    <row r="106" spans="1:14" ht="20.100000000000001" hidden="1" customHeight="1">
      <c r="A106" s="139"/>
      <c r="B106" s="62"/>
      <c r="C106" s="63" t="s">
        <v>109</v>
      </c>
      <c r="D106" s="64" t="s">
        <v>110</v>
      </c>
      <c r="E106" s="146" t="s">
        <v>111</v>
      </c>
      <c r="F106" s="146"/>
      <c r="G106" s="179" t="s">
        <v>112</v>
      </c>
      <c r="H106" s="179"/>
      <c r="I106" s="69" t="s">
        <v>113</v>
      </c>
      <c r="J106" s="69" t="s">
        <v>37</v>
      </c>
      <c r="K106" s="66"/>
      <c r="L106" s="67"/>
      <c r="M106" s="68"/>
      <c r="N106" s="78"/>
    </row>
    <row r="107" spans="1:14" ht="20.100000000000001" hidden="1" customHeight="1">
      <c r="A107" s="139" t="s">
        <v>114</v>
      </c>
      <c r="B107" s="62"/>
      <c r="C107" s="63"/>
      <c r="D107" s="64"/>
      <c r="E107" s="146"/>
      <c r="F107" s="146"/>
      <c r="G107" s="179"/>
      <c r="H107" s="179"/>
      <c r="I107" s="65"/>
      <c r="J107" s="69"/>
      <c r="K107" s="66"/>
      <c r="L107" s="67"/>
      <c r="M107" s="68"/>
      <c r="N107" s="78"/>
    </row>
    <row r="108" spans="1:14" ht="20.100000000000001" hidden="1" customHeight="1">
      <c r="A108" s="139"/>
      <c r="B108" s="62"/>
      <c r="C108" s="63"/>
      <c r="D108" s="64"/>
      <c r="E108" s="146"/>
      <c r="F108" s="146"/>
      <c r="G108" s="179"/>
      <c r="H108" s="179"/>
      <c r="I108" s="69"/>
      <c r="J108" s="69"/>
      <c r="K108" s="66"/>
      <c r="L108" s="67"/>
      <c r="M108" s="68"/>
      <c r="N108" s="78"/>
    </row>
    <row r="109" spans="1:14" ht="20.100000000000001" hidden="1" customHeight="1">
      <c r="A109" s="139" t="s">
        <v>115</v>
      </c>
      <c r="B109" s="62"/>
      <c r="C109" s="63"/>
      <c r="D109" s="64"/>
      <c r="E109" s="146"/>
      <c r="F109" s="146"/>
      <c r="G109" s="179"/>
      <c r="H109" s="179"/>
      <c r="I109" s="65"/>
      <c r="J109" s="69"/>
      <c r="K109" s="66"/>
      <c r="L109" s="67"/>
      <c r="M109" s="68"/>
      <c r="N109" s="78"/>
    </row>
    <row r="110" spans="1:14" ht="20.100000000000001" hidden="1" customHeight="1">
      <c r="A110" s="139"/>
      <c r="B110" s="62"/>
      <c r="C110" s="63"/>
      <c r="D110" s="64"/>
      <c r="E110" s="146"/>
      <c r="F110" s="146"/>
      <c r="G110" s="179"/>
      <c r="H110" s="179"/>
      <c r="I110" s="69"/>
      <c r="J110" s="69"/>
      <c r="K110" s="66"/>
      <c r="L110" s="67"/>
      <c r="M110" s="68"/>
      <c r="N110" s="78"/>
    </row>
    <row r="111" spans="1:14" ht="20.100000000000001" hidden="1" customHeight="1">
      <c r="A111" s="161" t="s">
        <v>254</v>
      </c>
      <c r="B111" s="62" t="s">
        <v>261</v>
      </c>
      <c r="C111" s="63" t="s">
        <v>255</v>
      </c>
      <c r="D111" s="64" t="s">
        <v>256</v>
      </c>
      <c r="E111" s="258" t="s">
        <v>259</v>
      </c>
      <c r="F111" s="259"/>
      <c r="G111" s="220" t="s">
        <v>257</v>
      </c>
      <c r="H111" s="221"/>
      <c r="I111" s="69" t="s">
        <v>258</v>
      </c>
      <c r="J111" s="142" t="s">
        <v>36</v>
      </c>
      <c r="K111" s="66" t="s">
        <v>62</v>
      </c>
      <c r="L111" s="67">
        <v>0.14199999999999999</v>
      </c>
      <c r="M111" s="68"/>
      <c r="N111" s="268" t="s">
        <v>262</v>
      </c>
    </row>
    <row r="112" spans="1:14" ht="20.100000000000001" hidden="1" customHeight="1">
      <c r="A112" s="162"/>
      <c r="B112" s="62"/>
      <c r="C112" s="76"/>
      <c r="D112" s="64"/>
      <c r="E112" s="260"/>
      <c r="F112" s="261"/>
      <c r="G112" s="220"/>
      <c r="H112" s="221"/>
      <c r="I112" s="69"/>
      <c r="J112" s="143"/>
      <c r="K112" s="66" t="s">
        <v>63</v>
      </c>
      <c r="L112" s="67">
        <v>0.05</v>
      </c>
      <c r="M112" s="68"/>
      <c r="N112" s="178"/>
    </row>
    <row r="113" spans="1:16" ht="15" customHeight="1">
      <c r="A113" s="220" t="s">
        <v>116</v>
      </c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21"/>
    </row>
    <row r="114" spans="1:16" ht="20.100000000000001" hidden="1" customHeight="1">
      <c r="A114" s="139" t="s">
        <v>6</v>
      </c>
      <c r="B114" s="62"/>
      <c r="C114" s="63"/>
      <c r="D114" s="64"/>
      <c r="E114" s="146"/>
      <c r="F114" s="146"/>
      <c r="G114" s="179"/>
      <c r="H114" s="179"/>
      <c r="I114" s="65"/>
      <c r="J114" s="69"/>
      <c r="K114" s="66"/>
      <c r="L114" s="67"/>
      <c r="M114" s="68"/>
      <c r="N114" s="78"/>
    </row>
    <row r="115" spans="1:16" ht="20.100000000000001" hidden="1" customHeight="1">
      <c r="A115" s="139"/>
      <c r="B115" s="62"/>
      <c r="C115" s="76"/>
      <c r="D115" s="77"/>
      <c r="E115" s="146"/>
      <c r="F115" s="146"/>
      <c r="G115" s="179"/>
      <c r="H115" s="179"/>
      <c r="I115" s="69"/>
      <c r="J115" s="69"/>
      <c r="K115" s="66"/>
      <c r="L115" s="67"/>
      <c r="M115" s="79"/>
      <c r="N115" s="78"/>
    </row>
    <row r="116" spans="1:16" ht="15" customHeight="1">
      <c r="A116" s="139" t="s">
        <v>117</v>
      </c>
      <c r="B116" s="163"/>
      <c r="C116" s="165" t="s">
        <v>249</v>
      </c>
      <c r="D116" s="167" t="s">
        <v>250</v>
      </c>
      <c r="E116" s="169" t="s">
        <v>251</v>
      </c>
      <c r="F116" s="170"/>
      <c r="G116" s="169" t="s">
        <v>252</v>
      </c>
      <c r="H116" s="170"/>
      <c r="I116" s="142" t="s">
        <v>253</v>
      </c>
      <c r="J116" s="142" t="s">
        <v>36</v>
      </c>
      <c r="K116" s="66" t="s">
        <v>213</v>
      </c>
      <c r="L116" s="80">
        <v>0.14000000000000001</v>
      </c>
      <c r="M116" s="68"/>
      <c r="N116" s="177" t="s">
        <v>212</v>
      </c>
    </row>
    <row r="117" spans="1:16" ht="15" customHeight="1">
      <c r="A117" s="139"/>
      <c r="B117" s="164"/>
      <c r="C117" s="166"/>
      <c r="D117" s="168"/>
      <c r="E117" s="171"/>
      <c r="F117" s="172"/>
      <c r="G117" s="171"/>
      <c r="H117" s="172"/>
      <c r="I117" s="143"/>
      <c r="J117" s="143"/>
      <c r="K117" s="66" t="s">
        <v>214</v>
      </c>
      <c r="L117" s="67">
        <v>0.05</v>
      </c>
      <c r="M117" s="68"/>
      <c r="N117" s="178"/>
    </row>
    <row r="118" spans="1:16" ht="20.100000000000001" hidden="1" customHeight="1">
      <c r="A118" s="139" t="s">
        <v>7</v>
      </c>
      <c r="B118" s="62"/>
      <c r="C118" s="63"/>
      <c r="D118" s="64"/>
      <c r="E118" s="146"/>
      <c r="F118" s="146"/>
      <c r="G118" s="179"/>
      <c r="H118" s="179"/>
      <c r="I118" s="65"/>
      <c r="J118" s="69"/>
      <c r="K118" s="66"/>
      <c r="L118" s="67"/>
      <c r="M118" s="68"/>
      <c r="N118" s="177" t="s">
        <v>61</v>
      </c>
    </row>
    <row r="119" spans="1:16" ht="20.100000000000001" hidden="1" customHeight="1">
      <c r="A119" s="139"/>
      <c r="B119" s="70"/>
      <c r="C119" s="76"/>
      <c r="D119" s="77"/>
      <c r="E119" s="146"/>
      <c r="F119" s="146"/>
      <c r="G119" s="179"/>
      <c r="H119" s="179"/>
      <c r="I119" s="69"/>
      <c r="J119" s="69"/>
      <c r="K119" s="66"/>
      <c r="L119" s="67"/>
      <c r="M119" s="68"/>
      <c r="N119" s="178"/>
    </row>
    <row r="120" spans="1:16" ht="15" customHeight="1">
      <c r="A120" s="262" t="s">
        <v>8</v>
      </c>
      <c r="B120" s="269"/>
      <c r="C120" s="240" t="s">
        <v>118</v>
      </c>
      <c r="D120" s="95">
        <v>2008.02</v>
      </c>
      <c r="E120" s="229" t="s">
        <v>119</v>
      </c>
      <c r="F120" s="229"/>
      <c r="G120" s="237" t="s">
        <v>120</v>
      </c>
      <c r="H120" s="237"/>
      <c r="I120" s="270" t="s">
        <v>121</v>
      </c>
      <c r="J120" s="238" t="s">
        <v>36</v>
      </c>
      <c r="K120" s="97" t="s">
        <v>62</v>
      </c>
      <c r="L120" s="98">
        <v>0.17299999999999999</v>
      </c>
      <c r="M120" s="99" t="s">
        <v>384</v>
      </c>
      <c r="N120" s="232" t="s">
        <v>212</v>
      </c>
    </row>
    <row r="121" spans="1:16" ht="15" customHeight="1">
      <c r="A121" s="262"/>
      <c r="B121" s="271"/>
      <c r="C121" s="241"/>
      <c r="D121" s="95"/>
      <c r="E121" s="229"/>
      <c r="F121" s="229"/>
      <c r="G121" s="237"/>
      <c r="H121" s="237"/>
      <c r="I121" s="138"/>
      <c r="J121" s="239"/>
      <c r="K121" s="97" t="s">
        <v>63</v>
      </c>
      <c r="L121" s="98">
        <v>0.05</v>
      </c>
      <c r="M121" s="99"/>
      <c r="N121" s="233"/>
    </row>
    <row r="122" spans="1:16" ht="20.100000000000001" hidden="1" customHeight="1">
      <c r="A122" s="139" t="s">
        <v>122</v>
      </c>
      <c r="B122" s="62"/>
      <c r="C122" s="63"/>
      <c r="D122" s="64"/>
      <c r="E122" s="146"/>
      <c r="F122" s="146"/>
      <c r="G122" s="179"/>
      <c r="H122" s="179"/>
      <c r="I122" s="69"/>
      <c r="J122" s="69"/>
      <c r="K122" s="66"/>
      <c r="L122" s="67"/>
      <c r="M122" s="68"/>
      <c r="N122" s="177" t="s">
        <v>61</v>
      </c>
    </row>
    <row r="123" spans="1:16" ht="20.100000000000001" hidden="1" customHeight="1">
      <c r="A123" s="139"/>
      <c r="B123" s="62"/>
      <c r="C123" s="63"/>
      <c r="D123" s="77"/>
      <c r="E123" s="146"/>
      <c r="F123" s="146"/>
      <c r="G123" s="179"/>
      <c r="H123" s="179"/>
      <c r="I123" s="69"/>
      <c r="J123" s="69"/>
      <c r="K123" s="66"/>
      <c r="L123" s="67"/>
      <c r="M123" s="68"/>
      <c r="N123" s="178"/>
    </row>
    <row r="124" spans="1:16" ht="15" customHeight="1">
      <c r="A124" s="139" t="s">
        <v>123</v>
      </c>
      <c r="B124" s="163"/>
      <c r="C124" s="165" t="s">
        <v>124</v>
      </c>
      <c r="D124" s="64">
        <v>2011.08</v>
      </c>
      <c r="E124" s="146" t="s">
        <v>248</v>
      </c>
      <c r="F124" s="146"/>
      <c r="G124" s="179" t="s">
        <v>22</v>
      </c>
      <c r="H124" s="179"/>
      <c r="I124" s="65" t="s">
        <v>28</v>
      </c>
      <c r="J124" s="69" t="s">
        <v>36</v>
      </c>
      <c r="K124" s="66"/>
      <c r="L124" s="67">
        <v>0.14000000000000001</v>
      </c>
      <c r="M124" s="68"/>
      <c r="N124" s="78"/>
      <c r="P124" s="61"/>
    </row>
    <row r="125" spans="1:16" ht="15" customHeight="1">
      <c r="A125" s="139"/>
      <c r="B125" s="164"/>
      <c r="C125" s="166"/>
      <c r="D125" s="64"/>
      <c r="E125" s="146"/>
      <c r="F125" s="146"/>
      <c r="G125" s="179"/>
      <c r="H125" s="179"/>
      <c r="I125" s="69"/>
      <c r="J125" s="69"/>
      <c r="K125" s="66"/>
      <c r="L125" s="67"/>
      <c r="M125" s="68"/>
      <c r="N125" s="78"/>
    </row>
    <row r="126" spans="1:16" ht="20.100000000000001" hidden="1" customHeight="1">
      <c r="A126" s="139" t="s">
        <v>125</v>
      </c>
      <c r="B126" s="62"/>
      <c r="C126" s="63"/>
      <c r="D126" s="64"/>
      <c r="E126" s="146"/>
      <c r="F126" s="146"/>
      <c r="G126" s="179"/>
      <c r="H126" s="179"/>
      <c r="I126" s="69"/>
      <c r="J126" s="69"/>
      <c r="K126" s="66"/>
      <c r="L126" s="67"/>
      <c r="M126" s="68"/>
      <c r="N126" s="177"/>
    </row>
    <row r="127" spans="1:16" ht="20.100000000000001" hidden="1" customHeight="1">
      <c r="A127" s="139"/>
      <c r="B127" s="62"/>
      <c r="C127" s="63"/>
      <c r="D127" s="77"/>
      <c r="E127" s="146"/>
      <c r="F127" s="146"/>
      <c r="G127" s="179"/>
      <c r="H127" s="179"/>
      <c r="I127" s="69"/>
      <c r="J127" s="69"/>
      <c r="K127" s="66"/>
      <c r="L127" s="67"/>
      <c r="M127" s="68"/>
      <c r="N127" s="178"/>
    </row>
    <row r="128" spans="1:16" ht="20.100000000000001" hidden="1" customHeight="1">
      <c r="A128" s="139" t="s">
        <v>126</v>
      </c>
      <c r="B128" s="62"/>
      <c r="C128" s="63"/>
      <c r="D128" s="64"/>
      <c r="E128" s="146"/>
      <c r="F128" s="146"/>
      <c r="G128" s="179"/>
      <c r="H128" s="179"/>
      <c r="I128" s="65"/>
      <c r="J128" s="69"/>
      <c r="K128" s="66"/>
      <c r="L128" s="67"/>
      <c r="M128" s="68"/>
      <c r="N128" s="78"/>
    </row>
    <row r="129" spans="1:16" ht="20.100000000000001" hidden="1" customHeight="1">
      <c r="A129" s="139"/>
      <c r="B129" s="62"/>
      <c r="C129" s="63"/>
      <c r="D129" s="64"/>
      <c r="E129" s="146"/>
      <c r="F129" s="146"/>
      <c r="G129" s="179"/>
      <c r="H129" s="179"/>
      <c r="I129" s="69"/>
      <c r="J129" s="69"/>
      <c r="K129" s="66"/>
      <c r="L129" s="67"/>
      <c r="M129" s="68"/>
      <c r="N129" s="78"/>
    </row>
    <row r="130" spans="1:16" ht="15" hidden="1" customHeight="1">
      <c r="A130" s="262" t="s">
        <v>290</v>
      </c>
      <c r="B130" s="94" t="s">
        <v>314</v>
      </c>
      <c r="C130" s="240" t="s">
        <v>284</v>
      </c>
      <c r="D130" s="95" t="s">
        <v>291</v>
      </c>
      <c r="E130" s="229" t="s">
        <v>299</v>
      </c>
      <c r="F130" s="229"/>
      <c r="G130" s="237" t="s">
        <v>297</v>
      </c>
      <c r="H130" s="237"/>
      <c r="I130" s="96" t="s">
        <v>298</v>
      </c>
      <c r="J130" s="238" t="s">
        <v>283</v>
      </c>
      <c r="K130" s="97" t="s">
        <v>62</v>
      </c>
      <c r="L130" s="98">
        <v>0.15</v>
      </c>
      <c r="M130" s="99"/>
      <c r="N130" s="232" t="s">
        <v>212</v>
      </c>
      <c r="P130" s="51"/>
    </row>
    <row r="131" spans="1:16" ht="15" hidden="1" customHeight="1">
      <c r="A131" s="262"/>
      <c r="B131" s="100"/>
      <c r="C131" s="241"/>
      <c r="D131" s="101"/>
      <c r="E131" s="229"/>
      <c r="F131" s="229"/>
      <c r="G131" s="237"/>
      <c r="H131" s="237"/>
      <c r="I131" s="96"/>
      <c r="J131" s="239"/>
      <c r="K131" s="97" t="s">
        <v>63</v>
      </c>
      <c r="L131" s="98">
        <v>0.05</v>
      </c>
      <c r="M131" s="99"/>
      <c r="N131" s="233"/>
    </row>
    <row r="132" spans="1:16" ht="20.100000000000001" customHeight="1">
      <c r="A132" s="139" t="s">
        <v>127</v>
      </c>
      <c r="B132" s="163"/>
      <c r="C132" s="165" t="s">
        <v>128</v>
      </c>
      <c r="D132" s="167">
        <v>2001.06</v>
      </c>
      <c r="E132" s="169" t="s">
        <v>320</v>
      </c>
      <c r="F132" s="170"/>
      <c r="G132" s="169" t="s">
        <v>129</v>
      </c>
      <c r="H132" s="170"/>
      <c r="I132" s="140" t="s">
        <v>321</v>
      </c>
      <c r="J132" s="142" t="s">
        <v>36</v>
      </c>
      <c r="K132" s="66" t="s">
        <v>62</v>
      </c>
      <c r="L132" s="67">
        <v>0.14499999999999999</v>
      </c>
      <c r="M132" s="68"/>
      <c r="N132" s="177" t="s">
        <v>212</v>
      </c>
    </row>
    <row r="133" spans="1:16" ht="20.100000000000001" customHeight="1">
      <c r="A133" s="139"/>
      <c r="B133" s="164"/>
      <c r="C133" s="166"/>
      <c r="D133" s="168"/>
      <c r="E133" s="171"/>
      <c r="F133" s="172"/>
      <c r="G133" s="171"/>
      <c r="H133" s="172"/>
      <c r="I133" s="141"/>
      <c r="J133" s="143"/>
      <c r="K133" s="66" t="s">
        <v>63</v>
      </c>
      <c r="L133" s="67">
        <v>0.05</v>
      </c>
      <c r="M133" s="68"/>
      <c r="N133" s="178"/>
    </row>
    <row r="134" spans="1:16" ht="15" customHeight="1">
      <c r="A134" s="220" t="s">
        <v>130</v>
      </c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21"/>
    </row>
    <row r="135" spans="1:16" ht="15" customHeight="1">
      <c r="A135" s="224" t="s">
        <v>9</v>
      </c>
      <c r="B135" s="122"/>
      <c r="C135" s="144" t="s">
        <v>131</v>
      </c>
      <c r="D135" s="123">
        <v>2006.01</v>
      </c>
      <c r="E135" s="216" t="s">
        <v>23</v>
      </c>
      <c r="F135" s="216"/>
      <c r="G135" s="217" t="s">
        <v>25</v>
      </c>
      <c r="H135" s="217"/>
      <c r="I135" s="135" t="s">
        <v>132</v>
      </c>
      <c r="J135" s="186" t="s">
        <v>36</v>
      </c>
      <c r="K135" s="125" t="s">
        <v>62</v>
      </c>
      <c r="L135" s="136">
        <v>0.125</v>
      </c>
      <c r="M135" s="127"/>
      <c r="N135" s="180" t="s">
        <v>212</v>
      </c>
    </row>
    <row r="136" spans="1:16" ht="15" customHeight="1">
      <c r="A136" s="224"/>
      <c r="B136" s="122"/>
      <c r="C136" s="145"/>
      <c r="D136" s="123"/>
      <c r="E136" s="216"/>
      <c r="F136" s="216"/>
      <c r="G136" s="217"/>
      <c r="H136" s="217"/>
      <c r="I136" s="134"/>
      <c r="J136" s="187"/>
      <c r="K136" s="125" t="s">
        <v>63</v>
      </c>
      <c r="L136" s="126">
        <v>0.05</v>
      </c>
      <c r="M136" s="127"/>
      <c r="N136" s="181"/>
    </row>
    <row r="137" spans="1:16" ht="15" customHeight="1">
      <c r="A137" s="139" t="s">
        <v>10</v>
      </c>
      <c r="B137" s="62"/>
      <c r="C137" s="165" t="s">
        <v>133</v>
      </c>
      <c r="D137" s="64" t="s">
        <v>309</v>
      </c>
      <c r="E137" s="146" t="s">
        <v>134</v>
      </c>
      <c r="F137" s="146"/>
      <c r="G137" s="179" t="s">
        <v>135</v>
      </c>
      <c r="H137" s="179"/>
      <c r="I137" s="65" t="s">
        <v>29</v>
      </c>
      <c r="J137" s="69" t="s">
        <v>36</v>
      </c>
      <c r="K137" s="66" t="s">
        <v>62</v>
      </c>
      <c r="L137" s="67">
        <v>0.16600000000000001</v>
      </c>
      <c r="M137" s="68"/>
      <c r="N137" s="177" t="s">
        <v>212</v>
      </c>
    </row>
    <row r="138" spans="1:16" ht="15" customHeight="1">
      <c r="A138" s="139"/>
      <c r="B138" s="62"/>
      <c r="C138" s="166"/>
      <c r="D138" s="64"/>
      <c r="E138" s="146"/>
      <c r="F138" s="146"/>
      <c r="G138" s="179"/>
      <c r="H138" s="179"/>
      <c r="I138" s="69"/>
      <c r="J138" s="69"/>
      <c r="K138" s="66" t="s">
        <v>63</v>
      </c>
      <c r="L138" s="67">
        <v>0.05</v>
      </c>
      <c r="M138" s="68"/>
      <c r="N138" s="178"/>
    </row>
    <row r="139" spans="1:16" ht="15" customHeight="1">
      <c r="A139" s="263" t="s">
        <v>11</v>
      </c>
      <c r="B139" s="62"/>
      <c r="C139" s="165" t="s">
        <v>136</v>
      </c>
      <c r="D139" s="64" t="s">
        <v>137</v>
      </c>
      <c r="E139" s="146" t="s">
        <v>138</v>
      </c>
      <c r="F139" s="146"/>
      <c r="G139" s="179" t="s">
        <v>139</v>
      </c>
      <c r="H139" s="179"/>
      <c r="I139" s="69" t="s">
        <v>140</v>
      </c>
      <c r="J139" s="69" t="s">
        <v>41</v>
      </c>
      <c r="K139" s="66"/>
      <c r="L139" s="67">
        <v>0.15</v>
      </c>
      <c r="M139" s="68"/>
      <c r="N139" s="177" t="s">
        <v>212</v>
      </c>
    </row>
    <row r="140" spans="1:16" ht="15" customHeight="1">
      <c r="A140" s="263"/>
      <c r="B140" s="62"/>
      <c r="C140" s="166"/>
      <c r="D140" s="64"/>
      <c r="E140" s="146"/>
      <c r="F140" s="146"/>
      <c r="G140" s="179"/>
      <c r="H140" s="179"/>
      <c r="I140" s="69"/>
      <c r="J140" s="69"/>
      <c r="K140" s="66"/>
      <c r="L140" s="67"/>
      <c r="M140" s="68"/>
      <c r="N140" s="178"/>
    </row>
    <row r="141" spans="1:16" ht="15" customHeight="1">
      <c r="A141" s="139" t="s">
        <v>141</v>
      </c>
      <c r="B141" s="62"/>
      <c r="C141" s="165" t="s">
        <v>142</v>
      </c>
      <c r="D141" s="77">
        <v>2012.07</v>
      </c>
      <c r="E141" s="146" t="s">
        <v>143</v>
      </c>
      <c r="F141" s="146"/>
      <c r="G141" s="179" t="s">
        <v>144</v>
      </c>
      <c r="H141" s="179"/>
      <c r="I141" s="65" t="s">
        <v>145</v>
      </c>
      <c r="J141" s="69" t="s">
        <v>146</v>
      </c>
      <c r="K141" s="66" t="s">
        <v>62</v>
      </c>
      <c r="L141" s="67">
        <v>0.14499999999999999</v>
      </c>
      <c r="M141" s="68"/>
      <c r="N141" s="78"/>
      <c r="P141" s="51"/>
    </row>
    <row r="142" spans="1:16" ht="15" customHeight="1">
      <c r="A142" s="139"/>
      <c r="B142" s="62"/>
      <c r="C142" s="166"/>
      <c r="D142" s="64"/>
      <c r="E142" s="146"/>
      <c r="F142" s="146"/>
      <c r="G142" s="179"/>
      <c r="H142" s="179"/>
      <c r="I142" s="69"/>
      <c r="J142" s="69"/>
      <c r="K142" s="66"/>
      <c r="L142" s="67"/>
      <c r="M142" s="68"/>
      <c r="N142" s="78"/>
    </row>
    <row r="143" spans="1:16" ht="20.100000000000001" hidden="1" customHeight="1">
      <c r="A143" s="139" t="s">
        <v>12</v>
      </c>
      <c r="B143" s="70"/>
      <c r="C143" s="63" t="s">
        <v>147</v>
      </c>
      <c r="D143" s="64" t="s">
        <v>148</v>
      </c>
      <c r="E143" s="146" t="s">
        <v>149</v>
      </c>
      <c r="F143" s="146"/>
      <c r="G143" s="179" t="s">
        <v>150</v>
      </c>
      <c r="H143" s="179"/>
      <c r="I143" s="69" t="s">
        <v>151</v>
      </c>
      <c r="J143" s="69" t="s">
        <v>146</v>
      </c>
      <c r="K143" s="66"/>
      <c r="L143" s="67"/>
      <c r="M143" s="68"/>
      <c r="N143" s="78"/>
    </row>
    <row r="144" spans="1:16" ht="19.5" hidden="1" customHeight="1">
      <c r="A144" s="139"/>
      <c r="B144" s="70"/>
      <c r="C144" s="63" t="s">
        <v>152</v>
      </c>
      <c r="D144" s="64" t="s">
        <v>153</v>
      </c>
      <c r="E144" s="245" t="s">
        <v>154</v>
      </c>
      <c r="F144" s="146"/>
      <c r="G144" s="179" t="s">
        <v>155</v>
      </c>
      <c r="H144" s="179"/>
      <c r="I144" s="69" t="s">
        <v>156</v>
      </c>
      <c r="J144" s="69" t="s">
        <v>157</v>
      </c>
      <c r="K144" s="66"/>
      <c r="L144" s="67"/>
      <c r="M144" s="68"/>
      <c r="N144" s="78"/>
    </row>
    <row r="145" spans="1:14" ht="20.100000000000001" hidden="1" customHeight="1">
      <c r="A145" s="139" t="s">
        <v>158</v>
      </c>
      <c r="B145" s="70"/>
      <c r="C145" s="63"/>
      <c r="D145" s="64"/>
      <c r="E145" s="146"/>
      <c r="F145" s="146"/>
      <c r="G145" s="179"/>
      <c r="H145" s="179"/>
      <c r="I145" s="69"/>
      <c r="J145" s="69"/>
      <c r="K145" s="66"/>
      <c r="L145" s="67"/>
      <c r="M145" s="68"/>
      <c r="N145" s="177" t="s">
        <v>159</v>
      </c>
    </row>
    <row r="146" spans="1:14" ht="20.100000000000001" hidden="1" customHeight="1">
      <c r="A146" s="139"/>
      <c r="B146" s="70"/>
      <c r="C146" s="63"/>
      <c r="D146" s="64"/>
      <c r="E146" s="245"/>
      <c r="F146" s="146"/>
      <c r="G146" s="179"/>
      <c r="H146" s="179"/>
      <c r="I146" s="69"/>
      <c r="J146" s="69"/>
      <c r="K146" s="66"/>
      <c r="L146" s="67"/>
      <c r="M146" s="68"/>
      <c r="N146" s="178"/>
    </row>
    <row r="147" spans="1:14" ht="20.100000000000001" hidden="1" customHeight="1">
      <c r="A147" s="139" t="s">
        <v>160</v>
      </c>
      <c r="B147" s="62"/>
      <c r="C147" s="63"/>
      <c r="D147" s="64"/>
      <c r="E147" s="146"/>
      <c r="F147" s="146"/>
      <c r="G147" s="179"/>
      <c r="H147" s="179"/>
      <c r="I147" s="69"/>
      <c r="J147" s="69"/>
      <c r="K147" s="66"/>
      <c r="L147" s="67"/>
      <c r="M147" s="68"/>
      <c r="N147" s="177" t="s">
        <v>159</v>
      </c>
    </row>
    <row r="148" spans="1:14" ht="20.100000000000001" hidden="1" customHeight="1">
      <c r="A148" s="139"/>
      <c r="B148" s="70"/>
      <c r="C148" s="76"/>
      <c r="D148" s="64"/>
      <c r="E148" s="146"/>
      <c r="F148" s="146"/>
      <c r="G148" s="179"/>
      <c r="H148" s="179"/>
      <c r="I148" s="69"/>
      <c r="J148" s="69"/>
      <c r="K148" s="66"/>
      <c r="L148" s="67"/>
      <c r="M148" s="68"/>
      <c r="N148" s="178"/>
    </row>
    <row r="149" spans="1:14" ht="20.100000000000001" customHeight="1">
      <c r="A149" s="139" t="s">
        <v>161</v>
      </c>
      <c r="B149" s="163"/>
      <c r="C149" s="165" t="s">
        <v>322</v>
      </c>
      <c r="D149" s="167" t="s">
        <v>323</v>
      </c>
      <c r="E149" s="169" t="s">
        <v>320</v>
      </c>
      <c r="F149" s="170"/>
      <c r="G149" s="169" t="s">
        <v>324</v>
      </c>
      <c r="H149" s="170"/>
      <c r="I149" s="140" t="s">
        <v>325</v>
      </c>
      <c r="J149" s="142" t="s">
        <v>36</v>
      </c>
      <c r="K149" s="66" t="s">
        <v>62</v>
      </c>
      <c r="L149" s="67">
        <v>0.14000000000000001</v>
      </c>
      <c r="M149" s="68"/>
      <c r="N149" s="177" t="s">
        <v>212</v>
      </c>
    </row>
    <row r="150" spans="1:14" ht="20.100000000000001" customHeight="1">
      <c r="A150" s="139"/>
      <c r="B150" s="164"/>
      <c r="C150" s="166"/>
      <c r="D150" s="168"/>
      <c r="E150" s="171"/>
      <c r="F150" s="172"/>
      <c r="G150" s="171"/>
      <c r="H150" s="172"/>
      <c r="I150" s="141"/>
      <c r="J150" s="143"/>
      <c r="K150" s="66" t="s">
        <v>63</v>
      </c>
      <c r="L150" s="67">
        <v>0.05</v>
      </c>
      <c r="M150" s="68"/>
      <c r="N150" s="178"/>
    </row>
    <row r="151" spans="1:14" ht="20.100000000000001" hidden="1" customHeight="1">
      <c r="A151" s="139" t="s">
        <v>162</v>
      </c>
      <c r="B151" s="62"/>
      <c r="C151" s="63"/>
      <c r="D151" s="64"/>
      <c r="E151" s="146"/>
      <c r="F151" s="146"/>
      <c r="G151" s="179"/>
      <c r="H151" s="179"/>
      <c r="I151" s="69"/>
      <c r="J151" s="69"/>
      <c r="K151" s="66"/>
      <c r="L151" s="67"/>
      <c r="M151" s="68"/>
      <c r="N151" s="177" t="s">
        <v>159</v>
      </c>
    </row>
    <row r="152" spans="1:14" ht="20.100000000000001" hidden="1" customHeight="1">
      <c r="A152" s="139"/>
      <c r="B152" s="70"/>
      <c r="C152" s="70"/>
      <c r="D152" s="81"/>
      <c r="E152" s="182"/>
      <c r="F152" s="183"/>
      <c r="G152" s="220"/>
      <c r="H152" s="221"/>
      <c r="I152" s="69"/>
      <c r="J152" s="69"/>
      <c r="K152" s="66"/>
      <c r="L152" s="67"/>
      <c r="M152" s="68"/>
      <c r="N152" s="178"/>
    </row>
    <row r="153" spans="1:14" ht="15" customHeight="1">
      <c r="A153" s="139" t="s">
        <v>13</v>
      </c>
      <c r="B153" s="163"/>
      <c r="C153" s="165" t="s">
        <v>163</v>
      </c>
      <c r="D153" s="167">
        <v>2012.06</v>
      </c>
      <c r="E153" s="169" t="s">
        <v>164</v>
      </c>
      <c r="F153" s="170"/>
      <c r="G153" s="169" t="s">
        <v>165</v>
      </c>
      <c r="H153" s="170"/>
      <c r="I153" s="142" t="s">
        <v>166</v>
      </c>
      <c r="J153" s="142" t="s">
        <v>146</v>
      </c>
      <c r="K153" s="66" t="s">
        <v>167</v>
      </c>
      <c r="L153" s="67">
        <v>0.16500000000000001</v>
      </c>
      <c r="M153" s="68"/>
      <c r="N153" s="177" t="s">
        <v>212</v>
      </c>
    </row>
    <row r="154" spans="1:14" ht="15" customHeight="1">
      <c r="A154" s="139"/>
      <c r="B154" s="164"/>
      <c r="C154" s="166"/>
      <c r="D154" s="168"/>
      <c r="E154" s="171"/>
      <c r="F154" s="172"/>
      <c r="G154" s="171"/>
      <c r="H154" s="172"/>
      <c r="I154" s="143"/>
      <c r="J154" s="143"/>
      <c r="K154" s="66" t="s">
        <v>168</v>
      </c>
      <c r="L154" s="67">
        <v>0.05</v>
      </c>
      <c r="M154" s="68"/>
      <c r="N154" s="178"/>
    </row>
    <row r="155" spans="1:14" ht="15" customHeight="1">
      <c r="A155" s="139" t="s">
        <v>278</v>
      </c>
      <c r="B155" s="163"/>
      <c r="C155" s="165" t="s">
        <v>269</v>
      </c>
      <c r="D155" s="167" t="s">
        <v>270</v>
      </c>
      <c r="E155" s="258" t="s">
        <v>275</v>
      </c>
      <c r="F155" s="259"/>
      <c r="G155" s="169" t="s">
        <v>276</v>
      </c>
      <c r="H155" s="170"/>
      <c r="I155" s="142" t="s">
        <v>277</v>
      </c>
      <c r="J155" s="142" t="s">
        <v>36</v>
      </c>
      <c r="K155" s="66" t="s">
        <v>62</v>
      </c>
      <c r="L155" s="67">
        <v>0.13</v>
      </c>
      <c r="M155" s="68"/>
      <c r="N155" s="177" t="s">
        <v>212</v>
      </c>
    </row>
    <row r="156" spans="1:14" ht="15" customHeight="1">
      <c r="A156" s="139"/>
      <c r="B156" s="164"/>
      <c r="C156" s="166"/>
      <c r="D156" s="168"/>
      <c r="E156" s="260"/>
      <c r="F156" s="261"/>
      <c r="G156" s="171"/>
      <c r="H156" s="172"/>
      <c r="I156" s="143"/>
      <c r="J156" s="143"/>
      <c r="K156" s="66" t="s">
        <v>63</v>
      </c>
      <c r="L156" s="67">
        <v>0.05</v>
      </c>
      <c r="M156" s="68"/>
      <c r="N156" s="178"/>
    </row>
    <row r="157" spans="1:14" ht="15" customHeight="1">
      <c r="A157" s="220" t="s">
        <v>169</v>
      </c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21"/>
    </row>
    <row r="158" spans="1:14" ht="15" customHeight="1">
      <c r="A158" s="139" t="s">
        <v>170</v>
      </c>
      <c r="B158" s="163"/>
      <c r="C158" s="165" t="s">
        <v>171</v>
      </c>
      <c r="D158" s="167">
        <v>2011.05</v>
      </c>
      <c r="E158" s="169" t="s">
        <v>172</v>
      </c>
      <c r="F158" s="170"/>
      <c r="G158" s="169" t="s">
        <v>173</v>
      </c>
      <c r="H158" s="170"/>
      <c r="I158" s="140" t="s">
        <v>174</v>
      </c>
      <c r="J158" s="142" t="s">
        <v>146</v>
      </c>
      <c r="K158" s="66" t="s">
        <v>167</v>
      </c>
      <c r="L158" s="67">
        <v>0.14199999999999999</v>
      </c>
      <c r="M158" s="68"/>
      <c r="N158" s="177" t="s">
        <v>212</v>
      </c>
    </row>
    <row r="159" spans="1:14" ht="15" customHeight="1">
      <c r="A159" s="139"/>
      <c r="B159" s="164"/>
      <c r="C159" s="166"/>
      <c r="D159" s="168"/>
      <c r="E159" s="171"/>
      <c r="F159" s="172"/>
      <c r="G159" s="171"/>
      <c r="H159" s="172"/>
      <c r="I159" s="141"/>
      <c r="J159" s="143"/>
      <c r="K159" s="66" t="s">
        <v>168</v>
      </c>
      <c r="L159" s="67">
        <v>0.05</v>
      </c>
      <c r="M159" s="68"/>
      <c r="N159" s="178"/>
    </row>
    <row r="160" spans="1:14" ht="20.100000000000001" hidden="1" customHeight="1">
      <c r="A160" s="139" t="s">
        <v>175</v>
      </c>
      <c r="B160" s="62"/>
      <c r="C160" s="63" t="s">
        <v>176</v>
      </c>
      <c r="D160" s="64" t="s">
        <v>177</v>
      </c>
      <c r="E160" s="146" t="s">
        <v>178</v>
      </c>
      <c r="F160" s="146"/>
      <c r="G160" s="179" t="s">
        <v>179</v>
      </c>
      <c r="H160" s="179"/>
      <c r="I160" s="69" t="s">
        <v>180</v>
      </c>
      <c r="J160" s="69" t="s">
        <v>146</v>
      </c>
      <c r="K160" s="66"/>
      <c r="L160" s="67"/>
      <c r="M160" s="68"/>
      <c r="N160" s="78"/>
    </row>
    <row r="161" spans="1:16" ht="20.100000000000001" hidden="1" customHeight="1">
      <c r="A161" s="139"/>
      <c r="B161" s="62"/>
      <c r="C161" s="63"/>
      <c r="D161" s="64"/>
      <c r="E161" s="146"/>
      <c r="F161" s="146"/>
      <c r="G161" s="179"/>
      <c r="H161" s="179"/>
      <c r="I161" s="69"/>
      <c r="J161" s="69"/>
      <c r="K161" s="66"/>
      <c r="L161" s="67"/>
      <c r="M161" s="68"/>
      <c r="N161" s="78"/>
    </row>
    <row r="162" spans="1:16" ht="20.100000000000001" hidden="1" customHeight="1">
      <c r="A162" s="139" t="s">
        <v>14</v>
      </c>
      <c r="B162" s="70"/>
      <c r="C162" s="63" t="s">
        <v>181</v>
      </c>
      <c r="D162" s="64" t="s">
        <v>182</v>
      </c>
      <c r="E162" s="146" t="s">
        <v>40</v>
      </c>
      <c r="F162" s="146"/>
      <c r="G162" s="179" t="s">
        <v>39</v>
      </c>
      <c r="H162" s="179"/>
      <c r="I162" s="69" t="s">
        <v>183</v>
      </c>
      <c r="J162" s="69" t="s">
        <v>146</v>
      </c>
      <c r="K162" s="66"/>
      <c r="L162" s="67"/>
      <c r="M162" s="68"/>
      <c r="N162" s="78"/>
    </row>
    <row r="163" spans="1:16" ht="20.100000000000001" hidden="1" customHeight="1">
      <c r="A163" s="139"/>
      <c r="B163" s="62"/>
      <c r="C163" s="76"/>
      <c r="D163" s="77"/>
      <c r="E163" s="146"/>
      <c r="F163" s="146"/>
      <c r="G163" s="179"/>
      <c r="H163" s="179"/>
      <c r="I163" s="69"/>
      <c r="J163" s="69"/>
      <c r="K163" s="66"/>
      <c r="L163" s="67"/>
      <c r="M163" s="68"/>
      <c r="N163" s="78"/>
    </row>
    <row r="164" spans="1:16" ht="20.100000000000001" hidden="1" customHeight="1">
      <c r="A164" s="139" t="s">
        <v>184</v>
      </c>
      <c r="B164" s="62"/>
      <c r="C164" s="63"/>
      <c r="D164" s="64"/>
      <c r="E164" s="146"/>
      <c r="F164" s="146"/>
      <c r="G164" s="179"/>
      <c r="H164" s="179"/>
      <c r="I164" s="65"/>
      <c r="J164" s="69"/>
      <c r="K164" s="66"/>
      <c r="L164" s="67"/>
      <c r="M164" s="68"/>
      <c r="N164" s="78"/>
    </row>
    <row r="165" spans="1:16" ht="20.100000000000001" hidden="1" customHeight="1">
      <c r="A165" s="139"/>
      <c r="B165" s="62"/>
      <c r="C165" s="76"/>
      <c r="D165" s="77"/>
      <c r="E165" s="146"/>
      <c r="F165" s="146"/>
      <c r="G165" s="179"/>
      <c r="H165" s="179"/>
      <c r="I165" s="69"/>
      <c r="J165" s="69"/>
      <c r="K165" s="66"/>
      <c r="L165" s="67"/>
      <c r="M165" s="68"/>
      <c r="N165" s="78"/>
    </row>
    <row r="166" spans="1:16" ht="20.100000000000001" hidden="1" customHeight="1">
      <c r="A166" s="179" t="s">
        <v>185</v>
      </c>
      <c r="B166" s="62"/>
      <c r="C166" s="82"/>
      <c r="D166" s="83"/>
      <c r="E166" s="146"/>
      <c r="F166" s="146"/>
      <c r="G166" s="179"/>
      <c r="H166" s="179"/>
      <c r="I166" s="69"/>
      <c r="J166" s="69"/>
      <c r="K166" s="84"/>
      <c r="L166" s="67"/>
      <c r="M166" s="85"/>
      <c r="N166" s="78"/>
    </row>
    <row r="167" spans="1:16" ht="20.100000000000001" hidden="1" customHeight="1">
      <c r="A167" s="179"/>
      <c r="B167" s="70"/>
      <c r="C167" s="82"/>
      <c r="D167" s="83"/>
      <c r="E167" s="146"/>
      <c r="F167" s="146"/>
      <c r="G167" s="179"/>
      <c r="H167" s="179"/>
      <c r="I167" s="69"/>
      <c r="J167" s="69"/>
      <c r="K167" s="84"/>
      <c r="L167" s="67"/>
      <c r="M167" s="85"/>
      <c r="N167" s="86"/>
    </row>
    <row r="168" spans="1:16" ht="15" customHeight="1">
      <c r="A168" s="179" t="s">
        <v>186</v>
      </c>
      <c r="B168" s="62"/>
      <c r="C168" s="165" t="s">
        <v>187</v>
      </c>
      <c r="D168" s="64">
        <v>2007.12</v>
      </c>
      <c r="E168" s="146" t="s">
        <v>188</v>
      </c>
      <c r="F168" s="146"/>
      <c r="G168" s="179" t="s">
        <v>189</v>
      </c>
      <c r="H168" s="179"/>
      <c r="I168" s="65" t="s">
        <v>190</v>
      </c>
      <c r="J168" s="69" t="s">
        <v>146</v>
      </c>
      <c r="K168" s="66" t="s">
        <v>62</v>
      </c>
      <c r="L168" s="67">
        <v>0.13500000000000001</v>
      </c>
      <c r="M168" s="68"/>
      <c r="N168" s="78"/>
      <c r="P168" s="61"/>
    </row>
    <row r="169" spans="1:16" ht="15" customHeight="1">
      <c r="A169" s="179"/>
      <c r="B169" s="87"/>
      <c r="C169" s="166"/>
      <c r="D169" s="88"/>
      <c r="E169" s="236"/>
      <c r="F169" s="236"/>
      <c r="G169" s="244"/>
      <c r="H169" s="244"/>
      <c r="I169" s="89"/>
      <c r="J169" s="87"/>
      <c r="K169" s="90"/>
      <c r="L169" s="91"/>
      <c r="M169" s="45"/>
      <c r="N169" s="86"/>
    </row>
    <row r="170" spans="1:16" ht="15" customHeight="1">
      <c r="A170" s="139" t="s">
        <v>191</v>
      </c>
      <c r="B170" s="62"/>
      <c r="C170" s="264" t="s">
        <v>263</v>
      </c>
      <c r="D170" s="77" t="s">
        <v>264</v>
      </c>
      <c r="E170" s="146" t="s">
        <v>265</v>
      </c>
      <c r="F170" s="146"/>
      <c r="G170" s="179" t="s">
        <v>266</v>
      </c>
      <c r="H170" s="179"/>
      <c r="I170" s="69" t="s">
        <v>267</v>
      </c>
      <c r="J170" s="69" t="s">
        <v>146</v>
      </c>
      <c r="K170" s="66" t="s">
        <v>62</v>
      </c>
      <c r="L170" s="67">
        <v>0.16</v>
      </c>
      <c r="M170" s="68"/>
      <c r="N170" s="92"/>
      <c r="P170" s="51"/>
    </row>
    <row r="171" spans="1:16" ht="15" customHeight="1">
      <c r="A171" s="139"/>
      <c r="B171" s="62"/>
      <c r="C171" s="265"/>
      <c r="D171" s="77"/>
      <c r="E171" s="146"/>
      <c r="F171" s="146"/>
      <c r="G171" s="179"/>
      <c r="H171" s="179"/>
      <c r="I171" s="69"/>
      <c r="J171" s="69"/>
      <c r="K171" s="66"/>
      <c r="L171" s="67"/>
      <c r="M171" s="68"/>
      <c r="N171" s="93"/>
    </row>
    <row r="172" spans="1:16" ht="20.100000000000001" hidden="1" customHeight="1">
      <c r="A172" s="139" t="s">
        <v>192</v>
      </c>
      <c r="B172" s="62"/>
      <c r="C172" s="76"/>
      <c r="D172" s="64"/>
      <c r="E172" s="146"/>
      <c r="F172" s="146"/>
      <c r="G172" s="179"/>
      <c r="H172" s="179"/>
      <c r="I172" s="69"/>
      <c r="J172" s="69"/>
      <c r="K172" s="66"/>
      <c r="L172" s="67"/>
      <c r="M172" s="68"/>
      <c r="N172" s="243" t="s">
        <v>159</v>
      </c>
    </row>
    <row r="173" spans="1:16" ht="20.100000000000001" hidden="1" customHeight="1">
      <c r="A173" s="139"/>
      <c r="B173" s="70"/>
      <c r="C173" s="76"/>
      <c r="D173" s="77"/>
      <c r="E173" s="146"/>
      <c r="F173" s="146"/>
      <c r="G173" s="179"/>
      <c r="H173" s="179"/>
      <c r="I173" s="69"/>
      <c r="J173" s="69"/>
      <c r="K173" s="66"/>
      <c r="L173" s="67"/>
      <c r="M173" s="68"/>
      <c r="N173" s="243"/>
    </row>
    <row r="174" spans="1:16" ht="20.100000000000001" hidden="1" customHeight="1">
      <c r="A174" s="139" t="s">
        <v>193</v>
      </c>
      <c r="B174" s="62"/>
      <c r="C174" s="76"/>
      <c r="D174" s="77"/>
      <c r="E174" s="146"/>
      <c r="F174" s="146"/>
      <c r="G174" s="179"/>
      <c r="H174" s="179"/>
      <c r="I174" s="69"/>
      <c r="J174" s="69"/>
      <c r="K174" s="66"/>
      <c r="L174" s="67"/>
      <c r="M174" s="68"/>
      <c r="N174" s="243" t="s">
        <v>159</v>
      </c>
    </row>
    <row r="175" spans="1:16" ht="20.100000000000001" hidden="1" customHeight="1">
      <c r="A175" s="139"/>
      <c r="B175" s="62"/>
      <c r="C175" s="76"/>
      <c r="D175" s="64"/>
      <c r="E175" s="146"/>
      <c r="F175" s="146"/>
      <c r="G175" s="179"/>
      <c r="H175" s="179"/>
      <c r="I175" s="69"/>
      <c r="J175" s="69"/>
      <c r="K175" s="66"/>
      <c r="L175" s="67"/>
      <c r="M175" s="68"/>
      <c r="N175" s="243"/>
    </row>
    <row r="176" spans="1:16" ht="20.100000000000001" hidden="1" customHeight="1">
      <c r="A176" s="139" t="s">
        <v>194</v>
      </c>
      <c r="B176" s="62"/>
      <c r="C176" s="76"/>
      <c r="D176" s="77"/>
      <c r="E176" s="146"/>
      <c r="F176" s="146"/>
      <c r="G176" s="179"/>
      <c r="H176" s="179"/>
      <c r="I176" s="69"/>
      <c r="J176" s="69"/>
      <c r="K176" s="66"/>
      <c r="L176" s="67"/>
      <c r="M176" s="68"/>
      <c r="N176" s="243" t="s">
        <v>159</v>
      </c>
    </row>
    <row r="177" spans="1:16" ht="20.100000000000001" hidden="1" customHeight="1">
      <c r="A177" s="139"/>
      <c r="B177" s="62"/>
      <c r="C177" s="76"/>
      <c r="D177" s="64"/>
      <c r="E177" s="146"/>
      <c r="F177" s="146"/>
      <c r="G177" s="179"/>
      <c r="H177" s="179"/>
      <c r="I177" s="69"/>
      <c r="J177" s="69"/>
      <c r="K177" s="66"/>
      <c r="L177" s="67"/>
      <c r="M177" s="68"/>
      <c r="N177" s="243"/>
    </row>
    <row r="178" spans="1:16" ht="20.100000000000001" hidden="1" customHeight="1">
      <c r="A178" s="139" t="s">
        <v>195</v>
      </c>
      <c r="B178" s="62"/>
      <c r="C178" s="76"/>
      <c r="D178" s="77"/>
      <c r="E178" s="146"/>
      <c r="F178" s="146"/>
      <c r="G178" s="179"/>
      <c r="H178" s="179"/>
      <c r="I178" s="69"/>
      <c r="J178" s="69"/>
      <c r="K178" s="66"/>
      <c r="L178" s="67"/>
      <c r="M178" s="68"/>
      <c r="N178" s="243" t="s">
        <v>159</v>
      </c>
    </row>
    <row r="179" spans="1:16" ht="20.100000000000001" hidden="1" customHeight="1">
      <c r="A179" s="139"/>
      <c r="B179" s="62"/>
      <c r="C179" s="76"/>
      <c r="D179" s="77"/>
      <c r="E179" s="146"/>
      <c r="F179" s="146"/>
      <c r="G179" s="179"/>
      <c r="H179" s="179"/>
      <c r="I179" s="69"/>
      <c r="J179" s="69"/>
      <c r="K179" s="66"/>
      <c r="L179" s="67"/>
      <c r="M179" s="68"/>
      <c r="N179" s="243"/>
    </row>
    <row r="180" spans="1:16" ht="20.100000000000001" hidden="1" customHeight="1">
      <c r="A180" s="139" t="s">
        <v>196</v>
      </c>
      <c r="B180" s="62" t="s">
        <v>308</v>
      </c>
      <c r="C180" s="76" t="s">
        <v>197</v>
      </c>
      <c r="D180" s="77" t="s">
        <v>198</v>
      </c>
      <c r="E180" s="146" t="s">
        <v>199</v>
      </c>
      <c r="F180" s="146"/>
      <c r="G180" s="179" t="s">
        <v>200</v>
      </c>
      <c r="H180" s="179"/>
      <c r="I180" s="69" t="s">
        <v>201</v>
      </c>
      <c r="J180" s="69" t="s">
        <v>146</v>
      </c>
      <c r="K180" s="66" t="s">
        <v>62</v>
      </c>
      <c r="L180" s="67">
        <v>0.13500000000000001</v>
      </c>
      <c r="M180" s="68"/>
      <c r="N180" s="230" t="s">
        <v>313</v>
      </c>
      <c r="P180" s="51"/>
    </row>
    <row r="181" spans="1:16" ht="20.100000000000001" hidden="1" customHeight="1">
      <c r="A181" s="139"/>
      <c r="B181" s="62"/>
      <c r="C181" s="76"/>
      <c r="D181" s="77"/>
      <c r="E181" s="146"/>
      <c r="F181" s="146"/>
      <c r="G181" s="179"/>
      <c r="H181" s="179"/>
      <c r="I181" s="69"/>
      <c r="J181" s="69"/>
      <c r="K181" s="66"/>
      <c r="L181" s="67"/>
      <c r="M181" s="68"/>
      <c r="N181" s="231"/>
    </row>
    <row r="182" spans="1:16" ht="20.100000000000001" hidden="1" customHeight="1">
      <c r="A182" s="139" t="s">
        <v>202</v>
      </c>
      <c r="B182" s="62"/>
      <c r="C182" s="76"/>
      <c r="D182" s="77"/>
      <c r="E182" s="146"/>
      <c r="F182" s="146"/>
      <c r="G182" s="179"/>
      <c r="H182" s="179"/>
      <c r="I182" s="69"/>
      <c r="J182" s="69"/>
      <c r="K182" s="66"/>
      <c r="L182" s="67"/>
      <c r="M182" s="68"/>
      <c r="N182" s="79"/>
    </row>
    <row r="183" spans="1:16" ht="20.100000000000001" hidden="1" customHeight="1">
      <c r="A183" s="139"/>
      <c r="B183" s="62"/>
      <c r="C183" s="76"/>
      <c r="D183" s="77"/>
      <c r="E183" s="146"/>
      <c r="F183" s="146"/>
      <c r="G183" s="179"/>
      <c r="H183" s="179"/>
      <c r="I183" s="69"/>
      <c r="J183" s="69"/>
      <c r="K183" s="66"/>
      <c r="L183" s="67"/>
      <c r="M183" s="68"/>
      <c r="N183" s="69"/>
    </row>
    <row r="184" spans="1:16" ht="20.100000000000001" hidden="1" customHeight="1">
      <c r="A184" s="161" t="s">
        <v>203</v>
      </c>
      <c r="B184" s="62"/>
      <c r="C184" s="63"/>
      <c r="D184" s="64"/>
      <c r="E184" s="182"/>
      <c r="F184" s="183"/>
      <c r="G184" s="220"/>
      <c r="H184" s="221"/>
      <c r="I184" s="69"/>
      <c r="J184" s="69"/>
      <c r="K184" s="66"/>
      <c r="L184" s="67"/>
      <c r="M184" s="68"/>
      <c r="N184" s="177" t="s">
        <v>159</v>
      </c>
    </row>
    <row r="185" spans="1:16" ht="20.100000000000001" hidden="1" customHeight="1">
      <c r="A185" s="162"/>
      <c r="B185" s="70"/>
      <c r="C185" s="76"/>
      <c r="D185" s="77"/>
      <c r="E185" s="146"/>
      <c r="F185" s="146"/>
      <c r="G185" s="179"/>
      <c r="H185" s="179"/>
      <c r="I185" s="69"/>
      <c r="J185" s="69"/>
      <c r="K185" s="66"/>
      <c r="L185" s="67"/>
      <c r="M185" s="68"/>
      <c r="N185" s="178"/>
    </row>
    <row r="186" spans="1:16" ht="20.100000000000001" hidden="1" customHeight="1">
      <c r="A186" s="139" t="s">
        <v>204</v>
      </c>
      <c r="B186" s="62"/>
      <c r="C186" s="63"/>
      <c r="D186" s="64"/>
      <c r="E186" s="146"/>
      <c r="F186" s="146"/>
      <c r="G186" s="179"/>
      <c r="H186" s="179"/>
      <c r="I186" s="69"/>
      <c r="J186" s="69"/>
      <c r="K186" s="66"/>
      <c r="L186" s="67"/>
      <c r="M186" s="68"/>
      <c r="N186" s="243" t="s">
        <v>159</v>
      </c>
    </row>
    <row r="187" spans="1:16" ht="20.100000000000001" hidden="1" customHeight="1">
      <c r="A187" s="139"/>
      <c r="B187" s="70"/>
      <c r="C187" s="76"/>
      <c r="D187" s="77"/>
      <c r="E187" s="146"/>
      <c r="F187" s="146"/>
      <c r="G187" s="179"/>
      <c r="H187" s="179"/>
      <c r="I187" s="69"/>
      <c r="J187" s="69"/>
      <c r="K187" s="66"/>
      <c r="L187" s="67"/>
      <c r="M187" s="68"/>
      <c r="N187" s="243"/>
    </row>
    <row r="188" spans="1:16" ht="20.100000000000001" hidden="1" customHeight="1">
      <c r="A188" s="139" t="s">
        <v>205</v>
      </c>
      <c r="B188" s="62"/>
      <c r="C188" s="63" t="s">
        <v>206</v>
      </c>
      <c r="D188" s="64" t="s">
        <v>207</v>
      </c>
      <c r="E188" s="146" t="s">
        <v>208</v>
      </c>
      <c r="F188" s="146"/>
      <c r="G188" s="179" t="s">
        <v>209</v>
      </c>
      <c r="H188" s="179"/>
      <c r="I188" s="69" t="s">
        <v>210</v>
      </c>
      <c r="J188" s="69" t="s">
        <v>146</v>
      </c>
      <c r="K188" s="66"/>
      <c r="L188" s="67"/>
      <c r="M188" s="68"/>
      <c r="N188" s="78"/>
    </row>
    <row r="189" spans="1:16" ht="20.100000000000001" hidden="1" customHeight="1">
      <c r="A189" s="139"/>
      <c r="B189" s="70"/>
      <c r="C189" s="76"/>
      <c r="D189" s="77"/>
      <c r="E189" s="146"/>
      <c r="F189" s="146"/>
      <c r="G189" s="179"/>
      <c r="H189" s="179"/>
      <c r="I189" s="69"/>
      <c r="J189" s="69"/>
      <c r="K189" s="66"/>
      <c r="L189" s="67"/>
      <c r="M189" s="68"/>
      <c r="N189" s="78"/>
    </row>
    <row r="190" spans="1:16" ht="20.100000000000001" hidden="1" customHeight="1">
      <c r="A190" s="139" t="s">
        <v>211</v>
      </c>
      <c r="B190" s="70"/>
      <c r="C190" s="76"/>
      <c r="D190" s="77"/>
      <c r="E190" s="146"/>
      <c r="F190" s="146"/>
      <c r="G190" s="179"/>
      <c r="H190" s="179"/>
      <c r="I190" s="69"/>
      <c r="J190" s="69"/>
      <c r="K190" s="66"/>
      <c r="L190" s="67"/>
      <c r="M190" s="68"/>
      <c r="N190" s="78"/>
    </row>
    <row r="191" spans="1:16" ht="20.100000000000001" hidden="1" customHeight="1">
      <c r="A191" s="139"/>
      <c r="B191" s="70"/>
      <c r="C191" s="76"/>
      <c r="D191" s="77"/>
      <c r="E191" s="146"/>
      <c r="F191" s="146"/>
      <c r="G191" s="179"/>
      <c r="H191" s="179"/>
      <c r="I191" s="69"/>
      <c r="J191" s="69"/>
      <c r="K191" s="66"/>
      <c r="L191" s="67"/>
      <c r="M191" s="68"/>
      <c r="N191" s="78"/>
    </row>
    <row r="192" spans="1:16" ht="15" customHeight="1">
      <c r="A192" s="139" t="s">
        <v>286</v>
      </c>
      <c r="B192" s="70"/>
      <c r="C192" s="264" t="s">
        <v>287</v>
      </c>
      <c r="D192" s="167" t="s">
        <v>288</v>
      </c>
      <c r="E192" s="258" t="s">
        <v>289</v>
      </c>
      <c r="F192" s="259"/>
      <c r="G192" s="169" t="s">
        <v>292</v>
      </c>
      <c r="H192" s="170"/>
      <c r="I192" s="142" t="s">
        <v>293</v>
      </c>
      <c r="J192" s="142" t="s">
        <v>36</v>
      </c>
      <c r="K192" s="66" t="s">
        <v>62</v>
      </c>
      <c r="L192" s="67">
        <v>0.17</v>
      </c>
      <c r="M192" s="68"/>
      <c r="N192" s="177"/>
      <c r="P192" s="51"/>
    </row>
    <row r="193" spans="1:16" ht="15" customHeight="1">
      <c r="A193" s="139"/>
      <c r="B193" s="62"/>
      <c r="C193" s="265"/>
      <c r="D193" s="168"/>
      <c r="E193" s="260"/>
      <c r="F193" s="261"/>
      <c r="G193" s="171"/>
      <c r="H193" s="172"/>
      <c r="I193" s="143"/>
      <c r="J193" s="143"/>
      <c r="K193" s="66"/>
      <c r="L193" s="67"/>
      <c r="M193" s="68"/>
      <c r="N193" s="178"/>
    </row>
    <row r="194" spans="1:16" ht="15" customHeight="1">
      <c r="A194" s="139" t="s">
        <v>268</v>
      </c>
      <c r="B194" s="62"/>
      <c r="C194" s="264" t="s">
        <v>271</v>
      </c>
      <c r="D194" s="167" t="s">
        <v>270</v>
      </c>
      <c r="E194" s="258" t="s">
        <v>274</v>
      </c>
      <c r="F194" s="259"/>
      <c r="G194" s="169" t="s">
        <v>272</v>
      </c>
      <c r="H194" s="170"/>
      <c r="I194" s="142" t="s">
        <v>273</v>
      </c>
      <c r="J194" s="142" t="s">
        <v>36</v>
      </c>
      <c r="K194" s="66" t="s">
        <v>62</v>
      </c>
      <c r="L194" s="67">
        <v>0.13</v>
      </c>
      <c r="M194" s="68"/>
      <c r="N194" s="177"/>
      <c r="P194" s="51"/>
    </row>
    <row r="195" spans="1:16" ht="15" customHeight="1">
      <c r="A195" s="139"/>
      <c r="B195" s="62"/>
      <c r="C195" s="265"/>
      <c r="D195" s="168"/>
      <c r="E195" s="260"/>
      <c r="F195" s="261"/>
      <c r="G195" s="171"/>
      <c r="H195" s="172"/>
      <c r="I195" s="143"/>
      <c r="J195" s="143"/>
      <c r="K195" s="66"/>
      <c r="L195" s="67"/>
      <c r="M195" s="68"/>
      <c r="N195" s="178"/>
    </row>
    <row r="196" spans="1:16" ht="48" hidden="1" customHeight="1">
      <c r="A196" s="234" t="s">
        <v>57</v>
      </c>
      <c r="B196" s="234"/>
      <c r="C196" s="234"/>
      <c r="D196" s="234"/>
      <c r="E196" s="234"/>
      <c r="F196" s="234"/>
      <c r="G196" s="234"/>
      <c r="H196" s="234"/>
      <c r="I196" s="234"/>
      <c r="J196" s="235"/>
      <c r="K196" s="16">
        <f>SUM(K67:K191)</f>
        <v>0</v>
      </c>
      <c r="L196" s="8"/>
      <c r="M196" s="10">
        <f>SUM(M71:M188)</f>
        <v>0</v>
      </c>
      <c r="N196" s="14"/>
    </row>
    <row r="197" spans="1:16" ht="15" customHeight="1"/>
    <row r="198" spans="1:16" ht="15" customHeight="1"/>
    <row r="199" spans="1:16" ht="15" customHeight="1"/>
    <row r="200" spans="1:16" ht="15" customHeight="1"/>
    <row r="201" spans="1:16" ht="15" customHeight="1"/>
    <row r="202" spans="1:16" ht="15" customHeight="1"/>
    <row r="203" spans="1:16" ht="15" customHeight="1">
      <c r="C203" s="2"/>
      <c r="D203" s="2"/>
    </row>
    <row r="204" spans="1:16" ht="15" customHeight="1">
      <c r="C204" s="2"/>
      <c r="D204" s="2"/>
    </row>
    <row r="205" spans="1:16" ht="15" customHeight="1">
      <c r="C205" s="2"/>
      <c r="D205" s="2"/>
    </row>
    <row r="206" spans="1:16" ht="15" customHeight="1">
      <c r="C206" s="2"/>
      <c r="D206" s="2"/>
    </row>
    <row r="207" spans="1:16" ht="15" customHeight="1">
      <c r="C207" s="2"/>
      <c r="D207" s="2"/>
    </row>
    <row r="208" spans="1:16" ht="15" customHeight="1">
      <c r="C208" s="2"/>
      <c r="D208" s="2"/>
    </row>
    <row r="209" spans="3:4" ht="15" customHeight="1">
      <c r="C209" s="2"/>
      <c r="D209" s="2"/>
    </row>
    <row r="210" spans="3:4" ht="15" customHeight="1">
      <c r="C210" s="2"/>
      <c r="D210" s="2"/>
    </row>
    <row r="211" spans="3:4" ht="15" customHeight="1">
      <c r="C211" s="2"/>
      <c r="D211" s="2"/>
    </row>
    <row r="212" spans="3:4" ht="15" customHeight="1">
      <c r="C212" s="2"/>
      <c r="D212" s="2"/>
    </row>
    <row r="213" spans="3:4" ht="15" customHeight="1">
      <c r="C213" s="2"/>
      <c r="D213" s="2"/>
    </row>
    <row r="214" spans="3:4" ht="15" customHeight="1">
      <c r="C214" s="2"/>
      <c r="D214" s="2"/>
    </row>
    <row r="215" spans="3:4" ht="15" customHeight="1">
      <c r="C215" s="2"/>
      <c r="D215" s="2"/>
    </row>
    <row r="216" spans="3:4" ht="15" customHeight="1">
      <c r="C216" s="2"/>
      <c r="D216" s="2"/>
    </row>
    <row r="217" spans="3:4" ht="15" customHeight="1">
      <c r="C217" s="2"/>
      <c r="D217" s="2"/>
    </row>
    <row r="218" spans="3:4" ht="15" customHeight="1">
      <c r="C218" s="2"/>
      <c r="D218" s="2"/>
    </row>
    <row r="219" spans="3:4" ht="15" customHeight="1">
      <c r="C219" s="2"/>
      <c r="D219" s="2"/>
    </row>
    <row r="220" spans="3:4" ht="15" customHeight="1">
      <c r="C220" s="2"/>
      <c r="D220" s="2"/>
    </row>
    <row r="221" spans="3:4" ht="15" customHeight="1">
      <c r="C221" s="2"/>
      <c r="D221" s="2"/>
    </row>
    <row r="222" spans="3:4" ht="15" customHeight="1">
      <c r="C222" s="2"/>
      <c r="D222" s="2"/>
    </row>
    <row r="223" spans="3:4" ht="15" customHeight="1">
      <c r="C223" s="2"/>
      <c r="D223" s="2"/>
    </row>
    <row r="224" spans="3:4" ht="15" customHeight="1">
      <c r="C224" s="2"/>
      <c r="D224" s="2"/>
    </row>
    <row r="225" spans="3:4" ht="15" customHeight="1">
      <c r="C225" s="2"/>
      <c r="D225" s="2"/>
    </row>
    <row r="226" spans="3:4" ht="15" customHeight="1">
      <c r="C226" s="2"/>
      <c r="D226" s="2"/>
    </row>
    <row r="227" spans="3:4" ht="15" customHeight="1">
      <c r="C227" s="2"/>
      <c r="D227" s="2"/>
    </row>
    <row r="228" spans="3:4" ht="15" customHeight="1">
      <c r="C228" s="2"/>
      <c r="D228" s="2"/>
    </row>
    <row r="229" spans="3:4" ht="15" customHeight="1">
      <c r="C229" s="2"/>
      <c r="D229" s="2"/>
    </row>
    <row r="230" spans="3:4" ht="15" customHeight="1">
      <c r="C230" s="2"/>
      <c r="D230" s="2"/>
    </row>
    <row r="231" spans="3:4" ht="15" customHeight="1">
      <c r="C231" s="2"/>
      <c r="D231" s="2"/>
    </row>
    <row r="232" spans="3:4" ht="15" customHeight="1">
      <c r="C232" s="2"/>
      <c r="D232" s="2"/>
    </row>
    <row r="233" spans="3:4" ht="15" customHeight="1">
      <c r="C233" s="2"/>
      <c r="D233" s="2"/>
    </row>
    <row r="234" spans="3:4" ht="15" customHeight="1">
      <c r="C234" s="2"/>
      <c r="D234" s="2"/>
    </row>
    <row r="235" spans="3:4" ht="15" customHeight="1">
      <c r="C235" s="2"/>
      <c r="D235" s="2"/>
    </row>
    <row r="236" spans="3:4" ht="15" customHeight="1">
      <c r="C236" s="2"/>
      <c r="D236" s="2"/>
    </row>
    <row r="237" spans="3:4" ht="15" customHeight="1">
      <c r="C237" s="2"/>
      <c r="D237" s="2"/>
    </row>
    <row r="238" spans="3:4" ht="15" customHeight="1">
      <c r="C238" s="2"/>
      <c r="D238" s="2"/>
    </row>
    <row r="239" spans="3:4" ht="15" customHeight="1">
      <c r="C239" s="2"/>
      <c r="D239" s="2"/>
    </row>
    <row r="240" spans="3:4" ht="15" customHeight="1">
      <c r="C240" s="2"/>
      <c r="D240" s="2"/>
    </row>
    <row r="241" spans="3:4" ht="15" customHeight="1">
      <c r="C241" s="2"/>
      <c r="D241" s="2"/>
    </row>
    <row r="242" spans="3:4" ht="15" customHeight="1">
      <c r="C242" s="2"/>
      <c r="D242" s="2"/>
    </row>
    <row r="243" spans="3:4" ht="15" customHeight="1">
      <c r="C243" s="2"/>
      <c r="D243" s="2"/>
    </row>
    <row r="244" spans="3:4" ht="15" customHeight="1">
      <c r="C244" s="2"/>
      <c r="D244" s="2"/>
    </row>
    <row r="245" spans="3:4" ht="15" customHeight="1">
      <c r="C245" s="2"/>
      <c r="D245" s="2"/>
    </row>
    <row r="246" spans="3:4" ht="15" customHeight="1">
      <c r="C246" s="2"/>
      <c r="D246" s="2"/>
    </row>
    <row r="247" spans="3:4" ht="15" customHeight="1">
      <c r="C247" s="2"/>
      <c r="D247" s="2"/>
    </row>
    <row r="248" spans="3:4" ht="15" customHeight="1">
      <c r="C248" s="2"/>
      <c r="D248" s="2"/>
    </row>
    <row r="249" spans="3:4" ht="15" customHeight="1">
      <c r="C249" s="2"/>
      <c r="D249" s="2"/>
    </row>
    <row r="250" spans="3:4" ht="15" customHeight="1">
      <c r="C250" s="2"/>
      <c r="D250" s="2"/>
    </row>
    <row r="251" spans="3:4" ht="15" customHeight="1">
      <c r="C251" s="2"/>
      <c r="D251" s="2"/>
    </row>
    <row r="252" spans="3:4" ht="15" customHeight="1">
      <c r="C252" s="2"/>
      <c r="D252" s="2"/>
    </row>
    <row r="253" spans="3:4" ht="15" customHeight="1">
      <c r="C253" s="2"/>
      <c r="D253" s="2"/>
    </row>
    <row r="254" spans="3:4" ht="15" customHeight="1">
      <c r="C254" s="2"/>
      <c r="D254" s="2"/>
    </row>
    <row r="255" spans="3:4" ht="15" customHeight="1">
      <c r="C255" s="2"/>
      <c r="D255" s="2"/>
    </row>
    <row r="256" spans="3:4" ht="15" customHeight="1">
      <c r="C256" s="2"/>
      <c r="D256" s="2"/>
    </row>
    <row r="257" spans="3:4" ht="15" customHeight="1">
      <c r="C257" s="2"/>
      <c r="D257" s="2"/>
    </row>
    <row r="258" spans="3:4" ht="15" customHeight="1">
      <c r="C258" s="2"/>
      <c r="D258" s="2"/>
    </row>
    <row r="259" spans="3:4" ht="15" customHeight="1">
      <c r="C259" s="2"/>
      <c r="D259" s="2"/>
    </row>
    <row r="260" spans="3:4" ht="15" customHeight="1">
      <c r="C260" s="2"/>
      <c r="D260" s="2"/>
    </row>
    <row r="261" spans="3:4" ht="15" customHeight="1">
      <c r="C261" s="2"/>
      <c r="D261" s="2"/>
    </row>
    <row r="262" spans="3:4" ht="15" customHeight="1">
      <c r="C262" s="2"/>
      <c r="D262" s="2"/>
    </row>
    <row r="263" spans="3:4" ht="15" customHeight="1">
      <c r="C263" s="2"/>
      <c r="D263" s="2"/>
    </row>
    <row r="264" spans="3:4" ht="15" customHeight="1">
      <c r="C264" s="2"/>
      <c r="D264" s="2"/>
    </row>
    <row r="265" spans="3:4" ht="15" customHeight="1">
      <c r="C265" s="2"/>
      <c r="D265" s="2"/>
    </row>
    <row r="266" spans="3:4" ht="15" customHeight="1">
      <c r="C266" s="2"/>
      <c r="D266" s="2"/>
    </row>
    <row r="267" spans="3:4" ht="15" customHeight="1">
      <c r="C267" s="2"/>
      <c r="D267" s="2"/>
    </row>
    <row r="268" spans="3:4" ht="15" customHeight="1">
      <c r="C268" s="2"/>
      <c r="D268" s="2"/>
    </row>
    <row r="269" spans="3:4" ht="15" customHeight="1">
      <c r="C269" s="2"/>
      <c r="D269" s="2"/>
    </row>
    <row r="270" spans="3:4" ht="15" customHeight="1">
      <c r="C270" s="2"/>
      <c r="D270" s="2"/>
    </row>
    <row r="271" spans="3:4" ht="15" customHeight="1">
      <c r="C271" s="2"/>
      <c r="D271" s="2"/>
    </row>
    <row r="272" spans="3:4" ht="15" customHeight="1">
      <c r="C272" s="2"/>
      <c r="D272" s="2"/>
    </row>
    <row r="273" spans="3:4" ht="15" customHeight="1">
      <c r="C273" s="2"/>
      <c r="D273" s="2"/>
    </row>
    <row r="274" spans="3:4" ht="15" customHeight="1">
      <c r="C274" s="2"/>
      <c r="D274" s="2"/>
    </row>
    <row r="275" spans="3:4" ht="15" customHeight="1">
      <c r="C275" s="2"/>
      <c r="D275" s="2"/>
    </row>
    <row r="276" spans="3:4" ht="15" customHeight="1">
      <c r="C276" s="2"/>
      <c r="D276" s="2"/>
    </row>
    <row r="277" spans="3:4" ht="15" customHeight="1">
      <c r="C277" s="2"/>
      <c r="D277" s="2"/>
    </row>
    <row r="278" spans="3:4" ht="15" customHeight="1">
      <c r="C278" s="2"/>
      <c r="D278" s="2"/>
    </row>
    <row r="279" spans="3:4" ht="15" customHeight="1">
      <c r="C279" s="2"/>
      <c r="D279" s="2"/>
    </row>
    <row r="280" spans="3:4" ht="15" customHeight="1">
      <c r="C280" s="2"/>
      <c r="D280" s="2"/>
    </row>
    <row r="281" spans="3:4" ht="15" customHeight="1">
      <c r="C281" s="2"/>
      <c r="D281" s="2"/>
    </row>
    <row r="282" spans="3:4" ht="15" customHeight="1">
      <c r="C282" s="2"/>
      <c r="D282" s="2"/>
    </row>
    <row r="283" spans="3:4" ht="15" customHeight="1">
      <c r="C283" s="2"/>
      <c r="D283" s="2"/>
    </row>
    <row r="284" spans="3:4" ht="15" customHeight="1">
      <c r="C284" s="2"/>
      <c r="D284" s="2"/>
    </row>
    <row r="285" spans="3:4" ht="15" customHeight="1">
      <c r="C285" s="2"/>
      <c r="D285" s="2"/>
    </row>
    <row r="286" spans="3:4" ht="15" customHeight="1">
      <c r="C286" s="2"/>
      <c r="D286" s="2"/>
    </row>
    <row r="287" spans="3:4" ht="15" customHeight="1">
      <c r="C287" s="2"/>
      <c r="D287" s="2"/>
    </row>
    <row r="288" spans="3:4" ht="15" customHeight="1">
      <c r="C288" s="2"/>
      <c r="D288" s="2"/>
    </row>
    <row r="289" spans="3:4" ht="15" customHeight="1">
      <c r="C289" s="2"/>
      <c r="D289" s="2"/>
    </row>
    <row r="290" spans="3:4" ht="15" customHeight="1">
      <c r="C290" s="2"/>
      <c r="D290" s="2"/>
    </row>
    <row r="291" spans="3:4" ht="15" customHeight="1">
      <c r="C291" s="2"/>
      <c r="D291" s="2"/>
    </row>
    <row r="292" spans="3:4" ht="15" customHeight="1">
      <c r="C292" s="2"/>
      <c r="D292" s="2"/>
    </row>
    <row r="293" spans="3:4" ht="15" customHeight="1">
      <c r="C293" s="2"/>
      <c r="D293" s="2"/>
    </row>
    <row r="294" spans="3:4" ht="15" customHeight="1">
      <c r="C294" s="2"/>
      <c r="D294" s="2"/>
    </row>
    <row r="295" spans="3:4" ht="15" customHeight="1">
      <c r="C295" s="2"/>
      <c r="D295" s="2"/>
    </row>
    <row r="296" spans="3:4" ht="15" customHeight="1">
      <c r="C296" s="2"/>
      <c r="D296" s="2"/>
    </row>
    <row r="297" spans="3:4" ht="15" customHeight="1">
      <c r="C297" s="2"/>
      <c r="D297" s="2"/>
    </row>
    <row r="298" spans="3:4" ht="15" customHeight="1">
      <c r="C298" s="2"/>
      <c r="D298" s="2"/>
    </row>
    <row r="299" spans="3:4" ht="15" customHeight="1">
      <c r="C299" s="2"/>
      <c r="D299" s="2"/>
    </row>
    <row r="300" spans="3:4" ht="15" customHeight="1">
      <c r="C300" s="2"/>
      <c r="D300" s="2"/>
    </row>
    <row r="301" spans="3:4" ht="15" customHeight="1">
      <c r="C301" s="2"/>
      <c r="D301" s="2"/>
    </row>
    <row r="302" spans="3:4" ht="15" customHeight="1">
      <c r="C302" s="2"/>
      <c r="D302" s="2"/>
    </row>
    <row r="303" spans="3:4" ht="15" customHeight="1">
      <c r="C303" s="2"/>
      <c r="D303" s="2"/>
    </row>
    <row r="304" spans="3:4" ht="15" customHeight="1">
      <c r="C304" s="2"/>
      <c r="D304" s="2"/>
    </row>
    <row r="305" spans="3:4" ht="15" customHeight="1">
      <c r="C305" s="2"/>
      <c r="D305" s="2"/>
    </row>
    <row r="306" spans="3:4" ht="15" customHeight="1">
      <c r="C306" s="2"/>
      <c r="D306" s="2"/>
    </row>
    <row r="307" spans="3:4" ht="15" customHeight="1">
      <c r="C307" s="2"/>
      <c r="D307" s="2"/>
    </row>
    <row r="308" spans="3:4" ht="15" customHeight="1">
      <c r="C308" s="2"/>
      <c r="D308" s="2"/>
    </row>
    <row r="309" spans="3:4" ht="15" customHeight="1">
      <c r="C309" s="2"/>
      <c r="D309" s="2"/>
    </row>
    <row r="310" spans="3:4" ht="15" customHeight="1">
      <c r="C310" s="2"/>
      <c r="D310" s="2"/>
    </row>
    <row r="311" spans="3:4" ht="15" customHeight="1">
      <c r="C311" s="2"/>
      <c r="D311" s="2"/>
    </row>
    <row r="312" spans="3:4" ht="15" customHeight="1">
      <c r="C312" s="2"/>
      <c r="D312" s="2"/>
    </row>
    <row r="313" spans="3:4" ht="15" customHeight="1">
      <c r="C313" s="2"/>
      <c r="D313" s="2"/>
    </row>
    <row r="314" spans="3:4" ht="15" customHeight="1">
      <c r="C314" s="2"/>
      <c r="D314" s="2"/>
    </row>
    <row r="315" spans="3:4" ht="15" customHeight="1">
      <c r="C315" s="2"/>
      <c r="D315" s="2"/>
    </row>
    <row r="316" spans="3:4" ht="15" customHeight="1">
      <c r="C316" s="2"/>
      <c r="D316" s="2"/>
    </row>
    <row r="317" spans="3:4" ht="15" customHeight="1">
      <c r="C317" s="2"/>
      <c r="D317" s="2"/>
    </row>
    <row r="318" spans="3:4" ht="15" customHeight="1">
      <c r="C318" s="2"/>
      <c r="D318" s="2"/>
    </row>
    <row r="319" spans="3:4" ht="15" customHeight="1">
      <c r="C319" s="2"/>
      <c r="D319" s="2"/>
    </row>
    <row r="320" spans="3:4" ht="15" customHeight="1">
      <c r="C320" s="2"/>
      <c r="D320" s="2"/>
    </row>
    <row r="321" spans="3:4" ht="15" customHeight="1">
      <c r="C321" s="2"/>
      <c r="D321" s="2"/>
    </row>
    <row r="322" spans="3:4" ht="15" customHeight="1">
      <c r="C322" s="2"/>
      <c r="D322" s="2"/>
    </row>
    <row r="323" spans="3:4" ht="15" customHeight="1">
      <c r="C323" s="2"/>
      <c r="D323" s="2"/>
    </row>
    <row r="324" spans="3:4" ht="15" customHeight="1">
      <c r="C324" s="2"/>
      <c r="D324" s="2"/>
    </row>
    <row r="325" spans="3:4" ht="15" customHeight="1">
      <c r="C325" s="2"/>
      <c r="D325" s="2"/>
    </row>
    <row r="326" spans="3:4" ht="15" customHeight="1">
      <c r="C326" s="2"/>
      <c r="D326" s="2"/>
    </row>
    <row r="327" spans="3:4" ht="15" customHeight="1">
      <c r="C327" s="2"/>
      <c r="D327" s="2"/>
    </row>
    <row r="328" spans="3:4" ht="15" customHeight="1">
      <c r="C328" s="2"/>
      <c r="D328" s="2"/>
    </row>
    <row r="329" spans="3:4" ht="15" customHeight="1">
      <c r="C329" s="2"/>
      <c r="D329" s="2"/>
    </row>
    <row r="330" spans="3:4" ht="15" customHeight="1">
      <c r="C330" s="2"/>
      <c r="D330" s="2"/>
    </row>
    <row r="331" spans="3:4" ht="15" customHeight="1">
      <c r="C331" s="2"/>
      <c r="D331" s="2"/>
    </row>
    <row r="332" spans="3:4" ht="15" customHeight="1">
      <c r="C332" s="2"/>
      <c r="D332" s="2"/>
    </row>
    <row r="333" spans="3:4" ht="15" customHeight="1">
      <c r="C333" s="2"/>
      <c r="D333" s="2"/>
    </row>
    <row r="334" spans="3:4" ht="15" customHeight="1">
      <c r="C334" s="2"/>
      <c r="D334" s="2"/>
    </row>
    <row r="335" spans="3:4" ht="15" customHeight="1">
      <c r="C335" s="2"/>
      <c r="D335" s="2"/>
    </row>
    <row r="336" spans="3:4" ht="15" customHeight="1">
      <c r="C336" s="2"/>
      <c r="D336" s="2"/>
    </row>
    <row r="337" spans="3:4" ht="15" customHeight="1">
      <c r="C337" s="2"/>
      <c r="D337" s="2"/>
    </row>
    <row r="338" spans="3:4" ht="15" customHeight="1">
      <c r="C338" s="2"/>
      <c r="D338" s="2"/>
    </row>
    <row r="339" spans="3:4" ht="15" customHeight="1">
      <c r="C339" s="2"/>
      <c r="D339" s="2"/>
    </row>
    <row r="340" spans="3:4" ht="15" customHeight="1">
      <c r="C340" s="2"/>
      <c r="D340" s="2"/>
    </row>
    <row r="341" spans="3:4" ht="15" customHeight="1">
      <c r="C341" s="2"/>
      <c r="D341" s="2"/>
    </row>
    <row r="342" spans="3:4" ht="15" customHeight="1">
      <c r="C342" s="2"/>
      <c r="D342" s="2"/>
    </row>
    <row r="343" spans="3:4" ht="15" customHeight="1">
      <c r="C343" s="2"/>
      <c r="D343" s="2"/>
    </row>
    <row r="344" spans="3:4" ht="15" customHeight="1">
      <c r="C344" s="2"/>
      <c r="D344" s="2"/>
    </row>
    <row r="345" spans="3:4" ht="15" customHeight="1">
      <c r="C345" s="2"/>
      <c r="D345" s="2"/>
    </row>
    <row r="346" spans="3:4" ht="15" customHeight="1">
      <c r="C346" s="2"/>
      <c r="D346" s="2"/>
    </row>
    <row r="347" spans="3:4" ht="15" customHeight="1">
      <c r="C347" s="2"/>
      <c r="D347" s="2"/>
    </row>
    <row r="348" spans="3:4" ht="15" customHeight="1">
      <c r="C348" s="2"/>
      <c r="D348" s="2"/>
    </row>
    <row r="349" spans="3:4" ht="15" customHeight="1">
      <c r="C349" s="2"/>
      <c r="D349" s="2"/>
    </row>
    <row r="350" spans="3:4" ht="15" customHeight="1">
      <c r="C350" s="2"/>
      <c r="D350" s="2"/>
    </row>
    <row r="351" spans="3:4" ht="15" customHeight="1">
      <c r="C351" s="2"/>
      <c r="D351" s="2"/>
    </row>
    <row r="352" spans="3:4" ht="15" customHeight="1">
      <c r="C352" s="2"/>
      <c r="D352" s="2"/>
    </row>
    <row r="353" spans="3:4" ht="15" customHeight="1">
      <c r="C353" s="2"/>
      <c r="D353" s="2"/>
    </row>
    <row r="354" spans="3:4" ht="15" customHeight="1">
      <c r="C354" s="2"/>
      <c r="D354" s="2"/>
    </row>
    <row r="355" spans="3:4" ht="15" customHeight="1">
      <c r="C355" s="2"/>
      <c r="D355" s="2"/>
    </row>
    <row r="356" spans="3:4" ht="15" customHeight="1">
      <c r="C356" s="2"/>
      <c r="D356" s="2"/>
    </row>
    <row r="357" spans="3:4" ht="15" customHeight="1">
      <c r="C357" s="2"/>
      <c r="D357" s="2"/>
    </row>
    <row r="358" spans="3:4" ht="15" customHeight="1">
      <c r="C358" s="2"/>
      <c r="D358" s="2"/>
    </row>
    <row r="359" spans="3:4" ht="15" customHeight="1">
      <c r="C359" s="2"/>
      <c r="D359" s="2"/>
    </row>
    <row r="360" spans="3:4" ht="15" customHeight="1">
      <c r="C360" s="2"/>
      <c r="D360" s="2"/>
    </row>
    <row r="361" spans="3:4" ht="15" customHeight="1">
      <c r="C361" s="2"/>
      <c r="D361" s="2"/>
    </row>
    <row r="362" spans="3:4" ht="15" customHeight="1">
      <c r="C362" s="2"/>
      <c r="D362" s="2"/>
    </row>
    <row r="363" spans="3:4" ht="15" customHeight="1">
      <c r="C363" s="2"/>
      <c r="D363" s="2"/>
    </row>
    <row r="364" spans="3:4" ht="15" customHeight="1">
      <c r="C364" s="2"/>
      <c r="D364" s="2"/>
    </row>
    <row r="365" spans="3:4" ht="15" customHeight="1">
      <c r="C365" s="2"/>
      <c r="D365" s="2"/>
    </row>
    <row r="366" spans="3:4" ht="15" customHeight="1">
      <c r="C366" s="2"/>
      <c r="D366" s="2"/>
    </row>
    <row r="367" spans="3:4" ht="15" customHeight="1">
      <c r="C367" s="2"/>
      <c r="D367" s="2"/>
    </row>
    <row r="368" spans="3:4" ht="15" customHeight="1">
      <c r="C368" s="2"/>
      <c r="D368" s="2"/>
    </row>
    <row r="369" spans="3:4" ht="15" customHeight="1">
      <c r="C369" s="2"/>
      <c r="D369" s="2"/>
    </row>
    <row r="370" spans="3:4" ht="15" customHeight="1">
      <c r="C370" s="2"/>
      <c r="D370" s="2"/>
    </row>
    <row r="371" spans="3:4" ht="15" customHeight="1">
      <c r="C371" s="2"/>
      <c r="D371" s="2"/>
    </row>
    <row r="372" spans="3:4" ht="15" customHeight="1">
      <c r="C372" s="2"/>
      <c r="D372" s="2"/>
    </row>
    <row r="373" spans="3:4" ht="15" customHeight="1">
      <c r="C373" s="2"/>
      <c r="D373" s="2"/>
    </row>
    <row r="374" spans="3:4" ht="15" customHeight="1">
      <c r="C374" s="2"/>
      <c r="D374" s="2"/>
    </row>
    <row r="375" spans="3:4" ht="15" customHeight="1">
      <c r="C375" s="2"/>
      <c r="D375" s="2"/>
    </row>
    <row r="376" spans="3:4" ht="15" customHeight="1">
      <c r="C376" s="2"/>
      <c r="D376" s="2"/>
    </row>
    <row r="377" spans="3:4" ht="15" customHeight="1">
      <c r="C377" s="2"/>
      <c r="D377" s="2"/>
    </row>
    <row r="378" spans="3:4" ht="15" customHeight="1">
      <c r="C378" s="2"/>
      <c r="D378" s="2"/>
    </row>
    <row r="379" spans="3:4" ht="15" customHeight="1">
      <c r="C379" s="2"/>
      <c r="D379" s="2"/>
    </row>
    <row r="380" spans="3:4" ht="15" customHeight="1">
      <c r="C380" s="2"/>
      <c r="D380" s="2"/>
    </row>
    <row r="381" spans="3:4" ht="15" customHeight="1">
      <c r="C381" s="2"/>
      <c r="D381" s="2"/>
    </row>
    <row r="382" spans="3:4" ht="15" customHeight="1">
      <c r="C382" s="2"/>
      <c r="D382" s="2"/>
    </row>
    <row r="383" spans="3:4" ht="15" customHeight="1">
      <c r="C383" s="2"/>
      <c r="D383" s="2"/>
    </row>
    <row r="384" spans="3:4" ht="15" customHeight="1">
      <c r="C384" s="2"/>
      <c r="D384" s="2"/>
    </row>
    <row r="385" spans="3:4" ht="15" customHeight="1">
      <c r="C385" s="2"/>
      <c r="D385" s="2"/>
    </row>
    <row r="386" spans="3:4" ht="15" customHeight="1">
      <c r="C386" s="2"/>
      <c r="D386" s="2"/>
    </row>
    <row r="387" spans="3:4" ht="15" customHeight="1">
      <c r="C387" s="2"/>
      <c r="D387" s="2"/>
    </row>
    <row r="388" spans="3:4" ht="15" customHeight="1">
      <c r="C388" s="2"/>
      <c r="D388" s="2"/>
    </row>
    <row r="389" spans="3:4" ht="15" customHeight="1">
      <c r="C389" s="2"/>
      <c r="D389" s="2"/>
    </row>
    <row r="390" spans="3:4" ht="15" customHeight="1">
      <c r="C390" s="2"/>
      <c r="D390" s="2"/>
    </row>
    <row r="391" spans="3:4" ht="15" customHeight="1">
      <c r="C391" s="2"/>
      <c r="D391" s="2"/>
    </row>
    <row r="392" spans="3:4" ht="15" customHeight="1">
      <c r="C392" s="2"/>
      <c r="D392" s="2"/>
    </row>
    <row r="393" spans="3:4" ht="15" customHeight="1">
      <c r="C393" s="2"/>
      <c r="D393" s="2"/>
    </row>
    <row r="394" spans="3:4" ht="15" customHeight="1">
      <c r="C394" s="2"/>
      <c r="D394" s="2"/>
    </row>
    <row r="395" spans="3:4" ht="15" customHeight="1">
      <c r="C395" s="2"/>
      <c r="D395" s="2"/>
    </row>
    <row r="396" spans="3:4" ht="15" customHeight="1">
      <c r="C396" s="2"/>
      <c r="D396" s="2"/>
    </row>
    <row r="397" spans="3:4" ht="15" customHeight="1">
      <c r="C397" s="2"/>
      <c r="D397" s="2"/>
    </row>
    <row r="398" spans="3:4" ht="15" customHeight="1">
      <c r="C398" s="2"/>
      <c r="D398" s="2"/>
    </row>
    <row r="399" spans="3:4" ht="15" customHeight="1">
      <c r="C399" s="2"/>
      <c r="D399" s="2"/>
    </row>
    <row r="400" spans="3:4" ht="15" customHeight="1">
      <c r="C400" s="2"/>
      <c r="D400" s="2"/>
    </row>
    <row r="401" spans="3:4" ht="15" customHeight="1">
      <c r="C401" s="2"/>
      <c r="D401" s="2"/>
    </row>
    <row r="402" spans="3:4" ht="15" customHeight="1">
      <c r="C402" s="2"/>
      <c r="D402" s="2"/>
    </row>
    <row r="403" spans="3:4" ht="15" customHeight="1">
      <c r="C403" s="2"/>
      <c r="D403" s="2"/>
    </row>
    <row r="404" spans="3:4" ht="15" customHeight="1">
      <c r="C404" s="2"/>
      <c r="D404" s="2"/>
    </row>
    <row r="405" spans="3:4" ht="15" customHeight="1">
      <c r="C405" s="2"/>
      <c r="D405" s="2"/>
    </row>
    <row r="406" spans="3:4" ht="15" customHeight="1">
      <c r="C406" s="2"/>
      <c r="D406" s="2"/>
    </row>
    <row r="407" spans="3:4" ht="15" customHeight="1">
      <c r="C407" s="2"/>
      <c r="D407" s="2"/>
    </row>
    <row r="408" spans="3:4" ht="15" customHeight="1">
      <c r="C408" s="2"/>
      <c r="D408" s="2"/>
    </row>
    <row r="409" spans="3:4" ht="15" customHeight="1">
      <c r="C409" s="2"/>
      <c r="D409" s="2"/>
    </row>
    <row r="410" spans="3:4" ht="15" customHeight="1">
      <c r="C410" s="2"/>
      <c r="D410" s="2"/>
    </row>
    <row r="411" spans="3:4" ht="15" customHeight="1">
      <c r="C411" s="2"/>
      <c r="D411" s="2"/>
    </row>
    <row r="412" spans="3:4" ht="15" customHeight="1">
      <c r="C412" s="2"/>
      <c r="D412" s="2"/>
    </row>
    <row r="413" spans="3:4" ht="15" customHeight="1">
      <c r="C413" s="2"/>
      <c r="D413" s="2"/>
    </row>
    <row r="414" spans="3:4" ht="15" customHeight="1">
      <c r="C414" s="2"/>
      <c r="D414" s="2"/>
    </row>
    <row r="415" spans="3:4" ht="15" customHeight="1">
      <c r="C415" s="2"/>
      <c r="D415" s="2"/>
    </row>
    <row r="416" spans="3:4" ht="15" customHeight="1">
      <c r="C416" s="2"/>
      <c r="D416" s="2"/>
    </row>
    <row r="417" spans="3:4" ht="15" customHeight="1">
      <c r="C417" s="2"/>
      <c r="D417" s="2"/>
    </row>
    <row r="418" spans="3:4" ht="15" customHeight="1">
      <c r="C418" s="2"/>
      <c r="D418" s="2"/>
    </row>
    <row r="419" spans="3:4" ht="15" customHeight="1">
      <c r="C419" s="2"/>
      <c r="D419" s="2"/>
    </row>
    <row r="420" spans="3:4" ht="15" customHeight="1">
      <c r="C420" s="2"/>
      <c r="D420" s="2"/>
    </row>
    <row r="421" spans="3:4" ht="15" customHeight="1">
      <c r="C421" s="2"/>
      <c r="D421" s="2"/>
    </row>
    <row r="422" spans="3:4" ht="15" customHeight="1">
      <c r="C422" s="2"/>
      <c r="D422" s="2"/>
    </row>
    <row r="423" spans="3:4" ht="15" customHeight="1">
      <c r="C423" s="2"/>
      <c r="D423" s="2"/>
    </row>
    <row r="424" spans="3:4" ht="15" customHeight="1">
      <c r="C424" s="2"/>
      <c r="D424" s="2"/>
    </row>
    <row r="425" spans="3:4" ht="15" customHeight="1">
      <c r="C425" s="2"/>
      <c r="D425" s="2"/>
    </row>
    <row r="426" spans="3:4" ht="15" customHeight="1">
      <c r="C426" s="2"/>
      <c r="D426" s="2"/>
    </row>
    <row r="427" spans="3:4" ht="15" customHeight="1">
      <c r="C427" s="2"/>
      <c r="D427" s="2"/>
    </row>
    <row r="428" spans="3:4" ht="15" customHeight="1">
      <c r="C428" s="2"/>
      <c r="D428" s="2"/>
    </row>
    <row r="429" spans="3:4" ht="15" customHeight="1">
      <c r="C429" s="2"/>
      <c r="D429" s="2"/>
    </row>
    <row r="430" spans="3:4" ht="15" customHeight="1">
      <c r="C430" s="2"/>
      <c r="D430" s="2"/>
    </row>
    <row r="431" spans="3:4" ht="15" customHeight="1">
      <c r="C431" s="2"/>
      <c r="D431" s="2"/>
    </row>
    <row r="432" spans="3:4" ht="15" customHeight="1">
      <c r="C432" s="2"/>
      <c r="D432" s="2"/>
    </row>
    <row r="433" spans="3:4" ht="15" customHeight="1">
      <c r="C433" s="2"/>
      <c r="D433" s="2"/>
    </row>
    <row r="434" spans="3:4" ht="15" customHeight="1">
      <c r="C434" s="2"/>
      <c r="D434" s="2"/>
    </row>
    <row r="435" spans="3:4" ht="15" customHeight="1">
      <c r="C435" s="2"/>
      <c r="D435" s="2"/>
    </row>
    <row r="436" spans="3:4" ht="15" customHeight="1">
      <c r="C436" s="2"/>
      <c r="D436" s="2"/>
    </row>
    <row r="437" spans="3:4" ht="15" customHeight="1">
      <c r="C437" s="2"/>
      <c r="D437" s="2"/>
    </row>
    <row r="438" spans="3:4" ht="15" customHeight="1">
      <c r="C438" s="2"/>
      <c r="D438" s="2"/>
    </row>
    <row r="439" spans="3:4" ht="15" customHeight="1">
      <c r="C439" s="2"/>
      <c r="D439" s="2"/>
    </row>
    <row r="440" spans="3:4" ht="15" customHeight="1">
      <c r="C440" s="2"/>
      <c r="D440" s="2"/>
    </row>
    <row r="441" spans="3:4" ht="15" customHeight="1">
      <c r="C441" s="2"/>
      <c r="D441" s="2"/>
    </row>
    <row r="442" spans="3:4" ht="15" customHeight="1">
      <c r="C442" s="2"/>
      <c r="D442" s="2"/>
    </row>
    <row r="443" spans="3:4" ht="15" customHeight="1">
      <c r="C443" s="2"/>
      <c r="D443" s="2"/>
    </row>
    <row r="444" spans="3:4" ht="15" customHeight="1">
      <c r="C444" s="2"/>
      <c r="D444" s="2"/>
    </row>
    <row r="445" spans="3:4" ht="15" customHeight="1">
      <c r="C445" s="2"/>
      <c r="D445" s="2"/>
    </row>
    <row r="446" spans="3:4" ht="15" customHeight="1">
      <c r="C446" s="2"/>
      <c r="D446" s="2"/>
    </row>
    <row r="447" spans="3:4" ht="15" customHeight="1">
      <c r="C447" s="2"/>
      <c r="D447" s="2"/>
    </row>
    <row r="448" spans="3:4" ht="15" customHeight="1">
      <c r="C448" s="2"/>
      <c r="D448" s="2"/>
    </row>
    <row r="449" spans="3:4" ht="15" customHeight="1">
      <c r="C449" s="2"/>
      <c r="D449" s="2"/>
    </row>
    <row r="450" spans="3:4" ht="15" customHeight="1">
      <c r="C450" s="2"/>
      <c r="D450" s="2"/>
    </row>
    <row r="451" spans="3:4" ht="15" customHeight="1">
      <c r="C451" s="2"/>
      <c r="D451" s="2"/>
    </row>
    <row r="452" spans="3:4" ht="15" customHeight="1">
      <c r="C452" s="2"/>
      <c r="D452" s="2"/>
    </row>
    <row r="453" spans="3:4" ht="15" customHeight="1">
      <c r="C453" s="2"/>
      <c r="D453" s="2"/>
    </row>
    <row r="454" spans="3:4" ht="15" customHeight="1">
      <c r="C454" s="2"/>
      <c r="D454" s="2"/>
    </row>
    <row r="455" spans="3:4" ht="15" customHeight="1">
      <c r="C455" s="2"/>
      <c r="D455" s="2"/>
    </row>
    <row r="456" spans="3:4" ht="15" customHeight="1">
      <c r="C456" s="2"/>
      <c r="D456" s="2"/>
    </row>
    <row r="457" spans="3:4" ht="15" customHeight="1">
      <c r="C457" s="2"/>
      <c r="D457" s="2"/>
    </row>
    <row r="458" spans="3:4" ht="15" customHeight="1">
      <c r="C458" s="2"/>
      <c r="D458" s="2"/>
    </row>
    <row r="459" spans="3:4" ht="15" customHeight="1">
      <c r="C459" s="2"/>
      <c r="D459" s="2"/>
    </row>
    <row r="460" spans="3:4" ht="15" customHeight="1">
      <c r="C460" s="2"/>
      <c r="D460" s="2"/>
    </row>
    <row r="461" spans="3:4" ht="15" customHeight="1">
      <c r="C461" s="2"/>
      <c r="D461" s="2"/>
    </row>
    <row r="462" spans="3:4" ht="15" customHeight="1">
      <c r="C462" s="2"/>
      <c r="D462" s="2"/>
    </row>
    <row r="463" spans="3:4" ht="15" customHeight="1">
      <c r="C463" s="2"/>
      <c r="D463" s="2"/>
    </row>
    <row r="464" spans="3:4" ht="15" customHeight="1">
      <c r="C464" s="2"/>
      <c r="D464" s="2"/>
    </row>
    <row r="465" spans="3:4" ht="15" customHeight="1">
      <c r="C465" s="2"/>
      <c r="D465" s="2"/>
    </row>
    <row r="466" spans="3:4" ht="15" customHeight="1">
      <c r="C466" s="2"/>
      <c r="D466" s="2"/>
    </row>
    <row r="467" spans="3:4" ht="15" customHeight="1">
      <c r="C467" s="2"/>
      <c r="D467" s="2"/>
    </row>
    <row r="468" spans="3:4" ht="15" customHeight="1">
      <c r="C468" s="2"/>
      <c r="D468" s="2"/>
    </row>
    <row r="469" spans="3:4" ht="15" customHeight="1">
      <c r="C469" s="2"/>
      <c r="D469" s="2"/>
    </row>
    <row r="470" spans="3:4" ht="15" customHeight="1">
      <c r="C470" s="2"/>
      <c r="D470" s="2"/>
    </row>
    <row r="471" spans="3:4" ht="15" customHeight="1">
      <c r="C471" s="2"/>
      <c r="D471" s="2"/>
    </row>
    <row r="472" spans="3:4" ht="15" customHeight="1">
      <c r="C472" s="2"/>
      <c r="D472" s="2"/>
    </row>
    <row r="473" spans="3:4" ht="15" customHeight="1">
      <c r="C473" s="2"/>
      <c r="D473" s="2"/>
    </row>
    <row r="474" spans="3:4" ht="15" customHeight="1">
      <c r="C474" s="2"/>
      <c r="D474" s="2"/>
    </row>
    <row r="475" spans="3:4" ht="15" customHeight="1">
      <c r="C475" s="2"/>
      <c r="D475" s="2"/>
    </row>
    <row r="476" spans="3:4" ht="15" customHeight="1">
      <c r="C476" s="2"/>
      <c r="D476" s="2"/>
    </row>
    <row r="477" spans="3:4" ht="15" customHeight="1">
      <c r="C477" s="2"/>
      <c r="D477" s="2"/>
    </row>
    <row r="478" spans="3:4" ht="15" customHeight="1">
      <c r="C478" s="2"/>
      <c r="D478" s="2"/>
    </row>
    <row r="479" spans="3:4" ht="15" customHeight="1">
      <c r="C479" s="2"/>
      <c r="D479" s="2"/>
    </row>
    <row r="480" spans="3:4" ht="15" customHeight="1">
      <c r="C480" s="2"/>
      <c r="D480" s="2"/>
    </row>
    <row r="481" spans="3:4" ht="15" customHeight="1">
      <c r="C481" s="2"/>
      <c r="D481" s="2"/>
    </row>
    <row r="482" spans="3:4" ht="15" customHeight="1">
      <c r="C482" s="2"/>
      <c r="D482" s="2"/>
    </row>
    <row r="483" spans="3:4" ht="15" customHeight="1">
      <c r="C483" s="2"/>
      <c r="D483" s="2"/>
    </row>
    <row r="484" spans="3:4" ht="15" customHeight="1">
      <c r="C484" s="2"/>
      <c r="D484" s="2"/>
    </row>
    <row r="485" spans="3:4" ht="15" customHeight="1">
      <c r="C485" s="2"/>
      <c r="D485" s="2"/>
    </row>
    <row r="486" spans="3:4" ht="15" customHeight="1">
      <c r="C486" s="2"/>
      <c r="D486" s="2"/>
    </row>
    <row r="487" spans="3:4" ht="15" customHeight="1">
      <c r="C487" s="2"/>
      <c r="D487" s="2"/>
    </row>
    <row r="488" spans="3:4" ht="15" customHeight="1">
      <c r="C488" s="2"/>
      <c r="D488" s="2"/>
    </row>
    <row r="489" spans="3:4" ht="15" customHeight="1">
      <c r="C489" s="2"/>
      <c r="D489" s="2"/>
    </row>
    <row r="490" spans="3:4" ht="15" customHeight="1">
      <c r="C490" s="2"/>
      <c r="D490" s="2"/>
    </row>
    <row r="491" spans="3:4" ht="15" customHeight="1">
      <c r="C491" s="2"/>
      <c r="D491" s="2"/>
    </row>
    <row r="492" spans="3:4" ht="15" customHeight="1">
      <c r="C492" s="2"/>
      <c r="D492" s="2"/>
    </row>
    <row r="493" spans="3:4" ht="15" customHeight="1">
      <c r="C493" s="2"/>
      <c r="D493" s="2"/>
    </row>
    <row r="494" spans="3:4" ht="15" customHeight="1">
      <c r="C494" s="2"/>
      <c r="D494" s="2"/>
    </row>
    <row r="495" spans="3:4" ht="15" customHeight="1">
      <c r="C495" s="2"/>
      <c r="D495" s="2"/>
    </row>
    <row r="496" spans="3:4" ht="15" customHeight="1">
      <c r="C496" s="2"/>
      <c r="D496" s="2"/>
    </row>
    <row r="497" spans="3:4" ht="15" customHeight="1">
      <c r="C497" s="2"/>
      <c r="D497" s="2"/>
    </row>
    <row r="498" spans="3:4" ht="15" customHeight="1">
      <c r="C498" s="2"/>
      <c r="D498" s="2"/>
    </row>
    <row r="499" spans="3:4" ht="15" customHeight="1">
      <c r="C499" s="2"/>
      <c r="D499" s="2"/>
    </row>
    <row r="500" spans="3:4" ht="15" customHeight="1">
      <c r="C500" s="2"/>
      <c r="D500" s="2"/>
    </row>
    <row r="501" spans="3:4" ht="15" customHeight="1">
      <c r="C501" s="2"/>
      <c r="D501" s="2"/>
    </row>
    <row r="502" spans="3:4" ht="15" customHeight="1">
      <c r="C502" s="2"/>
      <c r="D502" s="2"/>
    </row>
    <row r="503" spans="3:4" ht="15" customHeight="1">
      <c r="C503" s="2"/>
      <c r="D503" s="2"/>
    </row>
    <row r="504" spans="3:4" ht="15" customHeight="1">
      <c r="C504" s="2"/>
      <c r="D504" s="2"/>
    </row>
    <row r="505" spans="3:4" ht="15" customHeight="1">
      <c r="C505" s="2"/>
      <c r="D505" s="2"/>
    </row>
    <row r="506" spans="3:4" ht="15" customHeight="1">
      <c r="C506" s="2"/>
      <c r="D506" s="2"/>
    </row>
    <row r="507" spans="3:4" ht="15" customHeight="1">
      <c r="C507" s="2"/>
      <c r="D507" s="2"/>
    </row>
    <row r="508" spans="3:4" ht="15" customHeight="1">
      <c r="C508" s="2"/>
      <c r="D508" s="2"/>
    </row>
    <row r="509" spans="3:4" ht="15" customHeight="1">
      <c r="C509" s="2"/>
      <c r="D509" s="2"/>
    </row>
    <row r="510" spans="3:4" ht="15" customHeight="1">
      <c r="C510" s="2"/>
      <c r="D510" s="2"/>
    </row>
    <row r="511" spans="3:4" ht="15" customHeight="1">
      <c r="C511" s="2"/>
      <c r="D511" s="2"/>
    </row>
    <row r="512" spans="3:4" ht="15" customHeight="1">
      <c r="C512" s="2"/>
      <c r="D512" s="2"/>
    </row>
    <row r="513" spans="3:4" ht="15" customHeight="1">
      <c r="C513" s="2"/>
      <c r="D513" s="2"/>
    </row>
    <row r="514" spans="3:4" ht="15" customHeight="1">
      <c r="C514" s="2"/>
      <c r="D514" s="2"/>
    </row>
    <row r="515" spans="3:4" ht="15" customHeight="1">
      <c r="C515" s="2"/>
      <c r="D515" s="2"/>
    </row>
    <row r="516" spans="3:4" ht="15" customHeight="1">
      <c r="C516" s="2"/>
      <c r="D516" s="2"/>
    </row>
    <row r="517" spans="3:4" ht="15" customHeight="1">
      <c r="C517" s="2"/>
      <c r="D517" s="2"/>
    </row>
    <row r="518" spans="3:4" ht="15" customHeight="1">
      <c r="C518" s="2"/>
      <c r="D518" s="2"/>
    </row>
    <row r="519" spans="3:4" ht="15" customHeight="1">
      <c r="C519" s="2"/>
      <c r="D519" s="2"/>
    </row>
    <row r="520" spans="3:4" ht="15" customHeight="1">
      <c r="C520" s="2"/>
      <c r="D520" s="2"/>
    </row>
    <row r="521" spans="3:4" ht="15" customHeight="1">
      <c r="C521" s="2"/>
      <c r="D521" s="2"/>
    </row>
    <row r="522" spans="3:4" ht="15" customHeight="1">
      <c r="C522" s="2"/>
      <c r="D522" s="2"/>
    </row>
    <row r="523" spans="3:4" ht="15" customHeight="1">
      <c r="C523" s="2"/>
      <c r="D523" s="2"/>
    </row>
    <row r="524" spans="3:4" ht="15" customHeight="1">
      <c r="C524" s="2"/>
      <c r="D524" s="2"/>
    </row>
    <row r="525" spans="3:4" ht="15" customHeight="1">
      <c r="C525" s="2"/>
      <c r="D525" s="2"/>
    </row>
    <row r="526" spans="3:4" ht="15" customHeight="1">
      <c r="C526" s="2"/>
      <c r="D526" s="2"/>
    </row>
    <row r="527" spans="3:4" ht="15" customHeight="1">
      <c r="C527" s="2"/>
      <c r="D527" s="2"/>
    </row>
    <row r="528" spans="3:4" ht="15" customHeight="1">
      <c r="C528" s="2"/>
      <c r="D528" s="2"/>
    </row>
    <row r="529" spans="3:4" ht="15" customHeight="1">
      <c r="C529" s="2"/>
      <c r="D529" s="2"/>
    </row>
    <row r="530" spans="3:4" ht="15" customHeight="1">
      <c r="C530" s="2"/>
      <c r="D530" s="2"/>
    </row>
    <row r="531" spans="3:4" ht="15" customHeight="1">
      <c r="C531" s="2"/>
      <c r="D531" s="2"/>
    </row>
    <row r="532" spans="3:4" ht="15" customHeight="1">
      <c r="C532" s="2"/>
      <c r="D532" s="2"/>
    </row>
    <row r="533" spans="3:4" ht="15" customHeight="1">
      <c r="C533" s="2"/>
      <c r="D533" s="2"/>
    </row>
    <row r="534" spans="3:4" ht="15" customHeight="1">
      <c r="C534" s="2"/>
      <c r="D534" s="2"/>
    </row>
    <row r="535" spans="3:4" ht="15" customHeight="1">
      <c r="C535" s="2"/>
      <c r="D535" s="2"/>
    </row>
    <row r="536" spans="3:4" ht="15" customHeight="1">
      <c r="C536" s="2"/>
      <c r="D536" s="2"/>
    </row>
    <row r="537" spans="3:4" ht="15" customHeight="1">
      <c r="C537" s="2"/>
      <c r="D537" s="2"/>
    </row>
    <row r="538" spans="3:4" ht="15" customHeight="1">
      <c r="C538" s="2"/>
      <c r="D538" s="2"/>
    </row>
    <row r="539" spans="3:4" ht="15" customHeight="1">
      <c r="C539" s="2"/>
      <c r="D539" s="2"/>
    </row>
  </sheetData>
  <mergeCells count="539">
    <mergeCell ref="A107:A108"/>
    <mergeCell ref="G116:H117"/>
    <mergeCell ref="D116:D117"/>
    <mergeCell ref="A113:N113"/>
    <mergeCell ref="N111:N112"/>
    <mergeCell ref="J120:J121"/>
    <mergeCell ref="A109:A110"/>
    <mergeCell ref="A118:A119"/>
    <mergeCell ref="C120:C121"/>
    <mergeCell ref="E107:F107"/>
    <mergeCell ref="E108:F108"/>
    <mergeCell ref="G107:H107"/>
    <mergeCell ref="G115:H115"/>
    <mergeCell ref="G108:H108"/>
    <mergeCell ref="I116:I117"/>
    <mergeCell ref="A116:A117"/>
    <mergeCell ref="A111:A112"/>
    <mergeCell ref="A114:A115"/>
    <mergeCell ref="A67:A68"/>
    <mergeCell ref="E60:M60"/>
    <mergeCell ref="E61:M61"/>
    <mergeCell ref="J67:J68"/>
    <mergeCell ref="G70:H70"/>
    <mergeCell ref="C77:C78"/>
    <mergeCell ref="E77:F77"/>
    <mergeCell ref="G77:H77"/>
    <mergeCell ref="J77:J78"/>
    <mergeCell ref="E66:F66"/>
    <mergeCell ref="N77:N78"/>
    <mergeCell ref="E78:F78"/>
    <mergeCell ref="G78:H78"/>
    <mergeCell ref="N75:N76"/>
    <mergeCell ref="G76:H76"/>
    <mergeCell ref="J75:J76"/>
    <mergeCell ref="A101:A102"/>
    <mergeCell ref="G103:H103"/>
    <mergeCell ref="E105:F105"/>
    <mergeCell ref="G97:H97"/>
    <mergeCell ref="G104:H104"/>
    <mergeCell ref="G102:H102"/>
    <mergeCell ref="G93:H93"/>
    <mergeCell ref="A105:A106"/>
    <mergeCell ref="E106:F106"/>
    <mergeCell ref="J79:J80"/>
    <mergeCell ref="G84:H84"/>
    <mergeCell ref="G80:H80"/>
    <mergeCell ref="G81:H81"/>
    <mergeCell ref="N83:N84"/>
    <mergeCell ref="E100:F100"/>
    <mergeCell ref="E101:F101"/>
    <mergeCell ref="A103:A104"/>
    <mergeCell ref="G101:H101"/>
    <mergeCell ref="B29:B30"/>
    <mergeCell ref="E29:M29"/>
    <mergeCell ref="E30:K30"/>
    <mergeCell ref="L30:M30"/>
    <mergeCell ref="B19:B20"/>
    <mergeCell ref="A19:A20"/>
    <mergeCell ref="E24:K24"/>
    <mergeCell ref="E26:K26"/>
    <mergeCell ref="A15:A16"/>
    <mergeCell ref="B15:B16"/>
    <mergeCell ref="E15:M15"/>
    <mergeCell ref="E16:K16"/>
    <mergeCell ref="L16:M16"/>
    <mergeCell ref="A27:A28"/>
    <mergeCell ref="B27:B28"/>
    <mergeCell ref="E27:M27"/>
    <mergeCell ref="E28:K28"/>
    <mergeCell ref="L28:M28"/>
    <mergeCell ref="E110:F110"/>
    <mergeCell ref="E116:F117"/>
    <mergeCell ref="E111:F112"/>
    <mergeCell ref="G109:H109"/>
    <mergeCell ref="B120:B121"/>
    <mergeCell ref="C124:C125"/>
    <mergeCell ref="E114:F114"/>
    <mergeCell ref="E109:F109"/>
    <mergeCell ref="E115:F115"/>
    <mergeCell ref="B116:B117"/>
    <mergeCell ref="C116:C117"/>
    <mergeCell ref="A122:A123"/>
    <mergeCell ref="A120:A121"/>
    <mergeCell ref="G124:H124"/>
    <mergeCell ref="E120:F120"/>
    <mergeCell ref="G121:H121"/>
    <mergeCell ref="E119:F119"/>
    <mergeCell ref="E118:F118"/>
    <mergeCell ref="G123:H123"/>
    <mergeCell ref="E123:F123"/>
    <mergeCell ref="G118:H118"/>
    <mergeCell ref="G122:H122"/>
    <mergeCell ref="G119:H119"/>
    <mergeCell ref="G120:H120"/>
    <mergeCell ref="E124:F124"/>
    <mergeCell ref="A178:A179"/>
    <mergeCell ref="A137:A138"/>
    <mergeCell ref="A139:A140"/>
    <mergeCell ref="A141:A142"/>
    <mergeCell ref="A194:A195"/>
    <mergeCell ref="A155:A156"/>
    <mergeCell ref="B155:B156"/>
    <mergeCell ref="C155:C156"/>
    <mergeCell ref="D155:D156"/>
    <mergeCell ref="C168:C169"/>
    <mergeCell ref="C170:C171"/>
    <mergeCell ref="C192:C193"/>
    <mergeCell ref="C194:C195"/>
    <mergeCell ref="D194:D195"/>
    <mergeCell ref="A186:A187"/>
    <mergeCell ref="B158:B159"/>
    <mergeCell ref="A130:A131"/>
    <mergeCell ref="E139:F139"/>
    <mergeCell ref="B124:B125"/>
    <mergeCell ref="E162:F162"/>
    <mergeCell ref="G161:H161"/>
    <mergeCell ref="E165:F165"/>
    <mergeCell ref="E166:F166"/>
    <mergeCell ref="G165:H165"/>
    <mergeCell ref="E158:F159"/>
    <mergeCell ref="G158:H159"/>
    <mergeCell ref="E155:F156"/>
    <mergeCell ref="G155:H156"/>
    <mergeCell ref="G89:H89"/>
    <mergeCell ref="G90:H90"/>
    <mergeCell ref="A157:N157"/>
    <mergeCell ref="N194:N195"/>
    <mergeCell ref="N139:N140"/>
    <mergeCell ref="G111:H111"/>
    <mergeCell ref="G112:H112"/>
    <mergeCell ref="G110:H110"/>
    <mergeCell ref="G114:H114"/>
    <mergeCell ref="G125:H125"/>
    <mergeCell ref="N192:N193"/>
    <mergeCell ref="G91:H91"/>
    <mergeCell ref="G92:H92"/>
    <mergeCell ref="N184:N185"/>
    <mergeCell ref="G96:H96"/>
    <mergeCell ref="I192:I193"/>
    <mergeCell ref="J192:J193"/>
    <mergeCell ref="E172:F172"/>
    <mergeCell ref="E189:F189"/>
    <mergeCell ref="E182:F182"/>
    <mergeCell ref="G182:H182"/>
    <mergeCell ref="E180:F180"/>
    <mergeCell ref="E174:F174"/>
    <mergeCell ref="N186:N187"/>
    <mergeCell ref="G105:H105"/>
    <mergeCell ref="N101:N102"/>
    <mergeCell ref="N118:N119"/>
    <mergeCell ref="I194:I195"/>
    <mergeCell ref="J194:J195"/>
    <mergeCell ref="J158:J159"/>
    <mergeCell ref="G179:H179"/>
    <mergeCell ref="G183:H183"/>
    <mergeCell ref="G160:H160"/>
    <mergeCell ref="N176:N177"/>
    <mergeCell ref="N178:N179"/>
    <mergeCell ref="G180:H180"/>
    <mergeCell ref="G187:H187"/>
    <mergeCell ref="G185:H185"/>
    <mergeCell ref="G128:H128"/>
    <mergeCell ref="G137:H137"/>
    <mergeCell ref="G194:H195"/>
    <mergeCell ref="G140:H140"/>
    <mergeCell ref="G178:H178"/>
    <mergeCell ref="G192:H193"/>
    <mergeCell ref="G106:H106"/>
    <mergeCell ref="N174:N175"/>
    <mergeCell ref="E137:F137"/>
    <mergeCell ref="E142:F142"/>
    <mergeCell ref="E141:F141"/>
    <mergeCell ref="N135:N136"/>
    <mergeCell ref="E131:F131"/>
    <mergeCell ref="E132:F133"/>
    <mergeCell ref="G132:H133"/>
    <mergeCell ref="I132:I133"/>
    <mergeCell ref="E144:F144"/>
    <mergeCell ref="E145:F145"/>
    <mergeCell ref="C56:D56"/>
    <mergeCell ref="N149:N150"/>
    <mergeCell ref="N158:N159"/>
    <mergeCell ref="I158:I159"/>
    <mergeCell ref="J111:J112"/>
    <mergeCell ref="N122:N123"/>
    <mergeCell ref="G126:H126"/>
    <mergeCell ref="G136:H136"/>
    <mergeCell ref="N120:N121"/>
    <mergeCell ref="E143:F143"/>
    <mergeCell ref="G143:H143"/>
    <mergeCell ref="E125:F125"/>
    <mergeCell ref="E127:F127"/>
    <mergeCell ref="G129:H129"/>
    <mergeCell ref="E135:F135"/>
    <mergeCell ref="G99:H99"/>
    <mergeCell ref="G100:H100"/>
    <mergeCell ref="G95:H95"/>
    <mergeCell ref="N126:N127"/>
    <mergeCell ref="N116:N117"/>
    <mergeCell ref="N81:N82"/>
    <mergeCell ref="J116:J117"/>
    <mergeCell ref="J89:J90"/>
    <mergeCell ref="J93:J94"/>
    <mergeCell ref="D158:D159"/>
    <mergeCell ref="A1:M1"/>
    <mergeCell ref="E44:M44"/>
    <mergeCell ref="E86:F86"/>
    <mergeCell ref="E83:F83"/>
    <mergeCell ref="A71:A72"/>
    <mergeCell ref="E72:F72"/>
    <mergeCell ref="E76:F76"/>
    <mergeCell ref="E71:F71"/>
    <mergeCell ref="A73:A74"/>
    <mergeCell ref="E4:M4"/>
    <mergeCell ref="E73:F73"/>
    <mergeCell ref="C52:D52"/>
    <mergeCell ref="E52:M52"/>
    <mergeCell ref="E64:F64"/>
    <mergeCell ref="C44:D44"/>
    <mergeCell ref="E85:F85"/>
    <mergeCell ref="E45:M45"/>
    <mergeCell ref="B39:B40"/>
    <mergeCell ref="C45:D45"/>
    <mergeCell ref="A85:A86"/>
    <mergeCell ref="A75:A76"/>
    <mergeCell ref="D67:D68"/>
    <mergeCell ref="C67:C68"/>
    <mergeCell ref="G138:H138"/>
    <mergeCell ref="E138:F138"/>
    <mergeCell ref="G141:H141"/>
    <mergeCell ref="N172:N173"/>
    <mergeCell ref="G169:H169"/>
    <mergeCell ref="E173:F173"/>
    <mergeCell ref="N153:N154"/>
    <mergeCell ref="E161:F161"/>
    <mergeCell ref="G164:H164"/>
    <mergeCell ref="E163:F163"/>
    <mergeCell ref="G163:H163"/>
    <mergeCell ref="E160:F160"/>
    <mergeCell ref="E152:F152"/>
    <mergeCell ref="N155:N156"/>
    <mergeCell ref="G145:H145"/>
    <mergeCell ref="N145:N146"/>
    <mergeCell ref="E146:F146"/>
    <mergeCell ref="N147:N148"/>
    <mergeCell ref="N151:N152"/>
    <mergeCell ref="G173:H173"/>
    <mergeCell ref="E171:F171"/>
    <mergeCell ref="J132:J133"/>
    <mergeCell ref="G131:H131"/>
    <mergeCell ref="J153:J154"/>
    <mergeCell ref="A135:A136"/>
    <mergeCell ref="E136:F136"/>
    <mergeCell ref="B153:B154"/>
    <mergeCell ref="E147:F147"/>
    <mergeCell ref="E148:F148"/>
    <mergeCell ref="A147:A148"/>
    <mergeCell ref="J135:J136"/>
    <mergeCell ref="J130:J131"/>
    <mergeCell ref="E153:F154"/>
    <mergeCell ref="B132:B133"/>
    <mergeCell ref="D132:D133"/>
    <mergeCell ref="G135:H135"/>
    <mergeCell ref="G147:H147"/>
    <mergeCell ref="G151:H151"/>
    <mergeCell ref="G144:H144"/>
    <mergeCell ref="G146:H146"/>
    <mergeCell ref="A132:A133"/>
    <mergeCell ref="G130:H130"/>
    <mergeCell ref="C130:C131"/>
    <mergeCell ref="C135:C136"/>
    <mergeCell ref="A134:N134"/>
    <mergeCell ref="A196:J196"/>
    <mergeCell ref="E168:F168"/>
    <mergeCell ref="G168:H168"/>
    <mergeCell ref="A190:A191"/>
    <mergeCell ref="E190:F190"/>
    <mergeCell ref="E191:F191"/>
    <mergeCell ref="G191:H191"/>
    <mergeCell ref="G190:H190"/>
    <mergeCell ref="G170:H170"/>
    <mergeCell ref="E169:F169"/>
    <mergeCell ref="A188:A189"/>
    <mergeCell ref="E188:F188"/>
    <mergeCell ref="G188:H188"/>
    <mergeCell ref="E177:F177"/>
    <mergeCell ref="G177:H177"/>
    <mergeCell ref="G189:H189"/>
    <mergeCell ref="E186:F186"/>
    <mergeCell ref="G186:H186"/>
    <mergeCell ref="A184:A185"/>
    <mergeCell ref="G172:H172"/>
    <mergeCell ref="E194:F195"/>
    <mergeCell ref="E183:F183"/>
    <mergeCell ref="E179:F179"/>
    <mergeCell ref="E192:F193"/>
    <mergeCell ref="N130:N131"/>
    <mergeCell ref="A160:A161"/>
    <mergeCell ref="A164:A165"/>
    <mergeCell ref="A166:A167"/>
    <mergeCell ref="N132:N133"/>
    <mergeCell ref="C132:C133"/>
    <mergeCell ref="A192:A193"/>
    <mergeCell ref="A168:A169"/>
    <mergeCell ref="D192:D193"/>
    <mergeCell ref="G184:H184"/>
    <mergeCell ref="G181:H181"/>
    <mergeCell ref="E185:F185"/>
    <mergeCell ref="A182:A183"/>
    <mergeCell ref="G162:H162"/>
    <mergeCell ref="E164:F164"/>
    <mergeCell ref="G167:H167"/>
    <mergeCell ref="E167:F167"/>
    <mergeCell ref="E175:F175"/>
    <mergeCell ref="G171:H171"/>
    <mergeCell ref="G174:H174"/>
    <mergeCell ref="G175:H175"/>
    <mergeCell ref="E176:F176"/>
    <mergeCell ref="G176:H176"/>
    <mergeCell ref="E187:F187"/>
    <mergeCell ref="N137:N138"/>
    <mergeCell ref="A162:A163"/>
    <mergeCell ref="A158:A159"/>
    <mergeCell ref="N180:N181"/>
    <mergeCell ref="E181:F181"/>
    <mergeCell ref="C158:C159"/>
    <mergeCell ref="A153:A154"/>
    <mergeCell ref="A149:A150"/>
    <mergeCell ref="E184:F184"/>
    <mergeCell ref="E178:F178"/>
    <mergeCell ref="A180:A181"/>
    <mergeCell ref="A176:A177"/>
    <mergeCell ref="A170:A171"/>
    <mergeCell ref="E170:F170"/>
    <mergeCell ref="I155:I156"/>
    <mergeCell ref="J155:J156"/>
    <mergeCell ref="I153:I154"/>
    <mergeCell ref="C141:C142"/>
    <mergeCell ref="E140:F140"/>
    <mergeCell ref="G149:H150"/>
    <mergeCell ref="A151:A152"/>
    <mergeCell ref="G153:H154"/>
    <mergeCell ref="D153:D154"/>
    <mergeCell ref="E151:F151"/>
    <mergeCell ref="E103:F103"/>
    <mergeCell ref="G98:H98"/>
    <mergeCell ref="E99:F99"/>
    <mergeCell ref="A174:A175"/>
    <mergeCell ref="A172:A173"/>
    <mergeCell ref="C153:C154"/>
    <mergeCell ref="E121:F121"/>
    <mergeCell ref="E130:F130"/>
    <mergeCell ref="A124:A125"/>
    <mergeCell ref="A126:A127"/>
    <mergeCell ref="G139:H139"/>
    <mergeCell ref="G142:H142"/>
    <mergeCell ref="A145:A146"/>
    <mergeCell ref="G148:H148"/>
    <mergeCell ref="G152:H152"/>
    <mergeCell ref="E126:F126"/>
    <mergeCell ref="E129:F129"/>
    <mergeCell ref="G127:H127"/>
    <mergeCell ref="A128:A129"/>
    <mergeCell ref="E122:F122"/>
    <mergeCell ref="E128:F128"/>
    <mergeCell ref="G166:H166"/>
    <mergeCell ref="C137:C138"/>
    <mergeCell ref="C139:C140"/>
    <mergeCell ref="A99:A100"/>
    <mergeCell ref="A87:A88"/>
    <mergeCell ref="A81:A82"/>
    <mergeCell ref="A83:A84"/>
    <mergeCell ref="A97:A98"/>
    <mergeCell ref="A77:A78"/>
    <mergeCell ref="A69:A70"/>
    <mergeCell ref="A79:A80"/>
    <mergeCell ref="N67:N68"/>
    <mergeCell ref="N79:N80"/>
    <mergeCell ref="C81:C82"/>
    <mergeCell ref="C89:C90"/>
    <mergeCell ref="C93:C94"/>
    <mergeCell ref="C87:C88"/>
    <mergeCell ref="E95:F95"/>
    <mergeCell ref="E96:F96"/>
    <mergeCell ref="E90:F90"/>
    <mergeCell ref="E91:F91"/>
    <mergeCell ref="A95:A96"/>
    <mergeCell ref="E97:F97"/>
    <mergeCell ref="E87:F87"/>
    <mergeCell ref="E88:F88"/>
    <mergeCell ref="E84:F84"/>
    <mergeCell ref="E92:F92"/>
    <mergeCell ref="G64:H64"/>
    <mergeCell ref="G82:H82"/>
    <mergeCell ref="G85:H85"/>
    <mergeCell ref="E79:F79"/>
    <mergeCell ref="G79:H79"/>
    <mergeCell ref="E80:F80"/>
    <mergeCell ref="C60:D60"/>
    <mergeCell ref="C61:D61"/>
    <mergeCell ref="E65:F65"/>
    <mergeCell ref="G65:H65"/>
    <mergeCell ref="G83:H83"/>
    <mergeCell ref="G66:H66"/>
    <mergeCell ref="E74:F74"/>
    <mergeCell ref="E67:F68"/>
    <mergeCell ref="E75:F75"/>
    <mergeCell ref="C73:C74"/>
    <mergeCell ref="C75:C76"/>
    <mergeCell ref="B41:B42"/>
    <mergeCell ref="E41:M41"/>
    <mergeCell ref="A39:A40"/>
    <mergeCell ref="A65:A66"/>
    <mergeCell ref="E69:F69"/>
    <mergeCell ref="A5:A6"/>
    <mergeCell ref="B5:B6"/>
    <mergeCell ref="E5:M5"/>
    <mergeCell ref="A7:A8"/>
    <mergeCell ref="B7:B8"/>
    <mergeCell ref="E7:M7"/>
    <mergeCell ref="E17:M17"/>
    <mergeCell ref="A17:A18"/>
    <mergeCell ref="B17:B18"/>
    <mergeCell ref="E8:K8"/>
    <mergeCell ref="E6:K6"/>
    <mergeCell ref="B13:B14"/>
    <mergeCell ref="E13:M13"/>
    <mergeCell ref="L6:M6"/>
    <mergeCell ref="L8:M8"/>
    <mergeCell ref="L18:M18"/>
    <mergeCell ref="A9:A10"/>
    <mergeCell ref="B9:B10"/>
    <mergeCell ref="E9:M9"/>
    <mergeCell ref="E10:K10"/>
    <mergeCell ref="E12:K12"/>
    <mergeCell ref="L12:M12"/>
    <mergeCell ref="L10:M10"/>
    <mergeCell ref="A11:A12"/>
    <mergeCell ref="B11:B12"/>
    <mergeCell ref="E11:M11"/>
    <mergeCell ref="A25:A26"/>
    <mergeCell ref="B25:B26"/>
    <mergeCell ref="E25:M25"/>
    <mergeCell ref="L24:M24"/>
    <mergeCell ref="A23:A24"/>
    <mergeCell ref="B23:B24"/>
    <mergeCell ref="E23:M23"/>
    <mergeCell ref="L20:M20"/>
    <mergeCell ref="A21:A22"/>
    <mergeCell ref="B21:B22"/>
    <mergeCell ref="E14:K14"/>
    <mergeCell ref="L14:M14"/>
    <mergeCell ref="A13:A14"/>
    <mergeCell ref="E21:M21"/>
    <mergeCell ref="E22:K22"/>
    <mergeCell ref="L22:M22"/>
    <mergeCell ref="B31:B32"/>
    <mergeCell ref="A31:A32"/>
    <mergeCell ref="L42:M42"/>
    <mergeCell ref="E20:K20"/>
    <mergeCell ref="E18:K18"/>
    <mergeCell ref="L26:M26"/>
    <mergeCell ref="L40:M40"/>
    <mergeCell ref="E19:M19"/>
    <mergeCell ref="E40:K40"/>
    <mergeCell ref="E39:M39"/>
    <mergeCell ref="E31:M31"/>
    <mergeCell ref="A37:A38"/>
    <mergeCell ref="L32:M32"/>
    <mergeCell ref="A41:A42"/>
    <mergeCell ref="E32:K32"/>
    <mergeCell ref="B37:B38"/>
    <mergeCell ref="E37:M37"/>
    <mergeCell ref="E38:K38"/>
    <mergeCell ref="L38:M38"/>
    <mergeCell ref="B33:B34"/>
    <mergeCell ref="A33:A34"/>
    <mergeCell ref="A35:A36"/>
    <mergeCell ref="B35:B36"/>
    <mergeCell ref="A29:A30"/>
    <mergeCell ref="E33:M33"/>
    <mergeCell ref="E34:K34"/>
    <mergeCell ref="L34:M34"/>
    <mergeCell ref="C48:D48"/>
    <mergeCell ref="E48:M48"/>
    <mergeCell ref="C49:D49"/>
    <mergeCell ref="E42:K42"/>
    <mergeCell ref="E35:M35"/>
    <mergeCell ref="E36:K36"/>
    <mergeCell ref="L36:M36"/>
    <mergeCell ref="E49:M49"/>
    <mergeCell ref="N65:N66"/>
    <mergeCell ref="N69:N70"/>
    <mergeCell ref="N85:N86"/>
    <mergeCell ref="G88:H88"/>
    <mergeCell ref="N99:N100"/>
    <mergeCell ref="N89:N90"/>
    <mergeCell ref="N93:N94"/>
    <mergeCell ref="E98:F98"/>
    <mergeCell ref="E81:F81"/>
    <mergeCell ref="G72:H72"/>
    <mergeCell ref="G75:H75"/>
    <mergeCell ref="N87:N88"/>
    <mergeCell ref="E82:F82"/>
    <mergeCell ref="N73:N74"/>
    <mergeCell ref="G73:H73"/>
    <mergeCell ref="J73:J74"/>
    <mergeCell ref="G67:H68"/>
    <mergeCell ref="E89:F89"/>
    <mergeCell ref="G86:H86"/>
    <mergeCell ref="E94:F94"/>
    <mergeCell ref="E93:F93"/>
    <mergeCell ref="J87:J88"/>
    <mergeCell ref="G94:H94"/>
    <mergeCell ref="G87:H87"/>
    <mergeCell ref="A143:A144"/>
    <mergeCell ref="I149:I150"/>
    <mergeCell ref="J149:J150"/>
    <mergeCell ref="C79:C80"/>
    <mergeCell ref="E104:F104"/>
    <mergeCell ref="E102:F102"/>
    <mergeCell ref="C53:D53"/>
    <mergeCell ref="E53:M53"/>
    <mergeCell ref="E70:F70"/>
    <mergeCell ref="G71:H71"/>
    <mergeCell ref="I67:I68"/>
    <mergeCell ref="G74:H74"/>
    <mergeCell ref="G69:H69"/>
    <mergeCell ref="B67:B68"/>
    <mergeCell ref="E56:M56"/>
    <mergeCell ref="A91:A92"/>
    <mergeCell ref="A89:A90"/>
    <mergeCell ref="A93:A94"/>
    <mergeCell ref="B149:B150"/>
    <mergeCell ref="C149:C150"/>
    <mergeCell ref="D149:D150"/>
    <mergeCell ref="E149:F150"/>
    <mergeCell ref="C57:D57"/>
    <mergeCell ref="E57:M57"/>
  </mergeCells>
  <phoneticPr fontId="3" type="noConversion"/>
  <printOptions horizontalCentered="1"/>
  <pageMargins left="0" right="0" top="0.59055118110236227" bottom="0.39370078740157483" header="0.31496062992125984" footer="0.31496062992125984"/>
  <pageSetup paperSize="9" scale="50" orientation="portrait" r:id="rId1"/>
  <ignoredErrors>
    <ignoredError sqref="D72 D20 D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" sqref="B3"/>
    </sheetView>
  </sheetViews>
  <sheetFormatPr defaultRowHeight="16.5"/>
  <cols>
    <col min="2" max="2" width="9.5" bestFit="1" customWidth="1"/>
  </cols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J7"/>
  <sheetViews>
    <sheetView workbookViewId="0">
      <selection activeCell="J7" sqref="J7"/>
    </sheetView>
  </sheetViews>
  <sheetFormatPr defaultRowHeight="16.5"/>
  <cols>
    <col min="10" max="10" width="11.375" bestFit="1" customWidth="1"/>
  </cols>
  <sheetData>
    <row r="7" spans="10:10">
      <c r="J7" s="59">
        <v>367546734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4:I22"/>
  <sheetViews>
    <sheetView workbookViewId="0">
      <selection activeCell="G18" sqref="G18"/>
    </sheetView>
  </sheetViews>
  <sheetFormatPr defaultRowHeight="16.5"/>
  <cols>
    <col min="3" max="3" width="10.25" bestFit="1" customWidth="1"/>
    <col min="4" max="7" width="11.375" bestFit="1" customWidth="1"/>
    <col min="8" max="8" width="10.25" bestFit="1" customWidth="1"/>
    <col min="9" max="9" width="11.375" bestFit="1" customWidth="1"/>
  </cols>
  <sheetData>
    <row r="4" spans="4:9">
      <c r="D4" s="59">
        <v>168857789</v>
      </c>
      <c r="E4" s="59">
        <v>135130241</v>
      </c>
      <c r="F4" s="59">
        <v>139058538</v>
      </c>
      <c r="G4" s="59">
        <v>35369375</v>
      </c>
      <c r="H4" s="59">
        <v>51448530</v>
      </c>
      <c r="I4" s="59">
        <f>SUM(D4:H4)</f>
        <v>529864473</v>
      </c>
    </row>
    <row r="5" spans="4:9">
      <c r="D5" s="59">
        <v>205583740</v>
      </c>
      <c r="E5" s="59">
        <v>156214460</v>
      </c>
      <c r="F5" s="59">
        <v>159753710</v>
      </c>
      <c r="G5" s="59">
        <v>62280320</v>
      </c>
      <c r="H5" s="59">
        <v>72492050</v>
      </c>
      <c r="I5" s="59">
        <f>SUM(D5:H5)</f>
        <v>656324280</v>
      </c>
    </row>
    <row r="6" spans="4:9">
      <c r="D6" s="59">
        <f>D5-D4</f>
        <v>36725951</v>
      </c>
      <c r="E6" s="59">
        <f>E5-E4</f>
        <v>21084219</v>
      </c>
      <c r="F6" s="59">
        <f>F5-F4</f>
        <v>20695172</v>
      </c>
      <c r="G6" s="59">
        <f>G5-G4</f>
        <v>26910945</v>
      </c>
      <c r="H6" s="59">
        <f>H5-H4</f>
        <v>21043520</v>
      </c>
      <c r="I6" s="59">
        <f>SUM(D6:H6)</f>
        <v>126459807</v>
      </c>
    </row>
    <row r="8" spans="4:9">
      <c r="D8" s="60">
        <f t="shared" ref="D8:I8" si="0">D5/D4-1</f>
        <v>0.21749633947889735</v>
      </c>
      <c r="E8" s="60">
        <f t="shared" si="0"/>
        <v>0.15602887143522515</v>
      </c>
      <c r="F8" s="60">
        <f t="shared" si="0"/>
        <v>0.14882345447929279</v>
      </c>
      <c r="G8" s="60">
        <f t="shared" si="0"/>
        <v>0.76085441147885713</v>
      </c>
      <c r="H8" s="60">
        <f t="shared" si="0"/>
        <v>0.40902082139178719</v>
      </c>
      <c r="I8" s="60">
        <f t="shared" si="0"/>
        <v>0.23866443863278231</v>
      </c>
    </row>
    <row r="20" spans="3:5">
      <c r="C20" s="59">
        <v>56328000</v>
      </c>
      <c r="E20" s="59">
        <v>56328000</v>
      </c>
    </row>
    <row r="21" spans="3:5">
      <c r="C21" s="59">
        <v>64506420</v>
      </c>
      <c r="E21" s="59">
        <f>C21-3972900</f>
        <v>60533520</v>
      </c>
    </row>
    <row r="22" spans="3:5">
      <c r="C22" s="60">
        <f>C20/C21-1</f>
        <v>-0.12678458981292096</v>
      </c>
      <c r="E22" s="60">
        <f>E20/E21-1</f>
        <v>-6.9474235101477655E-2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1"/>
  <sheetViews>
    <sheetView workbookViewId="0">
      <selection activeCell="H24" sqref="H24"/>
    </sheetView>
  </sheetViews>
  <sheetFormatPr defaultRowHeight="16.5"/>
  <cols>
    <col min="1" max="1" width="21.625" customWidth="1"/>
  </cols>
  <sheetData>
    <row r="1" spans="1:2">
      <c r="A1" t="s">
        <v>245</v>
      </c>
      <c r="B1" t="s">
        <v>378</v>
      </c>
    </row>
    <row r="2" spans="1:2">
      <c r="A2" t="s">
        <v>232</v>
      </c>
      <c r="B2">
        <v>9</v>
      </c>
    </row>
    <row r="3" spans="1:2">
      <c r="A3" t="s">
        <v>353</v>
      </c>
      <c r="B3">
        <v>6</v>
      </c>
    </row>
    <row r="4" spans="1:2">
      <c r="A4" t="s">
        <v>355</v>
      </c>
      <c r="B4">
        <v>5</v>
      </c>
    </row>
    <row r="5" spans="1:2">
      <c r="A5" t="s">
        <v>233</v>
      </c>
      <c r="B5">
        <v>5</v>
      </c>
    </row>
    <row r="6" spans="1:2">
      <c r="A6" t="s">
        <v>357</v>
      </c>
      <c r="B6">
        <v>4</v>
      </c>
    </row>
    <row r="7" spans="1:2">
      <c r="A7" t="s">
        <v>371</v>
      </c>
      <c r="B7">
        <v>4</v>
      </c>
    </row>
    <row r="8" spans="1:2">
      <c r="A8" t="s">
        <v>373</v>
      </c>
      <c r="B8">
        <v>4</v>
      </c>
    </row>
    <row r="9" spans="1:2">
      <c r="A9" t="s">
        <v>127</v>
      </c>
      <c r="B9">
        <v>3</v>
      </c>
    </row>
    <row r="10" spans="1:2">
      <c r="A10" t="s">
        <v>363</v>
      </c>
      <c r="B10">
        <v>3</v>
      </c>
    </row>
    <row r="11" spans="1:2">
      <c r="A11" t="s">
        <v>365</v>
      </c>
      <c r="B11">
        <v>3</v>
      </c>
    </row>
    <row r="12" spans="1:2">
      <c r="A12" t="s">
        <v>368</v>
      </c>
      <c r="B12">
        <v>3</v>
      </c>
    </row>
    <row r="13" spans="1:2">
      <c r="A13" t="s">
        <v>254</v>
      </c>
      <c r="B13">
        <v>3</v>
      </c>
    </row>
    <row r="14" spans="1:2">
      <c r="A14" t="s">
        <v>370</v>
      </c>
      <c r="B14">
        <v>2</v>
      </c>
    </row>
    <row r="15" spans="1:2">
      <c r="A15" t="s">
        <v>315</v>
      </c>
      <c r="B15">
        <v>2</v>
      </c>
    </row>
    <row r="16" spans="1:2">
      <c r="A16" t="s">
        <v>231</v>
      </c>
      <c r="B16">
        <v>2</v>
      </c>
    </row>
    <row r="17" spans="1:2">
      <c r="A17" t="s">
        <v>362</v>
      </c>
      <c r="B17">
        <v>2</v>
      </c>
    </row>
    <row r="18" spans="1:2">
      <c r="A18" t="s">
        <v>364</v>
      </c>
      <c r="B18">
        <v>2</v>
      </c>
    </row>
    <row r="19" spans="1:2">
      <c r="A19" t="s">
        <v>369</v>
      </c>
      <c r="B19">
        <v>2</v>
      </c>
    </row>
    <row r="20" spans="1:2">
      <c r="A20" t="s">
        <v>372</v>
      </c>
      <c r="B20">
        <v>2</v>
      </c>
    </row>
    <row r="21" spans="1:2">
      <c r="A21" t="s">
        <v>377</v>
      </c>
      <c r="B21">
        <v>1</v>
      </c>
    </row>
    <row r="22" spans="1:2">
      <c r="A22" t="s">
        <v>376</v>
      </c>
      <c r="B22">
        <v>1</v>
      </c>
    </row>
    <row r="23" spans="1:2">
      <c r="A23" t="s">
        <v>375</v>
      </c>
      <c r="B23">
        <v>1</v>
      </c>
    </row>
    <row r="24" spans="1:2">
      <c r="A24" t="s">
        <v>354</v>
      </c>
      <c r="B24">
        <v>1</v>
      </c>
    </row>
    <row r="25" spans="1:2">
      <c r="A25" t="s">
        <v>356</v>
      </c>
      <c r="B25">
        <v>1</v>
      </c>
    </row>
    <row r="26" spans="1:2">
      <c r="A26" t="s">
        <v>222</v>
      </c>
      <c r="B26">
        <v>1</v>
      </c>
    </row>
    <row r="27" spans="1:2">
      <c r="A27" t="s">
        <v>358</v>
      </c>
      <c r="B27">
        <v>1</v>
      </c>
    </row>
    <row r="28" spans="1:2">
      <c r="A28" t="s">
        <v>162</v>
      </c>
      <c r="B28">
        <v>1</v>
      </c>
    </row>
    <row r="29" spans="1:2">
      <c r="A29" t="s">
        <v>229</v>
      </c>
      <c r="B29">
        <v>1</v>
      </c>
    </row>
    <row r="30" spans="1:2">
      <c r="A30" t="s">
        <v>359</v>
      </c>
      <c r="B30">
        <v>1</v>
      </c>
    </row>
    <row r="31" spans="1:2">
      <c r="A31" t="s">
        <v>360</v>
      </c>
      <c r="B31">
        <v>1</v>
      </c>
    </row>
    <row r="32" spans="1:2">
      <c r="A32" t="s">
        <v>361</v>
      </c>
      <c r="B32">
        <v>1</v>
      </c>
    </row>
    <row r="33" spans="1:2">
      <c r="A33" t="s">
        <v>302</v>
      </c>
      <c r="B33">
        <v>1</v>
      </c>
    </row>
    <row r="34" spans="1:2">
      <c r="A34" t="s">
        <v>366</v>
      </c>
      <c r="B34">
        <v>1</v>
      </c>
    </row>
    <row r="35" spans="1:2">
      <c r="A35" t="s">
        <v>367</v>
      </c>
      <c r="B35">
        <v>1</v>
      </c>
    </row>
    <row r="36" spans="1:2">
      <c r="A36" t="s">
        <v>282</v>
      </c>
      <c r="B36">
        <v>1</v>
      </c>
    </row>
    <row r="37" spans="1:2">
      <c r="A37" t="s">
        <v>114</v>
      </c>
      <c r="B37">
        <v>1</v>
      </c>
    </row>
    <row r="38" spans="1:2">
      <c r="A38" t="s">
        <v>361</v>
      </c>
      <c r="B38">
        <v>1</v>
      </c>
    </row>
    <row r="39" spans="1:2">
      <c r="A39" t="s">
        <v>374</v>
      </c>
      <c r="B39">
        <v>1</v>
      </c>
    </row>
    <row r="40" spans="1:2">
      <c r="A40" t="s">
        <v>98</v>
      </c>
      <c r="B40">
        <v>1</v>
      </c>
    </row>
    <row r="41" spans="1:2">
      <c r="A41" t="s">
        <v>228</v>
      </c>
      <c r="B41">
        <v>1</v>
      </c>
    </row>
  </sheetData>
  <autoFilter ref="A1:G41">
    <sortState ref="A2:G41">
      <sortCondition descending="1" ref="B1:B4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판매사원채용신청서</vt:lpstr>
      <vt:lpstr>Sheet3</vt:lpstr>
      <vt:lpstr>Sheet2</vt:lpstr>
      <vt:lpstr>Sheet1</vt:lpstr>
      <vt:lpstr>Sheet4</vt:lpstr>
      <vt:lpstr>판매사원채용신청서!Print_Area</vt:lpstr>
      <vt:lpstr>판매사원채용신청서!Print_Titles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</dc:creator>
  <cp:lastModifiedBy>cn20122901</cp:lastModifiedBy>
  <cp:lastPrinted>2026-05-06T04:27:07Z</cp:lastPrinted>
  <dcterms:created xsi:type="dcterms:W3CDTF">2012-08-20T02:20:56Z</dcterms:created>
  <dcterms:modified xsi:type="dcterms:W3CDTF">2026-06-02T07:21:28Z</dcterms:modified>
</cp:coreProperties>
</file>